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ookazaki/Desktop/"/>
    </mc:Choice>
  </mc:AlternateContent>
  <xr:revisionPtr revIDLastSave="0" documentId="13_ncr:1_{541BBAE6-D1CE-7E47-B667-14470D5A15C2}" xr6:coauthVersionLast="45" xr6:coauthVersionMax="45" xr10:uidLastSave="{00000000-0000-0000-0000-000000000000}"/>
  <bookViews>
    <workbookView xWindow="0" yWindow="460" windowWidth="27800" windowHeight="16300" xr2:uid="{5E9B0819-CC28-8D44-BAE1-F0BE08917A74}"/>
  </bookViews>
  <sheets>
    <sheet name="復讐問題１" sheetId="17" r:id="rId1"/>
    <sheet name="訓練データ" sheetId="1" r:id="rId2"/>
    <sheet name="評価データ" sheetId="2" r:id="rId3"/>
    <sheet name="練習（モデル作成）" sheetId="6" r:id="rId4"/>
    <sheet name="練習（モデル作成）（参考）" sheetId="4" r:id="rId5"/>
    <sheet name="練習（予測）" sheetId="5" r:id="rId6"/>
    <sheet name="練習（予測） 参考" sheetId="7" state="hidden" r:id="rId7"/>
    <sheet name="RMSE" sheetId="8" r:id="rId8"/>
    <sheet name="分析（例）" sheetId="9" r:id="rId9"/>
    <sheet name="分析（例の回答）" sheetId="12" state="hidden" r:id="rId10"/>
    <sheet name="分析（例の回答） (2)" sheetId="14" state="hidden" r:id="rId11"/>
    <sheet name="予測（例の回答）" sheetId="13" state="hidden" r:id="rId12"/>
    <sheet name="予測（例の回答） (2)" sheetId="15" state="hidden" r:id="rId13"/>
    <sheet name="結果（例）" sheetId="11" state="hidden" r:id="rId14"/>
    <sheet name="RMSE（参考）" sheetId="3" state="hidden" r:id="rId15"/>
  </sheets>
  <definedNames>
    <definedName name="solver_eng" localSheetId="4" hidden="1">1</definedName>
    <definedName name="solver_lin" localSheetId="4" hidden="1">2</definedName>
    <definedName name="solver_neg" localSheetId="4" hidden="1">1</definedName>
    <definedName name="solver_num" localSheetId="4" hidden="1">0</definedName>
    <definedName name="solver_opt" localSheetId="4" hidden="1">'練習（モデル作成）（参考）'!$B$5</definedName>
    <definedName name="solver_typ" localSheetId="4" hidden="1">1</definedName>
    <definedName name="solver_val" localSheetId="4" hidden="1">0</definedName>
    <definedName name="solver_ver" localSheetId="4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5" l="1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R28" i="15" s="1"/>
  <c r="S28" i="15" s="1"/>
  <c r="Q29" i="15"/>
  <c r="Q30" i="15"/>
  <c r="Q31" i="15"/>
  <c r="Q32" i="15"/>
  <c r="Q33" i="15"/>
  <c r="Q34" i="15"/>
  <c r="Q35" i="15"/>
  <c r="R35" i="15" s="1"/>
  <c r="S35" i="15" s="1"/>
  <c r="Q36" i="15"/>
  <c r="Q37" i="15"/>
  <c r="Q38" i="15"/>
  <c r="Q39" i="15"/>
  <c r="Q40" i="15"/>
  <c r="Q41" i="15"/>
  <c r="Q42" i="15"/>
  <c r="Q43" i="15"/>
  <c r="R43" i="15" s="1"/>
  <c r="S43" i="15" s="1"/>
  <c r="Q44" i="15"/>
  <c r="R44" i="15" s="1"/>
  <c r="S44" i="15" s="1"/>
  <c r="Q45" i="15"/>
  <c r="Q46" i="15"/>
  <c r="Q47" i="15"/>
  <c r="Q48" i="15"/>
  <c r="Q49" i="15"/>
  <c r="Q50" i="15"/>
  <c r="Q51" i="15"/>
  <c r="R51" i="15" s="1"/>
  <c r="S51" i="15" s="1"/>
  <c r="Q52" i="15"/>
  <c r="R52" i="15" s="1"/>
  <c r="S52" i="15" s="1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R67" i="15" s="1"/>
  <c r="S67" i="15" s="1"/>
  <c r="Q68" i="15"/>
  <c r="R68" i="15" s="1"/>
  <c r="S68" i="15" s="1"/>
  <c r="Q69" i="15"/>
  <c r="Q70" i="15"/>
  <c r="Q71" i="15"/>
  <c r="Q72" i="15"/>
  <c r="Q73" i="15"/>
  <c r="Q74" i="15"/>
  <c r="Q75" i="15"/>
  <c r="R75" i="15" s="1"/>
  <c r="S75" i="15" s="1"/>
  <c r="Q76" i="15"/>
  <c r="R76" i="15" s="1"/>
  <c r="S76" i="15" s="1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R108" i="15" s="1"/>
  <c r="S108" i="15" s="1"/>
  <c r="Q109" i="15"/>
  <c r="Q110" i="15"/>
  <c r="Q111" i="15"/>
  <c r="Q112" i="15"/>
  <c r="Q113" i="15"/>
  <c r="Q114" i="15"/>
  <c r="Q115" i="15"/>
  <c r="Q116" i="15"/>
  <c r="R116" i="15" s="1"/>
  <c r="S116" i="15" s="1"/>
  <c r="Q117" i="15"/>
  <c r="Q118" i="15"/>
  <c r="Q119" i="15"/>
  <c r="Q120" i="15"/>
  <c r="Q121" i="15"/>
  <c r="Q122" i="15"/>
  <c r="Q123" i="15"/>
  <c r="Q124" i="15"/>
  <c r="R124" i="15" s="1"/>
  <c r="S124" i="15" s="1"/>
  <c r="Q125" i="15"/>
  <c r="Q126" i="15"/>
  <c r="Q127" i="15"/>
  <c r="Q128" i="15"/>
  <c r="Q129" i="15"/>
  <c r="Q130" i="15"/>
  <c r="Q131" i="15"/>
  <c r="R131" i="15" s="1"/>
  <c r="S131" i="15" s="1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R155" i="15" s="1"/>
  <c r="S155" i="15" s="1"/>
  <c r="Q156" i="15"/>
  <c r="R156" i="15" s="1"/>
  <c r="S156" i="15" s="1"/>
  <c r="Q157" i="15"/>
  <c r="Q158" i="15"/>
  <c r="Q159" i="15"/>
  <c r="Q160" i="15"/>
  <c r="Q161" i="15"/>
  <c r="Q162" i="15"/>
  <c r="Q163" i="15"/>
  <c r="R163" i="15" s="1"/>
  <c r="S163" i="15" s="1"/>
  <c r="Q164" i="15"/>
  <c r="R164" i="15" s="1"/>
  <c r="S164" i="15" s="1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R196" i="15" s="1"/>
  <c r="S196" i="15" s="1"/>
  <c r="Q197" i="15"/>
  <c r="Q198" i="15"/>
  <c r="Q199" i="15"/>
  <c r="Q200" i="15"/>
  <c r="Q201" i="15"/>
  <c r="Q202" i="15"/>
  <c r="Q203" i="15"/>
  <c r="R203" i="15" s="1"/>
  <c r="S203" i="15" s="1"/>
  <c r="Q204" i="15"/>
  <c r="R204" i="15" s="1"/>
  <c r="S204" i="15" s="1"/>
  <c r="Q205" i="15"/>
  <c r="Q206" i="15"/>
  <c r="Q207" i="15"/>
  <c r="Q208" i="15"/>
  <c r="Q209" i="15"/>
  <c r="Q210" i="15"/>
  <c r="Q211" i="15"/>
  <c r="R211" i="15" s="1"/>
  <c r="S211" i="15" s="1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R228" i="15" s="1"/>
  <c r="S228" i="15" s="1"/>
  <c r="Q229" i="15"/>
  <c r="Q230" i="15"/>
  <c r="Q231" i="15"/>
  <c r="Q232" i="15"/>
  <c r="Q233" i="15"/>
  <c r="Q234" i="15"/>
  <c r="Q235" i="15"/>
  <c r="R235" i="15" s="1"/>
  <c r="S235" i="15" s="1"/>
  <c r="Q236" i="15"/>
  <c r="R236" i="15" s="1"/>
  <c r="S236" i="15" s="1"/>
  <c r="Q237" i="15"/>
  <c r="Q238" i="15"/>
  <c r="Q239" i="15"/>
  <c r="Q240" i="15"/>
  <c r="Q241" i="15"/>
  <c r="Q242" i="15"/>
  <c r="Q243" i="15"/>
  <c r="Q244" i="15"/>
  <c r="R244" i="15" s="1"/>
  <c r="S244" i="15" s="1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R268" i="15" s="1"/>
  <c r="S268" i="15" s="1"/>
  <c r="Q269" i="15"/>
  <c r="Q270" i="15"/>
  <c r="Q271" i="15"/>
  <c r="Q272" i="15"/>
  <c r="Q273" i="15"/>
  <c r="Q274" i="15"/>
  <c r="Q275" i="15"/>
  <c r="R275" i="15" s="1"/>
  <c r="S275" i="15" s="1"/>
  <c r="Q276" i="15"/>
  <c r="Q277" i="15"/>
  <c r="Q278" i="15"/>
  <c r="Q279" i="15"/>
  <c r="Q280" i="15"/>
  <c r="Q281" i="15"/>
  <c r="Q282" i="15"/>
  <c r="Q283" i="15"/>
  <c r="R283" i="15" s="1"/>
  <c r="S283" i="15" s="1"/>
  <c r="Q284" i="15"/>
  <c r="R284" i="15" s="1"/>
  <c r="S284" i="15" s="1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R307" i="15" s="1"/>
  <c r="S307" i="15" s="1"/>
  <c r="Q308" i="15"/>
  <c r="R308" i="15" s="1"/>
  <c r="S308" i="15" s="1"/>
  <c r="Q309" i="15"/>
  <c r="Q310" i="15"/>
  <c r="Q311" i="15"/>
  <c r="Q312" i="15"/>
  <c r="Q313" i="15"/>
  <c r="Q314" i="15"/>
  <c r="Q315" i="15"/>
  <c r="R315" i="15" s="1"/>
  <c r="S315" i="15" s="1"/>
  <c r="Q316" i="15"/>
  <c r="R316" i="15" s="1"/>
  <c r="S316" i="15" s="1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R340" i="15" s="1"/>
  <c r="S340" i="15" s="1"/>
  <c r="Q341" i="15"/>
  <c r="Q342" i="15"/>
  <c r="Q343" i="15"/>
  <c r="Q344" i="15"/>
  <c r="Q345" i="15"/>
  <c r="Q346" i="15"/>
  <c r="Q347" i="15"/>
  <c r="R347" i="15" s="1"/>
  <c r="S347" i="15" s="1"/>
  <c r="Q348" i="15"/>
  <c r="R348" i="15" s="1"/>
  <c r="S348" i="15" s="1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R364" i="15" s="1"/>
  <c r="S364" i="15" s="1"/>
  <c r="Q365" i="15"/>
  <c r="Q366" i="15"/>
  <c r="Q367" i="15"/>
  <c r="Q368" i="15"/>
  <c r="Q369" i="15"/>
  <c r="Q4" i="15"/>
  <c r="R12" i="15"/>
  <c r="S12" i="15" s="1"/>
  <c r="R20" i="15"/>
  <c r="S20" i="15" s="1"/>
  <c r="R59" i="15"/>
  <c r="S59" i="15" s="1"/>
  <c r="R60" i="15"/>
  <c r="S60" i="15" s="1"/>
  <c r="R84" i="15"/>
  <c r="S84" i="15" s="1"/>
  <c r="R92" i="15"/>
  <c r="S92" i="15" s="1"/>
  <c r="R100" i="15"/>
  <c r="S100" i="15" s="1"/>
  <c r="R107" i="15"/>
  <c r="S107" i="15" s="1"/>
  <c r="R132" i="15"/>
  <c r="S132" i="15" s="1"/>
  <c r="R139" i="15"/>
  <c r="S139" i="15" s="1"/>
  <c r="R140" i="15"/>
  <c r="S140" i="15" s="1"/>
  <c r="R147" i="15"/>
  <c r="S147" i="15" s="1"/>
  <c r="R171" i="15"/>
  <c r="S171" i="15" s="1"/>
  <c r="R172" i="15"/>
  <c r="S172" i="15" s="1"/>
  <c r="R180" i="15"/>
  <c r="S180" i="15" s="1"/>
  <c r="R195" i="15"/>
  <c r="S195" i="15" s="1"/>
  <c r="R212" i="15"/>
  <c r="S212" i="15" s="1"/>
  <c r="R219" i="15"/>
  <c r="S219" i="15" s="1"/>
  <c r="R220" i="15"/>
  <c r="S220" i="15" s="1"/>
  <c r="R227" i="15"/>
  <c r="S227" i="15" s="1"/>
  <c r="R252" i="15"/>
  <c r="S252" i="15" s="1"/>
  <c r="R259" i="15"/>
  <c r="S259" i="15" s="1"/>
  <c r="R260" i="15"/>
  <c r="S260" i="15" s="1"/>
  <c r="R267" i="15"/>
  <c r="S267" i="15" s="1"/>
  <c r="R291" i="15"/>
  <c r="S291" i="15" s="1"/>
  <c r="R292" i="15"/>
  <c r="S292" i="15" s="1"/>
  <c r="R299" i="15"/>
  <c r="S299" i="15" s="1"/>
  <c r="R300" i="15"/>
  <c r="S300" i="15" s="1"/>
  <c r="R324" i="15"/>
  <c r="S324" i="15" s="1"/>
  <c r="R331" i="15"/>
  <c r="S331" i="15" s="1"/>
  <c r="R332" i="15"/>
  <c r="S332" i="15" s="1"/>
  <c r="R339" i="15"/>
  <c r="S339" i="15" s="1"/>
  <c r="R346" i="15"/>
  <c r="S346" i="15" s="1"/>
  <c r="R355" i="15"/>
  <c r="S355" i="15" s="1"/>
  <c r="R356" i="15"/>
  <c r="S356" i="15" s="1"/>
  <c r="R363" i="15"/>
  <c r="S363" i="15" s="1"/>
  <c r="R36" i="15"/>
  <c r="S36" i="15" s="1"/>
  <c r="R188" i="15"/>
  <c r="S188" i="15" s="1"/>
  <c r="R313" i="15"/>
  <c r="S313" i="15" s="1"/>
  <c r="R314" i="15"/>
  <c r="S314" i="15" s="1"/>
  <c r="R369" i="15"/>
  <c r="S369" i="15" s="1"/>
  <c r="R148" i="15"/>
  <c r="S148" i="15" s="1"/>
  <c r="R276" i="15"/>
  <c r="S276" i="15" s="1"/>
  <c r="R330" i="15"/>
  <c r="S330" i="15" s="1"/>
  <c r="R321" i="15"/>
  <c r="S321" i="15" s="1"/>
  <c r="R337" i="15"/>
  <c r="S337" i="15" s="1"/>
  <c r="R338" i="15"/>
  <c r="S338" i="15" s="1"/>
  <c r="R368" i="15"/>
  <c r="S368" i="15" s="1"/>
  <c r="R322" i="15"/>
  <c r="S322" i="15" s="1"/>
  <c r="R323" i="15"/>
  <c r="S323" i="15" s="1"/>
  <c r="R329" i="15"/>
  <c r="S329" i="15" s="1"/>
  <c r="R345" i="15"/>
  <c r="S345" i="15" s="1"/>
  <c r="R365" i="15"/>
  <c r="S365" i="15" s="1"/>
  <c r="R367" i="15"/>
  <c r="S367" i="15" s="1"/>
  <c r="R366" i="15"/>
  <c r="S366" i="15" s="1"/>
  <c r="R362" i="15"/>
  <c r="S362" i="15" s="1"/>
  <c r="R361" i="15"/>
  <c r="S361" i="15" s="1"/>
  <c r="R360" i="15"/>
  <c r="S360" i="15" s="1"/>
  <c r="R359" i="15"/>
  <c r="S359" i="15" s="1"/>
  <c r="R358" i="15"/>
  <c r="S358" i="15" s="1"/>
  <c r="R357" i="15"/>
  <c r="S357" i="15" s="1"/>
  <c r="R354" i="15"/>
  <c r="S354" i="15" s="1"/>
  <c r="R353" i="15"/>
  <c r="S353" i="15" s="1"/>
  <c r="R352" i="15"/>
  <c r="S352" i="15" s="1"/>
  <c r="R351" i="15"/>
  <c r="S351" i="15" s="1"/>
  <c r="R350" i="15"/>
  <c r="S350" i="15" s="1"/>
  <c r="R349" i="15"/>
  <c r="S349" i="15" s="1"/>
  <c r="R344" i="15"/>
  <c r="S344" i="15" s="1"/>
  <c r="R343" i="15"/>
  <c r="S343" i="15" s="1"/>
  <c r="R342" i="15"/>
  <c r="S342" i="15" s="1"/>
  <c r="R341" i="15"/>
  <c r="S341" i="15" s="1"/>
  <c r="R336" i="15"/>
  <c r="S336" i="15" s="1"/>
  <c r="R335" i="15"/>
  <c r="S335" i="15" s="1"/>
  <c r="R334" i="15"/>
  <c r="S334" i="15" s="1"/>
  <c r="R333" i="15"/>
  <c r="S333" i="15" s="1"/>
  <c r="R328" i="15"/>
  <c r="S328" i="15" s="1"/>
  <c r="R327" i="15"/>
  <c r="S327" i="15" s="1"/>
  <c r="R326" i="15"/>
  <c r="S326" i="15" s="1"/>
  <c r="R325" i="15"/>
  <c r="S325" i="15" s="1"/>
  <c r="R320" i="15"/>
  <c r="S320" i="15" s="1"/>
  <c r="R319" i="15"/>
  <c r="S319" i="15" s="1"/>
  <c r="R318" i="15"/>
  <c r="S318" i="15" s="1"/>
  <c r="R317" i="15"/>
  <c r="S317" i="15" s="1"/>
  <c r="R312" i="15"/>
  <c r="S312" i="15" s="1"/>
  <c r="R311" i="15"/>
  <c r="S311" i="15" s="1"/>
  <c r="R310" i="15"/>
  <c r="S310" i="15" s="1"/>
  <c r="R309" i="15"/>
  <c r="S309" i="15" s="1"/>
  <c r="R306" i="15"/>
  <c r="S306" i="15" s="1"/>
  <c r="R305" i="15"/>
  <c r="S305" i="15" s="1"/>
  <c r="R304" i="15"/>
  <c r="S304" i="15" s="1"/>
  <c r="R303" i="15"/>
  <c r="S303" i="15" s="1"/>
  <c r="R302" i="15"/>
  <c r="S302" i="15" s="1"/>
  <c r="R301" i="15"/>
  <c r="S301" i="15" s="1"/>
  <c r="R298" i="15"/>
  <c r="S298" i="15" s="1"/>
  <c r="R297" i="15"/>
  <c r="S297" i="15" s="1"/>
  <c r="R296" i="15"/>
  <c r="S296" i="15" s="1"/>
  <c r="R295" i="15"/>
  <c r="S295" i="15" s="1"/>
  <c r="R294" i="15"/>
  <c r="S294" i="15" s="1"/>
  <c r="R293" i="15"/>
  <c r="S293" i="15" s="1"/>
  <c r="R290" i="15"/>
  <c r="S290" i="15" s="1"/>
  <c r="R289" i="15"/>
  <c r="S289" i="15" s="1"/>
  <c r="R288" i="15"/>
  <c r="S288" i="15" s="1"/>
  <c r="R287" i="15"/>
  <c r="S287" i="15" s="1"/>
  <c r="R286" i="15"/>
  <c r="S286" i="15" s="1"/>
  <c r="R285" i="15"/>
  <c r="S285" i="15" s="1"/>
  <c r="R282" i="15"/>
  <c r="S282" i="15" s="1"/>
  <c r="R281" i="15"/>
  <c r="S281" i="15" s="1"/>
  <c r="R280" i="15"/>
  <c r="S280" i="15" s="1"/>
  <c r="R279" i="15"/>
  <c r="S279" i="15" s="1"/>
  <c r="R278" i="15"/>
  <c r="S278" i="15" s="1"/>
  <c r="R277" i="15"/>
  <c r="S277" i="15" s="1"/>
  <c r="R274" i="15"/>
  <c r="S274" i="15" s="1"/>
  <c r="R273" i="15"/>
  <c r="S273" i="15" s="1"/>
  <c r="R272" i="15"/>
  <c r="S272" i="15" s="1"/>
  <c r="R271" i="15"/>
  <c r="S271" i="15" s="1"/>
  <c r="R270" i="15"/>
  <c r="S270" i="15" s="1"/>
  <c r="R269" i="15"/>
  <c r="S269" i="15" s="1"/>
  <c r="R266" i="15"/>
  <c r="S266" i="15" s="1"/>
  <c r="R265" i="15"/>
  <c r="S265" i="15" s="1"/>
  <c r="R264" i="15"/>
  <c r="S264" i="15" s="1"/>
  <c r="R263" i="15"/>
  <c r="S263" i="15" s="1"/>
  <c r="R262" i="15"/>
  <c r="S262" i="15" s="1"/>
  <c r="R261" i="15"/>
  <c r="S261" i="15" s="1"/>
  <c r="R258" i="15"/>
  <c r="S258" i="15" s="1"/>
  <c r="R257" i="15"/>
  <c r="S257" i="15" s="1"/>
  <c r="R256" i="15"/>
  <c r="S256" i="15" s="1"/>
  <c r="R255" i="15"/>
  <c r="S255" i="15" s="1"/>
  <c r="R254" i="15"/>
  <c r="S254" i="15" s="1"/>
  <c r="R253" i="15"/>
  <c r="S253" i="15" s="1"/>
  <c r="R251" i="15"/>
  <c r="S251" i="15" s="1"/>
  <c r="R250" i="15"/>
  <c r="S250" i="15" s="1"/>
  <c r="R249" i="15"/>
  <c r="S249" i="15" s="1"/>
  <c r="R248" i="15"/>
  <c r="S248" i="15" s="1"/>
  <c r="R247" i="15"/>
  <c r="S247" i="15" s="1"/>
  <c r="R246" i="15"/>
  <c r="S246" i="15" s="1"/>
  <c r="R245" i="15"/>
  <c r="S245" i="15" s="1"/>
  <c r="R243" i="15"/>
  <c r="S243" i="15" s="1"/>
  <c r="R242" i="15"/>
  <c r="S242" i="15" s="1"/>
  <c r="R241" i="15"/>
  <c r="S241" i="15" s="1"/>
  <c r="R240" i="15"/>
  <c r="S240" i="15" s="1"/>
  <c r="R239" i="15"/>
  <c r="S239" i="15" s="1"/>
  <c r="R238" i="15"/>
  <c r="S238" i="15" s="1"/>
  <c r="R237" i="15"/>
  <c r="S237" i="15" s="1"/>
  <c r="R234" i="15"/>
  <c r="S234" i="15" s="1"/>
  <c r="R233" i="15"/>
  <c r="S233" i="15" s="1"/>
  <c r="R232" i="15"/>
  <c r="S232" i="15" s="1"/>
  <c r="R231" i="15"/>
  <c r="S231" i="15" s="1"/>
  <c r="R230" i="15"/>
  <c r="S230" i="15" s="1"/>
  <c r="R229" i="15"/>
  <c r="S229" i="15" s="1"/>
  <c r="R226" i="15"/>
  <c r="S226" i="15" s="1"/>
  <c r="R225" i="15"/>
  <c r="S225" i="15" s="1"/>
  <c r="R224" i="15"/>
  <c r="S224" i="15" s="1"/>
  <c r="R223" i="15"/>
  <c r="S223" i="15" s="1"/>
  <c r="R222" i="15"/>
  <c r="S222" i="15" s="1"/>
  <c r="R221" i="15"/>
  <c r="S221" i="15" s="1"/>
  <c r="R218" i="15"/>
  <c r="S218" i="15" s="1"/>
  <c r="R217" i="15"/>
  <c r="S217" i="15" s="1"/>
  <c r="R216" i="15"/>
  <c r="S216" i="15" s="1"/>
  <c r="R215" i="15"/>
  <c r="S215" i="15" s="1"/>
  <c r="R214" i="15"/>
  <c r="S214" i="15" s="1"/>
  <c r="R213" i="15"/>
  <c r="S213" i="15" s="1"/>
  <c r="R210" i="15"/>
  <c r="S210" i="15" s="1"/>
  <c r="R209" i="15"/>
  <c r="S209" i="15" s="1"/>
  <c r="R208" i="15"/>
  <c r="S208" i="15" s="1"/>
  <c r="R207" i="15"/>
  <c r="S207" i="15" s="1"/>
  <c r="R206" i="15"/>
  <c r="S206" i="15" s="1"/>
  <c r="R205" i="15"/>
  <c r="S205" i="15" s="1"/>
  <c r="R202" i="15"/>
  <c r="S202" i="15" s="1"/>
  <c r="R201" i="15"/>
  <c r="S201" i="15" s="1"/>
  <c r="R200" i="15"/>
  <c r="S200" i="15" s="1"/>
  <c r="R199" i="15"/>
  <c r="S199" i="15" s="1"/>
  <c r="R198" i="15"/>
  <c r="S198" i="15" s="1"/>
  <c r="R197" i="15"/>
  <c r="S197" i="15" s="1"/>
  <c r="R194" i="15"/>
  <c r="S194" i="15" s="1"/>
  <c r="R193" i="15"/>
  <c r="S193" i="15" s="1"/>
  <c r="R192" i="15"/>
  <c r="S192" i="15" s="1"/>
  <c r="R191" i="15"/>
  <c r="S191" i="15" s="1"/>
  <c r="R190" i="15"/>
  <c r="S190" i="15" s="1"/>
  <c r="R189" i="15"/>
  <c r="S189" i="15" s="1"/>
  <c r="R187" i="15"/>
  <c r="S187" i="15" s="1"/>
  <c r="R186" i="15"/>
  <c r="S186" i="15" s="1"/>
  <c r="R185" i="15"/>
  <c r="S185" i="15" s="1"/>
  <c r="R184" i="15"/>
  <c r="S184" i="15" s="1"/>
  <c r="R183" i="15"/>
  <c r="S183" i="15" s="1"/>
  <c r="R182" i="15"/>
  <c r="S182" i="15" s="1"/>
  <c r="R181" i="15"/>
  <c r="S181" i="15" s="1"/>
  <c r="R179" i="15"/>
  <c r="S179" i="15" s="1"/>
  <c r="R178" i="15"/>
  <c r="S178" i="15" s="1"/>
  <c r="R177" i="15"/>
  <c r="S177" i="15" s="1"/>
  <c r="R176" i="15"/>
  <c r="S176" i="15" s="1"/>
  <c r="R175" i="15"/>
  <c r="S175" i="15" s="1"/>
  <c r="R174" i="15"/>
  <c r="S174" i="15" s="1"/>
  <c r="R173" i="15"/>
  <c r="S173" i="15" s="1"/>
  <c r="R170" i="15"/>
  <c r="S170" i="15" s="1"/>
  <c r="R169" i="15"/>
  <c r="S169" i="15" s="1"/>
  <c r="R168" i="15"/>
  <c r="S168" i="15" s="1"/>
  <c r="R167" i="15"/>
  <c r="S167" i="15" s="1"/>
  <c r="R166" i="15"/>
  <c r="S166" i="15" s="1"/>
  <c r="R165" i="15"/>
  <c r="S165" i="15" s="1"/>
  <c r="R162" i="15"/>
  <c r="S162" i="15" s="1"/>
  <c r="R161" i="15"/>
  <c r="S161" i="15" s="1"/>
  <c r="R160" i="15"/>
  <c r="S160" i="15" s="1"/>
  <c r="R159" i="15"/>
  <c r="S159" i="15" s="1"/>
  <c r="R158" i="15"/>
  <c r="S158" i="15" s="1"/>
  <c r="R157" i="15"/>
  <c r="S157" i="15" s="1"/>
  <c r="R154" i="15"/>
  <c r="S154" i="15" s="1"/>
  <c r="R153" i="15"/>
  <c r="S153" i="15" s="1"/>
  <c r="R152" i="15"/>
  <c r="S152" i="15" s="1"/>
  <c r="R151" i="15"/>
  <c r="S151" i="15" s="1"/>
  <c r="R150" i="15"/>
  <c r="S150" i="15" s="1"/>
  <c r="R149" i="15"/>
  <c r="S149" i="15" s="1"/>
  <c r="R146" i="15"/>
  <c r="S146" i="15" s="1"/>
  <c r="R145" i="15"/>
  <c r="S145" i="15" s="1"/>
  <c r="R144" i="15"/>
  <c r="S144" i="15" s="1"/>
  <c r="R143" i="15"/>
  <c r="S143" i="15" s="1"/>
  <c r="R142" i="15"/>
  <c r="S142" i="15" s="1"/>
  <c r="R141" i="15"/>
  <c r="S141" i="15" s="1"/>
  <c r="R138" i="15"/>
  <c r="S138" i="15" s="1"/>
  <c r="R137" i="15"/>
  <c r="S137" i="15" s="1"/>
  <c r="R136" i="15"/>
  <c r="S136" i="15" s="1"/>
  <c r="R135" i="15"/>
  <c r="S135" i="15" s="1"/>
  <c r="R134" i="15"/>
  <c r="S134" i="15" s="1"/>
  <c r="R133" i="15"/>
  <c r="S133" i="15" s="1"/>
  <c r="R130" i="15"/>
  <c r="S130" i="15" s="1"/>
  <c r="R129" i="15"/>
  <c r="S129" i="15" s="1"/>
  <c r="R128" i="15"/>
  <c r="S128" i="15" s="1"/>
  <c r="R127" i="15"/>
  <c r="S127" i="15" s="1"/>
  <c r="R126" i="15"/>
  <c r="S126" i="15" s="1"/>
  <c r="R125" i="15"/>
  <c r="S125" i="15" s="1"/>
  <c r="R123" i="15"/>
  <c r="S123" i="15" s="1"/>
  <c r="R122" i="15"/>
  <c r="S122" i="15" s="1"/>
  <c r="R121" i="15"/>
  <c r="S121" i="15" s="1"/>
  <c r="R120" i="15"/>
  <c r="S120" i="15" s="1"/>
  <c r="R119" i="15"/>
  <c r="S119" i="15" s="1"/>
  <c r="R118" i="15"/>
  <c r="S118" i="15" s="1"/>
  <c r="R117" i="15"/>
  <c r="S117" i="15" s="1"/>
  <c r="R115" i="15"/>
  <c r="S115" i="15" s="1"/>
  <c r="R114" i="15"/>
  <c r="S114" i="15" s="1"/>
  <c r="R113" i="15"/>
  <c r="S113" i="15" s="1"/>
  <c r="R112" i="15"/>
  <c r="S112" i="15" s="1"/>
  <c r="R111" i="15"/>
  <c r="S111" i="15" s="1"/>
  <c r="R110" i="15"/>
  <c r="S110" i="15" s="1"/>
  <c r="R109" i="15"/>
  <c r="S109" i="15" s="1"/>
  <c r="R106" i="15"/>
  <c r="S106" i="15" s="1"/>
  <c r="R105" i="15"/>
  <c r="S105" i="15" s="1"/>
  <c r="R104" i="15"/>
  <c r="S104" i="15" s="1"/>
  <c r="R103" i="15"/>
  <c r="S103" i="15" s="1"/>
  <c r="R102" i="15"/>
  <c r="S102" i="15" s="1"/>
  <c r="R101" i="15"/>
  <c r="S101" i="15" s="1"/>
  <c r="R99" i="15"/>
  <c r="S99" i="15" s="1"/>
  <c r="R98" i="15"/>
  <c r="S98" i="15" s="1"/>
  <c r="R97" i="15"/>
  <c r="S97" i="15" s="1"/>
  <c r="R96" i="15"/>
  <c r="S96" i="15" s="1"/>
  <c r="R95" i="15"/>
  <c r="S95" i="15" s="1"/>
  <c r="R94" i="15"/>
  <c r="S94" i="15" s="1"/>
  <c r="R93" i="15"/>
  <c r="S93" i="15" s="1"/>
  <c r="R91" i="15"/>
  <c r="S91" i="15" s="1"/>
  <c r="R90" i="15"/>
  <c r="S90" i="15" s="1"/>
  <c r="R89" i="15"/>
  <c r="S89" i="15" s="1"/>
  <c r="R88" i="15"/>
  <c r="S88" i="15" s="1"/>
  <c r="R87" i="15"/>
  <c r="S87" i="15" s="1"/>
  <c r="R86" i="15"/>
  <c r="S86" i="15" s="1"/>
  <c r="R85" i="15"/>
  <c r="S85" i="15" s="1"/>
  <c r="R83" i="15"/>
  <c r="S83" i="15" s="1"/>
  <c r="R82" i="15"/>
  <c r="S82" i="15" s="1"/>
  <c r="R81" i="15"/>
  <c r="S81" i="15" s="1"/>
  <c r="R80" i="15"/>
  <c r="S80" i="15" s="1"/>
  <c r="R79" i="15"/>
  <c r="S79" i="15" s="1"/>
  <c r="R78" i="15"/>
  <c r="S78" i="15" s="1"/>
  <c r="R77" i="15"/>
  <c r="S77" i="15" s="1"/>
  <c r="R74" i="15"/>
  <c r="S74" i="15" s="1"/>
  <c r="R73" i="15"/>
  <c r="S73" i="15" s="1"/>
  <c r="R72" i="15"/>
  <c r="S72" i="15" s="1"/>
  <c r="R71" i="15"/>
  <c r="S71" i="15" s="1"/>
  <c r="R70" i="15"/>
  <c r="S70" i="15" s="1"/>
  <c r="R69" i="15"/>
  <c r="S69" i="15" s="1"/>
  <c r="R66" i="15"/>
  <c r="S66" i="15" s="1"/>
  <c r="R65" i="15"/>
  <c r="S65" i="15" s="1"/>
  <c r="R64" i="15"/>
  <c r="S64" i="15" s="1"/>
  <c r="R63" i="15"/>
  <c r="S63" i="15" s="1"/>
  <c r="R62" i="15"/>
  <c r="S62" i="15" s="1"/>
  <c r="R61" i="15"/>
  <c r="S61" i="15" s="1"/>
  <c r="R58" i="15"/>
  <c r="S58" i="15" s="1"/>
  <c r="R57" i="15"/>
  <c r="S57" i="15" s="1"/>
  <c r="R56" i="15"/>
  <c r="S56" i="15" s="1"/>
  <c r="R55" i="15"/>
  <c r="S55" i="15" s="1"/>
  <c r="R54" i="15"/>
  <c r="S54" i="15" s="1"/>
  <c r="R53" i="15"/>
  <c r="S53" i="15" s="1"/>
  <c r="R50" i="15"/>
  <c r="S50" i="15" s="1"/>
  <c r="R49" i="15"/>
  <c r="S49" i="15" s="1"/>
  <c r="R48" i="15"/>
  <c r="S48" i="15" s="1"/>
  <c r="R47" i="15"/>
  <c r="S47" i="15" s="1"/>
  <c r="R46" i="15"/>
  <c r="S46" i="15" s="1"/>
  <c r="R45" i="15"/>
  <c r="S45" i="15" s="1"/>
  <c r="R42" i="15"/>
  <c r="S42" i="15" s="1"/>
  <c r="R41" i="15"/>
  <c r="S41" i="15" s="1"/>
  <c r="R40" i="15"/>
  <c r="S40" i="15" s="1"/>
  <c r="R39" i="15"/>
  <c r="S39" i="15" s="1"/>
  <c r="R38" i="15"/>
  <c r="S38" i="15" s="1"/>
  <c r="R37" i="15"/>
  <c r="S37" i="15" s="1"/>
  <c r="R34" i="15"/>
  <c r="S34" i="15" s="1"/>
  <c r="R33" i="15"/>
  <c r="S33" i="15" s="1"/>
  <c r="R32" i="15"/>
  <c r="S32" i="15" s="1"/>
  <c r="R31" i="15"/>
  <c r="S31" i="15" s="1"/>
  <c r="R30" i="15"/>
  <c r="S30" i="15" s="1"/>
  <c r="R29" i="15"/>
  <c r="S29" i="15" s="1"/>
  <c r="R27" i="15"/>
  <c r="S27" i="15" s="1"/>
  <c r="R26" i="15"/>
  <c r="S26" i="15" s="1"/>
  <c r="R25" i="15"/>
  <c r="S25" i="15" s="1"/>
  <c r="R24" i="15"/>
  <c r="S24" i="15" s="1"/>
  <c r="R23" i="15"/>
  <c r="S23" i="15" s="1"/>
  <c r="R22" i="15"/>
  <c r="S22" i="15" s="1"/>
  <c r="R21" i="15"/>
  <c r="S21" i="15" s="1"/>
  <c r="X19" i="15" a="1"/>
  <c r="X19" i="15" s="1"/>
  <c r="R19" i="15"/>
  <c r="S19" i="15" s="1"/>
  <c r="R18" i="15"/>
  <c r="S18" i="15" s="1"/>
  <c r="R17" i="15"/>
  <c r="S17" i="15" s="1"/>
  <c r="R16" i="15"/>
  <c r="S16" i="15" s="1"/>
  <c r="R15" i="15"/>
  <c r="S15" i="15" s="1"/>
  <c r="R14" i="15"/>
  <c r="S14" i="15" s="1"/>
  <c r="R13" i="15"/>
  <c r="S13" i="15" s="1"/>
  <c r="R11" i="15"/>
  <c r="S11" i="15" s="1"/>
  <c r="R10" i="15"/>
  <c r="S10" i="15" s="1"/>
  <c r="R9" i="15"/>
  <c r="S9" i="15" s="1"/>
  <c r="R8" i="15"/>
  <c r="S8" i="15" s="1"/>
  <c r="R7" i="15"/>
  <c r="S7" i="15" s="1"/>
  <c r="R6" i="15"/>
  <c r="S6" i="15" s="1"/>
  <c r="R5" i="15"/>
  <c r="S5" i="15" s="1"/>
  <c r="R4" i="15"/>
  <c r="S4" i="15" s="1"/>
  <c r="U6" i="13"/>
  <c r="U5" i="13"/>
  <c r="U4" i="13"/>
  <c r="S4" i="13"/>
  <c r="S5" i="13"/>
  <c r="S6" i="13"/>
  <c r="S7" i="13"/>
  <c r="S8" i="13"/>
  <c r="S9" i="13"/>
  <c r="S10" i="13"/>
  <c r="S11" i="13"/>
  <c r="S12" i="13"/>
  <c r="S13" i="13"/>
  <c r="S14" i="13"/>
  <c r="S15" i="13"/>
  <c r="S16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64" i="13"/>
  <c r="S65" i="13"/>
  <c r="S66" i="13"/>
  <c r="S67" i="13"/>
  <c r="S68" i="13"/>
  <c r="S69" i="13"/>
  <c r="S70" i="13"/>
  <c r="S71" i="13"/>
  <c r="S72" i="13"/>
  <c r="S73" i="13"/>
  <c r="S74" i="13"/>
  <c r="S75" i="13"/>
  <c r="S76" i="13"/>
  <c r="S77" i="13"/>
  <c r="S78" i="13"/>
  <c r="S79" i="13"/>
  <c r="S80" i="13"/>
  <c r="S81" i="13"/>
  <c r="S82" i="13"/>
  <c r="S83" i="13"/>
  <c r="S84" i="13"/>
  <c r="S85" i="13"/>
  <c r="S86" i="13"/>
  <c r="S87" i="13"/>
  <c r="S88" i="13"/>
  <c r="S89" i="13"/>
  <c r="S90" i="13"/>
  <c r="S91" i="13"/>
  <c r="S92" i="13"/>
  <c r="S93" i="13"/>
  <c r="S94" i="13"/>
  <c r="S95" i="13"/>
  <c r="S96" i="13"/>
  <c r="S97" i="13"/>
  <c r="S98" i="13"/>
  <c r="S99" i="13"/>
  <c r="S100" i="13"/>
  <c r="S101" i="13"/>
  <c r="S102" i="13"/>
  <c r="S103" i="13"/>
  <c r="S104" i="13"/>
  <c r="S105" i="13"/>
  <c r="S106" i="13"/>
  <c r="S107" i="13"/>
  <c r="S108" i="13"/>
  <c r="S109" i="13"/>
  <c r="S110" i="13"/>
  <c r="S111" i="13"/>
  <c r="S112" i="13"/>
  <c r="S113" i="13"/>
  <c r="S114" i="13"/>
  <c r="S115" i="13"/>
  <c r="S116" i="13"/>
  <c r="S117" i="13"/>
  <c r="S118" i="13"/>
  <c r="S119" i="13"/>
  <c r="S120" i="13"/>
  <c r="S121" i="13"/>
  <c r="S122" i="13"/>
  <c r="S123" i="13"/>
  <c r="S124" i="13"/>
  <c r="S125" i="13"/>
  <c r="S126" i="13"/>
  <c r="S127" i="13"/>
  <c r="S128" i="13"/>
  <c r="S129" i="13"/>
  <c r="S130" i="13"/>
  <c r="S131" i="13"/>
  <c r="S132" i="13"/>
  <c r="S133" i="13"/>
  <c r="S134" i="13"/>
  <c r="S135" i="13"/>
  <c r="S136" i="13"/>
  <c r="S137" i="13"/>
  <c r="S138" i="13"/>
  <c r="S139" i="13"/>
  <c r="S140" i="13"/>
  <c r="S141" i="13"/>
  <c r="S142" i="13"/>
  <c r="S143" i="13"/>
  <c r="S144" i="13"/>
  <c r="S145" i="13"/>
  <c r="S146" i="13"/>
  <c r="S147" i="13"/>
  <c r="S148" i="13"/>
  <c r="S149" i="13"/>
  <c r="S150" i="13"/>
  <c r="S151" i="13"/>
  <c r="S152" i="13"/>
  <c r="S153" i="13"/>
  <c r="S154" i="13"/>
  <c r="S155" i="13"/>
  <c r="S156" i="13"/>
  <c r="S157" i="13"/>
  <c r="S158" i="13"/>
  <c r="S159" i="13"/>
  <c r="S160" i="13"/>
  <c r="S161" i="13"/>
  <c r="S162" i="13"/>
  <c r="S163" i="13"/>
  <c r="S164" i="13"/>
  <c r="S165" i="13"/>
  <c r="S166" i="13"/>
  <c r="S167" i="13"/>
  <c r="S168" i="13"/>
  <c r="S169" i="13"/>
  <c r="S170" i="13"/>
  <c r="S171" i="13"/>
  <c r="S172" i="13"/>
  <c r="S173" i="13"/>
  <c r="S174" i="13"/>
  <c r="S175" i="13"/>
  <c r="S176" i="13"/>
  <c r="S177" i="13"/>
  <c r="S178" i="13"/>
  <c r="S179" i="13"/>
  <c r="S180" i="13"/>
  <c r="S181" i="13"/>
  <c r="S182" i="13"/>
  <c r="S183" i="13"/>
  <c r="S184" i="13"/>
  <c r="S185" i="13"/>
  <c r="S186" i="13"/>
  <c r="S187" i="13"/>
  <c r="S188" i="13"/>
  <c r="S189" i="13"/>
  <c r="S190" i="13"/>
  <c r="S191" i="13"/>
  <c r="S192" i="13"/>
  <c r="S193" i="13"/>
  <c r="S194" i="13"/>
  <c r="S195" i="13"/>
  <c r="S196" i="13"/>
  <c r="S197" i="13"/>
  <c r="S198" i="13"/>
  <c r="S199" i="13"/>
  <c r="S200" i="13"/>
  <c r="S201" i="13"/>
  <c r="S202" i="13"/>
  <c r="S203" i="13"/>
  <c r="S204" i="13"/>
  <c r="S205" i="13"/>
  <c r="S206" i="13"/>
  <c r="S207" i="13"/>
  <c r="S208" i="13"/>
  <c r="S209" i="13"/>
  <c r="S210" i="13"/>
  <c r="S211" i="13"/>
  <c r="S212" i="13"/>
  <c r="S213" i="13"/>
  <c r="S214" i="13"/>
  <c r="S215" i="13"/>
  <c r="S216" i="13"/>
  <c r="S217" i="13"/>
  <c r="S218" i="13"/>
  <c r="S219" i="13"/>
  <c r="S220" i="13"/>
  <c r="S221" i="13"/>
  <c r="S222" i="13"/>
  <c r="S223" i="13"/>
  <c r="S224" i="13"/>
  <c r="S225" i="13"/>
  <c r="S226" i="13"/>
  <c r="S227" i="13"/>
  <c r="S228" i="13"/>
  <c r="S229" i="13"/>
  <c r="S230" i="13"/>
  <c r="S231" i="13"/>
  <c r="S232" i="13"/>
  <c r="S233" i="13"/>
  <c r="S234" i="13"/>
  <c r="S235" i="13"/>
  <c r="S236" i="13"/>
  <c r="S237" i="13"/>
  <c r="S238" i="13"/>
  <c r="S239" i="13"/>
  <c r="S240" i="13"/>
  <c r="S241" i="13"/>
  <c r="S242" i="13"/>
  <c r="S243" i="13"/>
  <c r="S244" i="13"/>
  <c r="S245" i="13"/>
  <c r="S246" i="13"/>
  <c r="S247" i="13"/>
  <c r="S248" i="13"/>
  <c r="S249" i="13"/>
  <c r="S250" i="13"/>
  <c r="S251" i="13"/>
  <c r="S252" i="13"/>
  <c r="S253" i="13"/>
  <c r="S254" i="13"/>
  <c r="S255" i="13"/>
  <c r="S256" i="13"/>
  <c r="S257" i="13"/>
  <c r="S258" i="13"/>
  <c r="S259" i="13"/>
  <c r="S260" i="13"/>
  <c r="S261" i="13"/>
  <c r="S262" i="13"/>
  <c r="S263" i="13"/>
  <c r="S264" i="13"/>
  <c r="S265" i="13"/>
  <c r="S266" i="13"/>
  <c r="S267" i="13"/>
  <c r="S268" i="13"/>
  <c r="S269" i="13"/>
  <c r="S270" i="13"/>
  <c r="S271" i="13"/>
  <c r="S272" i="13"/>
  <c r="S273" i="13"/>
  <c r="S274" i="13"/>
  <c r="S275" i="13"/>
  <c r="S276" i="13"/>
  <c r="S277" i="13"/>
  <c r="S278" i="13"/>
  <c r="S279" i="13"/>
  <c r="S280" i="13"/>
  <c r="S281" i="13"/>
  <c r="S282" i="13"/>
  <c r="S283" i="13"/>
  <c r="S284" i="13"/>
  <c r="S285" i="13"/>
  <c r="S286" i="13"/>
  <c r="S287" i="13"/>
  <c r="S288" i="13"/>
  <c r="S289" i="13"/>
  <c r="S290" i="13"/>
  <c r="S291" i="13"/>
  <c r="S292" i="13"/>
  <c r="S293" i="13"/>
  <c r="S294" i="13"/>
  <c r="S295" i="13"/>
  <c r="S296" i="13"/>
  <c r="S297" i="13"/>
  <c r="S298" i="13"/>
  <c r="S299" i="13"/>
  <c r="S300" i="13"/>
  <c r="S301" i="13"/>
  <c r="S302" i="13"/>
  <c r="S303" i="13"/>
  <c r="S304" i="13"/>
  <c r="S305" i="13"/>
  <c r="S306" i="13"/>
  <c r="S307" i="13"/>
  <c r="S308" i="13"/>
  <c r="S309" i="13"/>
  <c r="S310" i="13"/>
  <c r="S311" i="13"/>
  <c r="S312" i="13"/>
  <c r="S313" i="13"/>
  <c r="S314" i="13"/>
  <c r="S315" i="13"/>
  <c r="S316" i="13"/>
  <c r="S317" i="13"/>
  <c r="S318" i="13"/>
  <c r="S319" i="13"/>
  <c r="S320" i="13"/>
  <c r="S321" i="13"/>
  <c r="S322" i="13"/>
  <c r="S323" i="13"/>
  <c r="S324" i="13"/>
  <c r="S325" i="13"/>
  <c r="S326" i="13"/>
  <c r="S327" i="13"/>
  <c r="S328" i="13"/>
  <c r="S329" i="13"/>
  <c r="S330" i="13"/>
  <c r="S331" i="13"/>
  <c r="S332" i="13"/>
  <c r="S333" i="13"/>
  <c r="S334" i="13"/>
  <c r="S335" i="13"/>
  <c r="S336" i="13"/>
  <c r="S337" i="13"/>
  <c r="S338" i="13"/>
  <c r="S339" i="13"/>
  <c r="S340" i="13"/>
  <c r="S341" i="13"/>
  <c r="S342" i="13"/>
  <c r="S343" i="13"/>
  <c r="S344" i="13"/>
  <c r="S345" i="13"/>
  <c r="S346" i="13"/>
  <c r="S347" i="13"/>
  <c r="S348" i="13"/>
  <c r="S349" i="13"/>
  <c r="S350" i="13"/>
  <c r="S351" i="13"/>
  <c r="S352" i="13"/>
  <c r="S353" i="13"/>
  <c r="S354" i="13"/>
  <c r="S355" i="13"/>
  <c r="S356" i="13"/>
  <c r="S357" i="13"/>
  <c r="S358" i="13"/>
  <c r="S359" i="13"/>
  <c r="S360" i="13"/>
  <c r="S361" i="13"/>
  <c r="S362" i="13"/>
  <c r="S363" i="13"/>
  <c r="S364" i="13"/>
  <c r="S365" i="13"/>
  <c r="S366" i="13"/>
  <c r="S367" i="13"/>
  <c r="S368" i="13"/>
  <c r="S369" i="13"/>
  <c r="R6" i="13"/>
  <c r="R5" i="13"/>
  <c r="R7" i="13"/>
  <c r="R8" i="13"/>
  <c r="R9" i="13"/>
  <c r="R10" i="13"/>
  <c r="R11" i="13"/>
  <c r="R12" i="13"/>
  <c r="R13" i="13"/>
  <c r="R14" i="13"/>
  <c r="R15" i="13"/>
  <c r="R16" i="13"/>
  <c r="R17" i="13"/>
  <c r="R18" i="13"/>
  <c r="R19" i="13"/>
  <c r="R20" i="13"/>
  <c r="R21" i="13"/>
  <c r="R22" i="13"/>
  <c r="R23" i="13"/>
  <c r="R24" i="13"/>
  <c r="R25" i="13"/>
  <c r="R26" i="13"/>
  <c r="R27" i="13"/>
  <c r="R28" i="13"/>
  <c r="R29" i="13"/>
  <c r="R30" i="13"/>
  <c r="R31" i="13"/>
  <c r="R32" i="13"/>
  <c r="R33" i="13"/>
  <c r="R34" i="13"/>
  <c r="R35" i="13"/>
  <c r="R36" i="13"/>
  <c r="R37" i="13"/>
  <c r="R38" i="13"/>
  <c r="R39" i="13"/>
  <c r="R40" i="13"/>
  <c r="R41" i="13"/>
  <c r="R42" i="13"/>
  <c r="R43" i="13"/>
  <c r="R44" i="13"/>
  <c r="R45" i="13"/>
  <c r="R46" i="13"/>
  <c r="R47" i="13"/>
  <c r="R48" i="13"/>
  <c r="R49" i="13"/>
  <c r="R50" i="13"/>
  <c r="R51" i="13"/>
  <c r="R52" i="13"/>
  <c r="R53" i="13"/>
  <c r="R54" i="13"/>
  <c r="R55" i="13"/>
  <c r="R56" i="13"/>
  <c r="R57" i="13"/>
  <c r="R58" i="13"/>
  <c r="R59" i="13"/>
  <c r="R60" i="13"/>
  <c r="R61" i="13"/>
  <c r="R62" i="13"/>
  <c r="R63" i="13"/>
  <c r="R64" i="13"/>
  <c r="R65" i="13"/>
  <c r="R66" i="13"/>
  <c r="R67" i="13"/>
  <c r="R68" i="13"/>
  <c r="R69" i="13"/>
  <c r="R70" i="13"/>
  <c r="R71" i="13"/>
  <c r="R72" i="13"/>
  <c r="R73" i="13"/>
  <c r="R74" i="13"/>
  <c r="R75" i="13"/>
  <c r="R76" i="13"/>
  <c r="R77" i="13"/>
  <c r="R78" i="13"/>
  <c r="R79" i="13"/>
  <c r="R80" i="13"/>
  <c r="R81" i="13"/>
  <c r="R82" i="13"/>
  <c r="R83" i="13"/>
  <c r="R84" i="13"/>
  <c r="R85" i="13"/>
  <c r="R86" i="13"/>
  <c r="R87" i="13"/>
  <c r="R88" i="13"/>
  <c r="R89" i="13"/>
  <c r="R90" i="13"/>
  <c r="R91" i="13"/>
  <c r="R92" i="13"/>
  <c r="R93" i="13"/>
  <c r="R94" i="13"/>
  <c r="R95" i="13"/>
  <c r="R96" i="13"/>
  <c r="R97" i="13"/>
  <c r="R98" i="13"/>
  <c r="R99" i="13"/>
  <c r="R100" i="13"/>
  <c r="R101" i="13"/>
  <c r="R102" i="13"/>
  <c r="R103" i="13"/>
  <c r="R104" i="13"/>
  <c r="R105" i="13"/>
  <c r="R106" i="13"/>
  <c r="R107" i="13"/>
  <c r="R108" i="13"/>
  <c r="R109" i="13"/>
  <c r="R110" i="13"/>
  <c r="R111" i="13"/>
  <c r="R112" i="13"/>
  <c r="R113" i="13"/>
  <c r="R114" i="13"/>
  <c r="R115" i="13"/>
  <c r="R116" i="13"/>
  <c r="R117" i="13"/>
  <c r="R118" i="13"/>
  <c r="R119" i="13"/>
  <c r="R120" i="13"/>
  <c r="R121" i="13"/>
  <c r="R122" i="13"/>
  <c r="R123" i="13"/>
  <c r="R124" i="13"/>
  <c r="R125" i="13"/>
  <c r="R126" i="13"/>
  <c r="R127" i="13"/>
  <c r="R128" i="13"/>
  <c r="R129" i="13"/>
  <c r="R130" i="13"/>
  <c r="R131" i="13"/>
  <c r="R132" i="13"/>
  <c r="R133" i="13"/>
  <c r="R134" i="13"/>
  <c r="R135" i="13"/>
  <c r="R136" i="13"/>
  <c r="R137" i="13"/>
  <c r="R138" i="13"/>
  <c r="R139" i="13"/>
  <c r="R140" i="13"/>
  <c r="R141" i="13"/>
  <c r="R142" i="13"/>
  <c r="R143" i="13"/>
  <c r="R144" i="13"/>
  <c r="R145" i="13"/>
  <c r="R146" i="13"/>
  <c r="R147" i="13"/>
  <c r="R148" i="13"/>
  <c r="R149" i="13"/>
  <c r="R150" i="13"/>
  <c r="R151" i="13"/>
  <c r="R152" i="13"/>
  <c r="R153" i="13"/>
  <c r="R154" i="13"/>
  <c r="R155" i="13"/>
  <c r="R156" i="13"/>
  <c r="R157" i="13"/>
  <c r="R158" i="13"/>
  <c r="R159" i="13"/>
  <c r="R160" i="13"/>
  <c r="R161" i="13"/>
  <c r="R162" i="13"/>
  <c r="R163" i="13"/>
  <c r="R164" i="13"/>
  <c r="R165" i="13"/>
  <c r="R166" i="13"/>
  <c r="R167" i="13"/>
  <c r="R168" i="13"/>
  <c r="R169" i="13"/>
  <c r="R170" i="13"/>
  <c r="R171" i="13"/>
  <c r="R172" i="13"/>
  <c r="R173" i="13"/>
  <c r="R174" i="13"/>
  <c r="R175" i="13"/>
  <c r="R176" i="13"/>
  <c r="R177" i="13"/>
  <c r="R178" i="13"/>
  <c r="R179" i="13"/>
  <c r="R180" i="13"/>
  <c r="R181" i="13"/>
  <c r="R182" i="13"/>
  <c r="R183" i="13"/>
  <c r="R184" i="13"/>
  <c r="R185" i="13"/>
  <c r="R186" i="13"/>
  <c r="R187" i="13"/>
  <c r="R188" i="13"/>
  <c r="R189" i="13"/>
  <c r="R190" i="13"/>
  <c r="R191" i="13"/>
  <c r="R192" i="13"/>
  <c r="R193" i="13"/>
  <c r="R194" i="13"/>
  <c r="R195" i="13"/>
  <c r="R196" i="13"/>
  <c r="R197" i="13"/>
  <c r="R198" i="13"/>
  <c r="R199" i="13"/>
  <c r="R200" i="13"/>
  <c r="R201" i="13"/>
  <c r="R202" i="13"/>
  <c r="R203" i="13"/>
  <c r="R204" i="13"/>
  <c r="R205" i="13"/>
  <c r="R206" i="13"/>
  <c r="R207" i="13"/>
  <c r="R208" i="13"/>
  <c r="R209" i="13"/>
  <c r="R210" i="13"/>
  <c r="R211" i="13"/>
  <c r="R212" i="13"/>
  <c r="R213" i="13"/>
  <c r="R214" i="13"/>
  <c r="R215" i="13"/>
  <c r="R216" i="13"/>
  <c r="R217" i="13"/>
  <c r="R218" i="13"/>
  <c r="R219" i="13"/>
  <c r="R220" i="13"/>
  <c r="R221" i="13"/>
  <c r="R222" i="13"/>
  <c r="R223" i="13"/>
  <c r="R224" i="13"/>
  <c r="R225" i="13"/>
  <c r="R226" i="13"/>
  <c r="R227" i="13"/>
  <c r="R228" i="13"/>
  <c r="R229" i="13"/>
  <c r="R230" i="13"/>
  <c r="R231" i="13"/>
  <c r="R232" i="13"/>
  <c r="R233" i="13"/>
  <c r="R234" i="13"/>
  <c r="R235" i="13"/>
  <c r="R236" i="13"/>
  <c r="R237" i="13"/>
  <c r="R238" i="13"/>
  <c r="R239" i="13"/>
  <c r="R240" i="13"/>
  <c r="R241" i="13"/>
  <c r="R242" i="13"/>
  <c r="R243" i="13"/>
  <c r="R244" i="13"/>
  <c r="R245" i="13"/>
  <c r="R246" i="13"/>
  <c r="R247" i="13"/>
  <c r="R248" i="13"/>
  <c r="R249" i="13"/>
  <c r="R250" i="13"/>
  <c r="R251" i="13"/>
  <c r="R252" i="13"/>
  <c r="R253" i="13"/>
  <c r="R254" i="13"/>
  <c r="R255" i="13"/>
  <c r="R256" i="13"/>
  <c r="R257" i="13"/>
  <c r="R258" i="13"/>
  <c r="R259" i="13"/>
  <c r="R260" i="13"/>
  <c r="R261" i="13"/>
  <c r="R262" i="13"/>
  <c r="R263" i="13"/>
  <c r="R264" i="13"/>
  <c r="R265" i="13"/>
  <c r="R266" i="13"/>
  <c r="R267" i="13"/>
  <c r="R268" i="13"/>
  <c r="R269" i="13"/>
  <c r="R270" i="13"/>
  <c r="R271" i="13"/>
  <c r="R272" i="13"/>
  <c r="R273" i="13"/>
  <c r="R274" i="13"/>
  <c r="R275" i="13"/>
  <c r="R276" i="13"/>
  <c r="R277" i="13"/>
  <c r="R278" i="13"/>
  <c r="R279" i="13"/>
  <c r="R280" i="13"/>
  <c r="R281" i="13"/>
  <c r="R282" i="13"/>
  <c r="R283" i="13"/>
  <c r="R284" i="13"/>
  <c r="R285" i="13"/>
  <c r="R286" i="13"/>
  <c r="R287" i="13"/>
  <c r="R288" i="13"/>
  <c r="R289" i="13"/>
  <c r="R290" i="13"/>
  <c r="R291" i="13"/>
  <c r="R292" i="13"/>
  <c r="R293" i="13"/>
  <c r="R294" i="13"/>
  <c r="R295" i="13"/>
  <c r="R296" i="13"/>
  <c r="R297" i="13"/>
  <c r="R298" i="13"/>
  <c r="R299" i="13"/>
  <c r="R300" i="13"/>
  <c r="R301" i="13"/>
  <c r="R302" i="13"/>
  <c r="R303" i="13"/>
  <c r="R304" i="13"/>
  <c r="R305" i="13"/>
  <c r="R306" i="13"/>
  <c r="R307" i="13"/>
  <c r="R308" i="13"/>
  <c r="R309" i="13"/>
  <c r="R310" i="13"/>
  <c r="R311" i="13"/>
  <c r="R312" i="13"/>
  <c r="R313" i="13"/>
  <c r="R314" i="13"/>
  <c r="R315" i="13"/>
  <c r="R316" i="13"/>
  <c r="R317" i="13"/>
  <c r="R318" i="13"/>
  <c r="R319" i="13"/>
  <c r="R320" i="13"/>
  <c r="R321" i="13"/>
  <c r="R322" i="13"/>
  <c r="R323" i="13"/>
  <c r="R324" i="13"/>
  <c r="R325" i="13"/>
  <c r="R326" i="13"/>
  <c r="R327" i="13"/>
  <c r="R328" i="13"/>
  <c r="R329" i="13"/>
  <c r="R330" i="13"/>
  <c r="R331" i="13"/>
  <c r="R332" i="13"/>
  <c r="R333" i="13"/>
  <c r="R334" i="13"/>
  <c r="R335" i="13"/>
  <c r="R336" i="13"/>
  <c r="R337" i="13"/>
  <c r="R338" i="13"/>
  <c r="R339" i="13"/>
  <c r="R340" i="13"/>
  <c r="R341" i="13"/>
  <c r="R342" i="13"/>
  <c r="R343" i="13"/>
  <c r="R344" i="13"/>
  <c r="R345" i="13"/>
  <c r="R346" i="13"/>
  <c r="R347" i="13"/>
  <c r="R348" i="13"/>
  <c r="R349" i="13"/>
  <c r="R350" i="13"/>
  <c r="R351" i="13"/>
  <c r="R352" i="13"/>
  <c r="R353" i="13"/>
  <c r="R354" i="13"/>
  <c r="R355" i="13"/>
  <c r="R356" i="13"/>
  <c r="R357" i="13"/>
  <c r="R358" i="13"/>
  <c r="R359" i="13"/>
  <c r="R360" i="13"/>
  <c r="R361" i="13"/>
  <c r="R362" i="13"/>
  <c r="R363" i="13"/>
  <c r="R364" i="13"/>
  <c r="R365" i="13"/>
  <c r="R366" i="13"/>
  <c r="R367" i="13"/>
  <c r="R368" i="13"/>
  <c r="R369" i="13"/>
  <c r="R4" i="13"/>
  <c r="X19" i="13" a="1"/>
  <c r="X19" i="13" s="1"/>
  <c r="U4" i="15" l="1"/>
  <c r="U5" i="15" s="1"/>
  <c r="U6" i="15" s="1"/>
  <c r="X6" i="11"/>
  <c r="Q4" i="11" l="1"/>
  <c r="U4" i="11" s="1"/>
  <c r="W4" i="11" s="1"/>
  <c r="Q5" i="11"/>
  <c r="U5" i="11"/>
  <c r="W5" i="11" s="1"/>
  <c r="Q6" i="11"/>
  <c r="U6" i="11"/>
  <c r="W6" i="11" s="1"/>
  <c r="Q7" i="11"/>
  <c r="U7" i="11"/>
  <c r="W7" i="11" s="1"/>
  <c r="Q8" i="11"/>
  <c r="U8" i="11"/>
  <c r="W8" i="11"/>
  <c r="Q9" i="11"/>
  <c r="U9" i="11"/>
  <c r="W9" i="11" s="1"/>
  <c r="Q10" i="11"/>
  <c r="U10" i="11" s="1"/>
  <c r="W10" i="11" s="1"/>
  <c r="Q11" i="11"/>
  <c r="U11" i="11"/>
  <c r="W11" i="11" s="1"/>
  <c r="Q12" i="11"/>
  <c r="U12" i="11" s="1"/>
  <c r="W12" i="11" s="1"/>
  <c r="Q13" i="11"/>
  <c r="U13" i="11" s="1"/>
  <c r="W13" i="11" s="1"/>
  <c r="Q14" i="11"/>
  <c r="U14" i="11" s="1"/>
  <c r="W14" i="11" s="1"/>
  <c r="Q15" i="11"/>
  <c r="U15" i="11" s="1"/>
  <c r="W15" i="11" s="1"/>
  <c r="Q16" i="11"/>
  <c r="U16" i="11"/>
  <c r="W16" i="11" s="1"/>
  <c r="Q17" i="11"/>
  <c r="U17" i="11" s="1"/>
  <c r="W17" i="11" s="1"/>
  <c r="Q18" i="11"/>
  <c r="U18" i="11" s="1"/>
  <c r="W18" i="11" s="1"/>
  <c r="Q19" i="11"/>
  <c r="U19" i="11"/>
  <c r="W19" i="11" s="1"/>
  <c r="Q20" i="11"/>
  <c r="U20" i="11" s="1"/>
  <c r="W20" i="11" s="1"/>
  <c r="Q21" i="11"/>
  <c r="U21" i="11" s="1"/>
  <c r="W21" i="11"/>
  <c r="Q22" i="11"/>
  <c r="U22" i="11"/>
  <c r="W22" i="11"/>
  <c r="Q23" i="11"/>
  <c r="U23" i="11" s="1"/>
  <c r="W23" i="11" s="1"/>
  <c r="Q24" i="11"/>
  <c r="U24" i="11"/>
  <c r="W24" i="11" s="1"/>
  <c r="Q25" i="11"/>
  <c r="U25" i="11"/>
  <c r="W25" i="11"/>
  <c r="Z25" i="11" a="1"/>
  <c r="Z25" i="11" s="1"/>
  <c r="Q26" i="11"/>
  <c r="U26" i="11"/>
  <c r="W26" i="11" s="1"/>
  <c r="Q27" i="11"/>
  <c r="U27" i="11"/>
  <c r="W27" i="11" s="1"/>
  <c r="Q28" i="11"/>
  <c r="U28" i="11"/>
  <c r="W28" i="11" s="1"/>
  <c r="Q29" i="11"/>
  <c r="U29" i="11" s="1"/>
  <c r="W29" i="11" s="1"/>
  <c r="Q30" i="11"/>
  <c r="U30" i="11"/>
  <c r="W30" i="11" s="1"/>
  <c r="Q31" i="11"/>
  <c r="U31" i="11" s="1"/>
  <c r="W31" i="11"/>
  <c r="Q32" i="11"/>
  <c r="U32" i="11" s="1"/>
  <c r="W32" i="11" s="1"/>
  <c r="Q33" i="11"/>
  <c r="U33" i="11"/>
  <c r="W33" i="11" s="1"/>
  <c r="Q34" i="11"/>
  <c r="U34" i="11"/>
  <c r="W34" i="11" s="1"/>
  <c r="Q35" i="11"/>
  <c r="U35" i="11" s="1"/>
  <c r="W35" i="11" s="1"/>
  <c r="Q36" i="11"/>
  <c r="U36" i="11" s="1"/>
  <c r="W36" i="11" s="1"/>
  <c r="Q37" i="11"/>
  <c r="U37" i="11"/>
  <c r="W37" i="11" s="1"/>
  <c r="Q38" i="11"/>
  <c r="U38" i="11" s="1"/>
  <c r="W38" i="11" s="1"/>
  <c r="Q39" i="11"/>
  <c r="U39" i="11" s="1"/>
  <c r="W39" i="11" s="1"/>
  <c r="Q40" i="11"/>
  <c r="U40" i="11"/>
  <c r="W40" i="11" s="1"/>
  <c r="Q41" i="11"/>
  <c r="U41" i="11" s="1"/>
  <c r="W41" i="11" s="1"/>
  <c r="Q42" i="11"/>
  <c r="U42" i="11"/>
  <c r="W42" i="11"/>
  <c r="Q43" i="11"/>
  <c r="U43" i="11" s="1"/>
  <c r="W43" i="11" s="1"/>
  <c r="Q44" i="11"/>
  <c r="U44" i="11" s="1"/>
  <c r="W44" i="11" s="1"/>
  <c r="Q45" i="11"/>
  <c r="U45" i="11" s="1"/>
  <c r="W45" i="11" s="1"/>
  <c r="Q46" i="11"/>
  <c r="U46" i="11" s="1"/>
  <c r="W46" i="11" s="1"/>
  <c r="Q47" i="11"/>
  <c r="U47" i="11" s="1"/>
  <c r="W47" i="11" s="1"/>
  <c r="Q48" i="11"/>
  <c r="U48" i="11"/>
  <c r="W48" i="11"/>
  <c r="Q49" i="11"/>
  <c r="U49" i="11" s="1"/>
  <c r="W49" i="11" s="1"/>
  <c r="Q50" i="11"/>
  <c r="U50" i="11"/>
  <c r="W50" i="11"/>
  <c r="Q51" i="11"/>
  <c r="U51" i="11"/>
  <c r="W51" i="11"/>
  <c r="Q52" i="11"/>
  <c r="U52" i="11" s="1"/>
  <c r="W52" i="11" s="1"/>
  <c r="Q53" i="11"/>
  <c r="U53" i="11" s="1"/>
  <c r="W53" i="11" s="1"/>
  <c r="Q54" i="11"/>
  <c r="U54" i="11"/>
  <c r="W54" i="11"/>
  <c r="Q55" i="11"/>
  <c r="U55" i="11" s="1"/>
  <c r="W55" i="11" s="1"/>
  <c r="Q56" i="11"/>
  <c r="U56" i="11" s="1"/>
  <c r="W56" i="11" s="1"/>
  <c r="Q57" i="11"/>
  <c r="U57" i="11"/>
  <c r="W57" i="11"/>
  <c r="Q58" i="11"/>
  <c r="U58" i="11"/>
  <c r="W58" i="11" s="1"/>
  <c r="Q59" i="11"/>
  <c r="U59" i="11"/>
  <c r="W59" i="11" s="1"/>
  <c r="Q60" i="11"/>
  <c r="U60" i="11"/>
  <c r="W60" i="11" s="1"/>
  <c r="Q61" i="11"/>
  <c r="U61" i="11" s="1"/>
  <c r="W61" i="11" s="1"/>
  <c r="Q62" i="11"/>
  <c r="U62" i="11"/>
  <c r="W62" i="11" s="1"/>
  <c r="Q63" i="11"/>
  <c r="U63" i="11" s="1"/>
  <c r="W63" i="11"/>
  <c r="Q64" i="11"/>
  <c r="U64" i="11"/>
  <c r="W64" i="11" s="1"/>
  <c r="Q65" i="11"/>
  <c r="U65" i="11"/>
  <c r="W65" i="11" s="1"/>
  <c r="Q66" i="11"/>
  <c r="U66" i="11"/>
  <c r="W66" i="11" s="1"/>
  <c r="Q67" i="11"/>
  <c r="U67" i="11" s="1"/>
  <c r="W67" i="11" s="1"/>
  <c r="Q68" i="11"/>
  <c r="U68" i="11" s="1"/>
  <c r="W68" i="11" s="1"/>
  <c r="Q69" i="11"/>
  <c r="U69" i="11"/>
  <c r="W69" i="11" s="1"/>
  <c r="Q70" i="11"/>
  <c r="U70" i="11" s="1"/>
  <c r="W70" i="11" s="1"/>
  <c r="Q71" i="11"/>
  <c r="U71" i="11" s="1"/>
  <c r="W71" i="11" s="1"/>
  <c r="Q72" i="11"/>
  <c r="U72" i="11"/>
  <c r="W72" i="11" s="1"/>
  <c r="Q73" i="11"/>
  <c r="U73" i="11" s="1"/>
  <c r="W73" i="11" s="1"/>
  <c r="Q74" i="11"/>
  <c r="U74" i="11"/>
  <c r="W74" i="11"/>
  <c r="Q75" i="11"/>
  <c r="U75" i="11" s="1"/>
  <c r="W75" i="11" s="1"/>
  <c r="Q76" i="11"/>
  <c r="U76" i="11" s="1"/>
  <c r="W76" i="11" s="1"/>
  <c r="Q77" i="11"/>
  <c r="U77" i="11" s="1"/>
  <c r="W77" i="11" s="1"/>
  <c r="Q78" i="11"/>
  <c r="U78" i="11" s="1"/>
  <c r="W78" i="11" s="1"/>
  <c r="Q79" i="11"/>
  <c r="U79" i="11" s="1"/>
  <c r="W79" i="11" s="1"/>
  <c r="Q80" i="11"/>
  <c r="U80" i="11"/>
  <c r="W80" i="11"/>
  <c r="Q81" i="11"/>
  <c r="U81" i="11" s="1"/>
  <c r="W81" i="11" s="1"/>
  <c r="Q82" i="11"/>
  <c r="U82" i="11"/>
  <c r="W82" i="11"/>
  <c r="Q83" i="11"/>
  <c r="U83" i="11"/>
  <c r="W83" i="11"/>
  <c r="Q84" i="11"/>
  <c r="U84" i="11" s="1"/>
  <c r="W84" i="11" s="1"/>
  <c r="Q85" i="11"/>
  <c r="U85" i="11" s="1"/>
  <c r="W85" i="11" s="1"/>
  <c r="Q86" i="11"/>
  <c r="U86" i="11"/>
  <c r="W86" i="11"/>
  <c r="Q87" i="11"/>
  <c r="U87" i="11" s="1"/>
  <c r="W87" i="11" s="1"/>
  <c r="Q88" i="11"/>
  <c r="U88" i="11"/>
  <c r="W88" i="11"/>
  <c r="Q89" i="11"/>
  <c r="U89" i="11"/>
  <c r="W89" i="11"/>
  <c r="Q90" i="11"/>
  <c r="U90" i="11"/>
  <c r="W90" i="11" s="1"/>
  <c r="Q91" i="11"/>
  <c r="U91" i="11"/>
  <c r="W91" i="11" s="1"/>
  <c r="Q92" i="11"/>
  <c r="U92" i="11"/>
  <c r="W92" i="11" s="1"/>
  <c r="Q93" i="11"/>
  <c r="U93" i="11" s="1"/>
  <c r="W93" i="11" s="1"/>
  <c r="Q94" i="11"/>
  <c r="U94" i="11"/>
  <c r="W94" i="11" s="1"/>
  <c r="Q95" i="11"/>
  <c r="U95" i="11" s="1"/>
  <c r="W95" i="11"/>
  <c r="Q96" i="11"/>
  <c r="U96" i="11"/>
  <c r="W96" i="11" s="1"/>
  <c r="Q97" i="11"/>
  <c r="U97" i="11"/>
  <c r="W97" i="11" s="1"/>
  <c r="Q98" i="11"/>
  <c r="U98" i="11"/>
  <c r="W98" i="11" s="1"/>
  <c r="Q99" i="11"/>
  <c r="U99" i="11" s="1"/>
  <c r="W99" i="11" s="1"/>
  <c r="Q100" i="11"/>
  <c r="U100" i="11" s="1"/>
  <c r="W100" i="11" s="1"/>
  <c r="Q101" i="11"/>
  <c r="U101" i="11"/>
  <c r="W101" i="11" s="1"/>
  <c r="Q102" i="11"/>
  <c r="U102" i="11" s="1"/>
  <c r="W102" i="11" s="1"/>
  <c r="Q103" i="11"/>
  <c r="U103" i="11" s="1"/>
  <c r="W103" i="11" s="1"/>
  <c r="Q104" i="11"/>
  <c r="U104" i="11"/>
  <c r="W104" i="11" s="1"/>
  <c r="Q105" i="11"/>
  <c r="U105" i="11" s="1"/>
  <c r="W105" i="11" s="1"/>
  <c r="Q106" i="11"/>
  <c r="U106" i="11"/>
  <c r="W106" i="11"/>
  <c r="Q107" i="11"/>
  <c r="U107" i="11" s="1"/>
  <c r="W107" i="11" s="1"/>
  <c r="Q108" i="11"/>
  <c r="U108" i="11" s="1"/>
  <c r="W108" i="11" s="1"/>
  <c r="Q109" i="11"/>
  <c r="U109" i="11" s="1"/>
  <c r="W109" i="11" s="1"/>
  <c r="Q110" i="11"/>
  <c r="U110" i="11" s="1"/>
  <c r="W110" i="11" s="1"/>
  <c r="Q111" i="11"/>
  <c r="U111" i="11" s="1"/>
  <c r="W111" i="11" s="1"/>
  <c r="Q112" i="11"/>
  <c r="U112" i="11"/>
  <c r="W112" i="11"/>
  <c r="Q113" i="11"/>
  <c r="U113" i="11" s="1"/>
  <c r="W113" i="11" s="1"/>
  <c r="Q114" i="11"/>
  <c r="U114" i="11"/>
  <c r="W114" i="11"/>
  <c r="Q115" i="11"/>
  <c r="U115" i="11"/>
  <c r="W115" i="11"/>
  <c r="Q116" i="11"/>
  <c r="U116" i="11" s="1"/>
  <c r="W116" i="11" s="1"/>
  <c r="Q117" i="11"/>
  <c r="U117" i="11"/>
  <c r="W117" i="11"/>
  <c r="Q118" i="11"/>
  <c r="U118" i="11"/>
  <c r="W118" i="11"/>
  <c r="Q119" i="11"/>
  <c r="U119" i="11" s="1"/>
  <c r="W119" i="11" s="1"/>
  <c r="Q120" i="11"/>
  <c r="U120" i="11"/>
  <c r="W120" i="11"/>
  <c r="Q121" i="11"/>
  <c r="U121" i="11"/>
  <c r="W121" i="11"/>
  <c r="Q122" i="11"/>
  <c r="U122" i="11"/>
  <c r="W122" i="11" s="1"/>
  <c r="Q123" i="11"/>
  <c r="U123" i="11"/>
  <c r="W123" i="11" s="1"/>
  <c r="Q124" i="11"/>
  <c r="U124" i="11"/>
  <c r="W124" i="11" s="1"/>
  <c r="Q125" i="11"/>
  <c r="U125" i="11"/>
  <c r="W125" i="11" s="1"/>
  <c r="Q126" i="11"/>
  <c r="U126" i="11"/>
  <c r="W126" i="11" s="1"/>
  <c r="Q127" i="11"/>
  <c r="U127" i="11" s="1"/>
  <c r="W127" i="11"/>
  <c r="Q128" i="11"/>
  <c r="U128" i="11"/>
  <c r="W128" i="11" s="1"/>
  <c r="Q129" i="11"/>
  <c r="U129" i="11"/>
  <c r="W129" i="11" s="1"/>
  <c r="Q130" i="11"/>
  <c r="U130" i="11"/>
  <c r="W130" i="11" s="1"/>
  <c r="Q131" i="11"/>
  <c r="U131" i="11" s="1"/>
  <c r="W131" i="11" s="1"/>
  <c r="Q132" i="11"/>
  <c r="U132" i="11"/>
  <c r="W132" i="11" s="1"/>
  <c r="Q133" i="11"/>
  <c r="U133" i="11"/>
  <c r="W133" i="11" s="1"/>
  <c r="Q134" i="11"/>
  <c r="U134" i="11" s="1"/>
  <c r="W134" i="11" s="1"/>
  <c r="Q135" i="11"/>
  <c r="U135" i="11" s="1"/>
  <c r="W135" i="11"/>
  <c r="Q136" i="11"/>
  <c r="U136" i="11"/>
  <c r="W136" i="11" s="1"/>
  <c r="Q137" i="11"/>
  <c r="U137" i="11" s="1"/>
  <c r="W137" i="11" s="1"/>
  <c r="Q138" i="11"/>
  <c r="U138" i="11"/>
  <c r="W138" i="11" s="1"/>
  <c r="Q139" i="11"/>
  <c r="U139" i="11" s="1"/>
  <c r="W139" i="11" s="1"/>
  <c r="Q140" i="11"/>
  <c r="U140" i="11" s="1"/>
  <c r="W140" i="11" s="1"/>
  <c r="Q141" i="11"/>
  <c r="U141" i="11"/>
  <c r="W141" i="11" s="1"/>
  <c r="Q142" i="11"/>
  <c r="U142" i="11" s="1"/>
  <c r="W142" i="11" s="1"/>
  <c r="Q143" i="11"/>
  <c r="U143" i="11" s="1"/>
  <c r="W143" i="11" s="1"/>
  <c r="Q144" i="11"/>
  <c r="U144" i="11"/>
  <c r="W144" i="11" s="1"/>
  <c r="Q145" i="11"/>
  <c r="U145" i="11" s="1"/>
  <c r="W145" i="11" s="1"/>
  <c r="Q146" i="11"/>
  <c r="U146" i="11"/>
  <c r="W146" i="11"/>
  <c r="Q147" i="11"/>
  <c r="U147" i="11" s="1"/>
  <c r="W147" i="11" s="1"/>
  <c r="Q148" i="11"/>
  <c r="U148" i="11" s="1"/>
  <c r="W148" i="11" s="1"/>
  <c r="Q149" i="11"/>
  <c r="U149" i="11"/>
  <c r="W149" i="11"/>
  <c r="Q150" i="11"/>
  <c r="U150" i="11" s="1"/>
  <c r="W150" i="11" s="1"/>
  <c r="Q151" i="11"/>
  <c r="U151" i="11" s="1"/>
  <c r="W151" i="11" s="1"/>
  <c r="Q152" i="11"/>
  <c r="U152" i="11"/>
  <c r="W152" i="11"/>
  <c r="Q153" i="11"/>
  <c r="U153" i="11"/>
  <c r="W153" i="11"/>
  <c r="Q154" i="11"/>
  <c r="U154" i="11"/>
  <c r="W154" i="11" s="1"/>
  <c r="Q155" i="11"/>
  <c r="U155" i="11"/>
  <c r="W155" i="11"/>
  <c r="Q156" i="11"/>
  <c r="U156" i="11"/>
  <c r="W156" i="11" s="1"/>
  <c r="Q157" i="11"/>
  <c r="U157" i="11"/>
  <c r="W157" i="11" s="1"/>
  <c r="Q158" i="11"/>
  <c r="U158" i="11"/>
  <c r="W158" i="11"/>
  <c r="Q159" i="11"/>
  <c r="U159" i="11" s="1"/>
  <c r="W159" i="11"/>
  <c r="Q160" i="11"/>
  <c r="U160" i="11"/>
  <c r="W160" i="11" s="1"/>
  <c r="Q161" i="11"/>
  <c r="U161" i="11"/>
  <c r="W161" i="11"/>
  <c r="Q162" i="11"/>
  <c r="U162" i="11"/>
  <c r="W162" i="11" s="1"/>
  <c r="Q163" i="11"/>
  <c r="U163" i="11" s="1"/>
  <c r="W163" i="11" s="1"/>
  <c r="Q164" i="11"/>
  <c r="U164" i="11"/>
  <c r="W164" i="11" s="1"/>
  <c r="Q165" i="11"/>
  <c r="U165" i="11"/>
  <c r="W165" i="11" s="1"/>
  <c r="Q166" i="11"/>
  <c r="U166" i="11" s="1"/>
  <c r="W166" i="11" s="1"/>
  <c r="Q167" i="11"/>
  <c r="U167" i="11" s="1"/>
  <c r="W167" i="11"/>
  <c r="Q168" i="11"/>
  <c r="U168" i="11"/>
  <c r="W168" i="11" s="1"/>
  <c r="Q169" i="11"/>
  <c r="U169" i="11" s="1"/>
  <c r="W169" i="11" s="1"/>
  <c r="Q170" i="11"/>
  <c r="U170" i="11"/>
  <c r="W170" i="11" s="1"/>
  <c r="Q171" i="11"/>
  <c r="U171" i="11" s="1"/>
  <c r="W171" i="11" s="1"/>
  <c r="Q172" i="11"/>
  <c r="U172" i="11" s="1"/>
  <c r="W172" i="11" s="1"/>
  <c r="Q173" i="11"/>
  <c r="U173" i="11"/>
  <c r="W173" i="11" s="1"/>
  <c r="Q174" i="11"/>
  <c r="U174" i="11" s="1"/>
  <c r="W174" i="11" s="1"/>
  <c r="Q175" i="11"/>
  <c r="U175" i="11" s="1"/>
  <c r="W175" i="11" s="1"/>
  <c r="Q176" i="11"/>
  <c r="U176" i="11"/>
  <c r="W176" i="11" s="1"/>
  <c r="Q177" i="11"/>
  <c r="U177" i="11" s="1"/>
  <c r="W177" i="11" s="1"/>
  <c r="Q178" i="11"/>
  <c r="U178" i="11"/>
  <c r="W178" i="11"/>
  <c r="Q179" i="11"/>
  <c r="U179" i="11" s="1"/>
  <c r="W179" i="11" s="1"/>
  <c r="Q180" i="11"/>
  <c r="U180" i="11" s="1"/>
  <c r="W180" i="11" s="1"/>
  <c r="Q181" i="11"/>
  <c r="U181" i="11"/>
  <c r="W181" i="11"/>
  <c r="Q182" i="11"/>
  <c r="U182" i="11" s="1"/>
  <c r="W182" i="11" s="1"/>
  <c r="Q183" i="11"/>
  <c r="U183" i="11" s="1"/>
  <c r="W183" i="11" s="1"/>
  <c r="Q184" i="11"/>
  <c r="U184" i="11"/>
  <c r="W184" i="11"/>
  <c r="Q185" i="11"/>
  <c r="U185" i="11" s="1"/>
  <c r="W185" i="11" s="1"/>
  <c r="Q186" i="11"/>
  <c r="U186" i="11"/>
  <c r="W186" i="11" s="1"/>
  <c r="Q187" i="11"/>
  <c r="U187" i="11"/>
  <c r="W187" i="11"/>
  <c r="Q188" i="11"/>
  <c r="U188" i="11"/>
  <c r="W188" i="11" s="1"/>
  <c r="Q189" i="11"/>
  <c r="U189" i="11"/>
  <c r="W189" i="11" s="1"/>
  <c r="Q190" i="11"/>
  <c r="U190" i="11"/>
  <c r="W190" i="11"/>
  <c r="Q191" i="11"/>
  <c r="U191" i="11" s="1"/>
  <c r="W191" i="11"/>
  <c r="Q192" i="11"/>
  <c r="U192" i="11"/>
  <c r="W192" i="11" s="1"/>
  <c r="Q193" i="11"/>
  <c r="U193" i="11"/>
  <c r="W193" i="11"/>
  <c r="Q194" i="11"/>
  <c r="U194" i="11"/>
  <c r="W194" i="11" s="1"/>
  <c r="Q195" i="11"/>
  <c r="U195" i="11" s="1"/>
  <c r="W195" i="11" s="1"/>
  <c r="Q196" i="11"/>
  <c r="U196" i="11"/>
  <c r="W196" i="11" s="1"/>
  <c r="Q197" i="11"/>
  <c r="U197" i="11"/>
  <c r="W197" i="11" s="1"/>
  <c r="Q198" i="11"/>
  <c r="U198" i="11" s="1"/>
  <c r="W198" i="11" s="1"/>
  <c r="Q199" i="11"/>
  <c r="U199" i="11" s="1"/>
  <c r="W199" i="11"/>
  <c r="Q200" i="11"/>
  <c r="U200" i="11"/>
  <c r="W200" i="11" s="1"/>
  <c r="Q201" i="11"/>
  <c r="U201" i="11" s="1"/>
  <c r="W201" i="11" s="1"/>
  <c r="Q202" i="11"/>
  <c r="U202" i="11"/>
  <c r="W202" i="11" s="1"/>
  <c r="Q203" i="11"/>
  <c r="U203" i="11" s="1"/>
  <c r="W203" i="11" s="1"/>
  <c r="Q204" i="11"/>
  <c r="U204" i="11" s="1"/>
  <c r="W204" i="11" s="1"/>
  <c r="Q205" i="11"/>
  <c r="U205" i="11"/>
  <c r="W205" i="11" s="1"/>
  <c r="Q206" i="11"/>
  <c r="U206" i="11" s="1"/>
  <c r="W206" i="11" s="1"/>
  <c r="Q207" i="11"/>
  <c r="U207" i="11" s="1"/>
  <c r="W207" i="11" s="1"/>
  <c r="Q208" i="11"/>
  <c r="U208" i="11"/>
  <c r="W208" i="11" s="1"/>
  <c r="Q209" i="11"/>
  <c r="U209" i="11" s="1"/>
  <c r="W209" i="11" s="1"/>
  <c r="Q210" i="11"/>
  <c r="U210" i="11"/>
  <c r="W210" i="11"/>
  <c r="Q211" i="11"/>
  <c r="U211" i="11" s="1"/>
  <c r="W211" i="11" s="1"/>
  <c r="Q212" i="11"/>
  <c r="U212" i="11" s="1"/>
  <c r="W212" i="11" s="1"/>
  <c r="Q213" i="11"/>
  <c r="U213" i="11"/>
  <c r="W213" i="11"/>
  <c r="Q214" i="11"/>
  <c r="U214" i="11" s="1"/>
  <c r="W214" i="11" s="1"/>
  <c r="Q215" i="11"/>
  <c r="U215" i="11" s="1"/>
  <c r="W215" i="11" s="1"/>
  <c r="Q216" i="11"/>
  <c r="U216" i="11"/>
  <c r="W216" i="11"/>
  <c r="Q217" i="11"/>
  <c r="U217" i="11" s="1"/>
  <c r="W217" i="11" s="1"/>
  <c r="Q218" i="11"/>
  <c r="U218" i="11"/>
  <c r="W218" i="11" s="1"/>
  <c r="Q219" i="11"/>
  <c r="U219" i="11"/>
  <c r="W219" i="11"/>
  <c r="Q220" i="11"/>
  <c r="U220" i="11"/>
  <c r="W220" i="11" s="1"/>
  <c r="Q221" i="11"/>
  <c r="U221" i="11"/>
  <c r="W221" i="11" s="1"/>
  <c r="Q222" i="11"/>
  <c r="U222" i="11"/>
  <c r="W222" i="11"/>
  <c r="Q223" i="11"/>
  <c r="U223" i="11" s="1"/>
  <c r="W223" i="11"/>
  <c r="Q224" i="11"/>
  <c r="U224" i="11"/>
  <c r="W224" i="11" s="1"/>
  <c r="Q225" i="11"/>
  <c r="U225" i="11"/>
  <c r="W225" i="11"/>
  <c r="Q226" i="11"/>
  <c r="U226" i="11"/>
  <c r="W226" i="11" s="1"/>
  <c r="Q227" i="11"/>
  <c r="U227" i="11" s="1"/>
  <c r="W227" i="11" s="1"/>
  <c r="Q228" i="11"/>
  <c r="U228" i="11"/>
  <c r="W228" i="11" s="1"/>
  <c r="Q229" i="11"/>
  <c r="U229" i="11"/>
  <c r="W229" i="11" s="1"/>
  <c r="Q230" i="11"/>
  <c r="U230" i="11" s="1"/>
  <c r="W230" i="11" s="1"/>
  <c r="Q231" i="11"/>
  <c r="U231" i="11" s="1"/>
  <c r="W231" i="11"/>
  <c r="Q232" i="11"/>
  <c r="U232" i="11"/>
  <c r="W232" i="11" s="1"/>
  <c r="Q233" i="11"/>
  <c r="U233" i="11" s="1"/>
  <c r="W233" i="11" s="1"/>
  <c r="Q234" i="11"/>
  <c r="U234" i="11"/>
  <c r="W234" i="11" s="1"/>
  <c r="Q235" i="11"/>
  <c r="U235" i="11" s="1"/>
  <c r="W235" i="11" s="1"/>
  <c r="Q236" i="11"/>
  <c r="U236" i="11"/>
  <c r="W236" i="11" s="1"/>
  <c r="Q237" i="11"/>
  <c r="U237" i="11"/>
  <c r="W237" i="11" s="1"/>
  <c r="Q238" i="11"/>
  <c r="U238" i="11" s="1"/>
  <c r="W238" i="11" s="1"/>
  <c r="Q239" i="11"/>
  <c r="U239" i="11" s="1"/>
  <c r="W239" i="11" s="1"/>
  <c r="Q240" i="11"/>
  <c r="U240" i="11"/>
  <c r="W240" i="11" s="1"/>
  <c r="Q241" i="11"/>
  <c r="U241" i="11" s="1"/>
  <c r="W241" i="11" s="1"/>
  <c r="Q242" i="11"/>
  <c r="U242" i="11"/>
  <c r="W242" i="11"/>
  <c r="Q243" i="11"/>
  <c r="U243" i="11" s="1"/>
  <c r="W243" i="11" s="1"/>
  <c r="Q244" i="11"/>
  <c r="U244" i="11"/>
  <c r="W244" i="11" s="1"/>
  <c r="Q245" i="11"/>
  <c r="U245" i="11"/>
  <c r="W245" i="11"/>
  <c r="Q246" i="11"/>
  <c r="U246" i="11" s="1"/>
  <c r="W246" i="11" s="1"/>
  <c r="Q247" i="11"/>
  <c r="U247" i="11" s="1"/>
  <c r="W247" i="11"/>
  <c r="Q248" i="11"/>
  <c r="U248" i="11"/>
  <c r="W248" i="11"/>
  <c r="Q249" i="11"/>
  <c r="U249" i="11" s="1"/>
  <c r="W249" i="11" s="1"/>
  <c r="Q250" i="11"/>
  <c r="U250" i="11"/>
  <c r="W250" i="11" s="1"/>
  <c r="Q251" i="11"/>
  <c r="U251" i="11"/>
  <c r="W251" i="11"/>
  <c r="Q252" i="11"/>
  <c r="U252" i="11"/>
  <c r="W252" i="11" s="1"/>
  <c r="Q253" i="11"/>
  <c r="U253" i="11"/>
  <c r="W253" i="11" s="1"/>
  <c r="Q254" i="11"/>
  <c r="U254" i="11"/>
  <c r="W254" i="11"/>
  <c r="Q255" i="11"/>
  <c r="U255" i="11" s="1"/>
  <c r="W255" i="11"/>
  <c r="Q256" i="11"/>
  <c r="U256" i="11"/>
  <c r="W256" i="11" s="1"/>
  <c r="Q257" i="11"/>
  <c r="U257" i="11"/>
  <c r="W257" i="11"/>
  <c r="Q258" i="11"/>
  <c r="U258" i="11"/>
  <c r="W258" i="11" s="1"/>
  <c r="Q259" i="11"/>
  <c r="U259" i="11" s="1"/>
  <c r="W259" i="11" s="1"/>
  <c r="Q260" i="11"/>
  <c r="U260" i="11"/>
  <c r="W260" i="11" s="1"/>
  <c r="Q261" i="11"/>
  <c r="U261" i="11"/>
  <c r="W261" i="11" s="1"/>
  <c r="Q262" i="11"/>
  <c r="U262" i="11" s="1"/>
  <c r="W262" i="11" s="1"/>
  <c r="Q263" i="11"/>
  <c r="U263" i="11" s="1"/>
  <c r="W263" i="11"/>
  <c r="Q264" i="11"/>
  <c r="U264" i="11"/>
  <c r="W264" i="11" s="1"/>
  <c r="Q265" i="11"/>
  <c r="U265" i="11" s="1"/>
  <c r="W265" i="11" s="1"/>
  <c r="Q266" i="11"/>
  <c r="U266" i="11"/>
  <c r="W266" i="11" s="1"/>
  <c r="Q267" i="11"/>
  <c r="U267" i="11" s="1"/>
  <c r="W267" i="11" s="1"/>
  <c r="Q268" i="11"/>
  <c r="U268" i="11"/>
  <c r="W268" i="11" s="1"/>
  <c r="Q269" i="11"/>
  <c r="U269" i="11"/>
  <c r="W269" i="11" s="1"/>
  <c r="Q270" i="11"/>
  <c r="U270" i="11" s="1"/>
  <c r="W270" i="11" s="1"/>
  <c r="Q271" i="11"/>
  <c r="U271" i="11" s="1"/>
  <c r="W271" i="11" s="1"/>
  <c r="Q272" i="11"/>
  <c r="U272" i="11"/>
  <c r="W272" i="11" s="1"/>
  <c r="Q273" i="11"/>
  <c r="U273" i="11" s="1"/>
  <c r="W273" i="11" s="1"/>
  <c r="Q274" i="11"/>
  <c r="U274" i="11"/>
  <c r="W274" i="11"/>
  <c r="Q275" i="11"/>
  <c r="U275" i="11" s="1"/>
  <c r="W275" i="11" s="1"/>
  <c r="Q276" i="11"/>
  <c r="U276" i="11"/>
  <c r="W276" i="11" s="1"/>
  <c r="Q277" i="11"/>
  <c r="U277" i="11"/>
  <c r="W277" i="11"/>
  <c r="Q278" i="11"/>
  <c r="U278" i="11" s="1"/>
  <c r="W278" i="11" s="1"/>
  <c r="Q279" i="11"/>
  <c r="U279" i="11" s="1"/>
  <c r="W279" i="11"/>
  <c r="Q280" i="11"/>
  <c r="U280" i="11"/>
  <c r="W280" i="11"/>
  <c r="Q281" i="11"/>
  <c r="U281" i="11" s="1"/>
  <c r="W281" i="11" s="1"/>
  <c r="Q282" i="11"/>
  <c r="U282" i="11"/>
  <c r="W282" i="11" s="1"/>
  <c r="Q283" i="11"/>
  <c r="U283" i="11"/>
  <c r="W283" i="11"/>
  <c r="Q284" i="11"/>
  <c r="U284" i="11"/>
  <c r="W284" i="11" s="1"/>
  <c r="Q285" i="11"/>
  <c r="U285" i="11"/>
  <c r="W285" i="11" s="1"/>
  <c r="Q286" i="11"/>
  <c r="U286" i="11"/>
  <c r="W286" i="11"/>
  <c r="Q287" i="11"/>
  <c r="U287" i="11" s="1"/>
  <c r="W287" i="11"/>
  <c r="Q288" i="11"/>
  <c r="U288" i="11"/>
  <c r="W288" i="11" s="1"/>
  <c r="Q289" i="11"/>
  <c r="U289" i="11"/>
  <c r="W289" i="11"/>
  <c r="Q290" i="11"/>
  <c r="U290" i="11"/>
  <c r="W290" i="11" s="1"/>
  <c r="Q291" i="11"/>
  <c r="U291" i="11" s="1"/>
  <c r="W291" i="11" s="1"/>
  <c r="Q292" i="11"/>
  <c r="U292" i="11"/>
  <c r="W292" i="11" s="1"/>
  <c r="Q293" i="11"/>
  <c r="U293" i="11"/>
  <c r="W293" i="11" s="1"/>
  <c r="Q294" i="11"/>
  <c r="U294" i="11" s="1"/>
  <c r="W294" i="11" s="1"/>
  <c r="Q295" i="11"/>
  <c r="U295" i="11" s="1"/>
  <c r="W295" i="11"/>
  <c r="Q296" i="11"/>
  <c r="U296" i="11"/>
  <c r="W296" i="11" s="1"/>
  <c r="Q297" i="11"/>
  <c r="U297" i="11" s="1"/>
  <c r="W297" i="11" s="1"/>
  <c r="Q298" i="11"/>
  <c r="U298" i="11"/>
  <c r="W298" i="11" s="1"/>
  <c r="Q299" i="11"/>
  <c r="U299" i="11" s="1"/>
  <c r="W299" i="11" s="1"/>
  <c r="Q300" i="11"/>
  <c r="U300" i="11"/>
  <c r="W300" i="11" s="1"/>
  <c r="Q301" i="11"/>
  <c r="U301" i="11"/>
  <c r="W301" i="11" s="1"/>
  <c r="Q302" i="11"/>
  <c r="U302" i="11" s="1"/>
  <c r="W302" i="11" s="1"/>
  <c r="Q303" i="11"/>
  <c r="U303" i="11" s="1"/>
  <c r="W303" i="11" s="1"/>
  <c r="Q304" i="11"/>
  <c r="U304" i="11"/>
  <c r="W304" i="11" s="1"/>
  <c r="Q305" i="11"/>
  <c r="U305" i="11" s="1"/>
  <c r="W305" i="11" s="1"/>
  <c r="Q306" i="11"/>
  <c r="U306" i="11"/>
  <c r="W306" i="11"/>
  <c r="Q307" i="11"/>
  <c r="U307" i="11" s="1"/>
  <c r="W307" i="11" s="1"/>
  <c r="Q308" i="11"/>
  <c r="U308" i="11"/>
  <c r="W308" i="11" s="1"/>
  <c r="Q309" i="11"/>
  <c r="U309" i="11"/>
  <c r="W309" i="11"/>
  <c r="Q310" i="11"/>
  <c r="U310" i="11" s="1"/>
  <c r="W310" i="11" s="1"/>
  <c r="Q311" i="11"/>
  <c r="U311" i="11" s="1"/>
  <c r="W311" i="11"/>
  <c r="Q312" i="11"/>
  <c r="U312" i="11"/>
  <c r="W312" i="11"/>
  <c r="Q313" i="11"/>
  <c r="U313" i="11" s="1"/>
  <c r="W313" i="11" s="1"/>
  <c r="Q314" i="11"/>
  <c r="U314" i="11"/>
  <c r="W314" i="11" s="1"/>
  <c r="Q315" i="11"/>
  <c r="U315" i="11"/>
  <c r="W315" i="11"/>
  <c r="Q316" i="11"/>
  <c r="U316" i="11"/>
  <c r="W316" i="11" s="1"/>
  <c r="Q317" i="11"/>
  <c r="U317" i="11"/>
  <c r="W317" i="11" s="1"/>
  <c r="Q318" i="11"/>
  <c r="U318" i="11"/>
  <c r="W318" i="11"/>
  <c r="Q319" i="11"/>
  <c r="U319" i="11" s="1"/>
  <c r="W319" i="11"/>
  <c r="Q320" i="11"/>
  <c r="U320" i="11"/>
  <c r="W320" i="11" s="1"/>
  <c r="Q321" i="11"/>
  <c r="U321" i="11"/>
  <c r="W321" i="11"/>
  <c r="Q322" i="11"/>
  <c r="U322" i="11"/>
  <c r="W322" i="11" s="1"/>
  <c r="Q323" i="11"/>
  <c r="U323" i="11" s="1"/>
  <c r="W323" i="11" s="1"/>
  <c r="Q324" i="11"/>
  <c r="U324" i="11"/>
  <c r="W324" i="11" s="1"/>
  <c r="Q325" i="11"/>
  <c r="U325" i="11"/>
  <c r="W325" i="11" s="1"/>
  <c r="Q326" i="11"/>
  <c r="U326" i="11" s="1"/>
  <c r="W326" i="11" s="1"/>
  <c r="Q327" i="11"/>
  <c r="U327" i="11" s="1"/>
  <c r="W327" i="11"/>
  <c r="Q328" i="11"/>
  <c r="U328" i="11"/>
  <c r="W328" i="11" s="1"/>
  <c r="Q329" i="11"/>
  <c r="U329" i="11" s="1"/>
  <c r="W329" i="11" s="1"/>
  <c r="Q330" i="11"/>
  <c r="U330" i="11"/>
  <c r="W330" i="11" s="1"/>
  <c r="Q331" i="11"/>
  <c r="U331" i="11" s="1"/>
  <c r="W331" i="11" s="1"/>
  <c r="Q332" i="11"/>
  <c r="U332" i="11"/>
  <c r="W332" i="11" s="1"/>
  <c r="Q333" i="11"/>
  <c r="U333" i="11"/>
  <c r="W333" i="11" s="1"/>
  <c r="Q334" i="11"/>
  <c r="U334" i="11" s="1"/>
  <c r="W334" i="11" s="1"/>
  <c r="Q335" i="11"/>
  <c r="U335" i="11" s="1"/>
  <c r="W335" i="11" s="1"/>
  <c r="Q336" i="11"/>
  <c r="U336" i="11"/>
  <c r="W336" i="11" s="1"/>
  <c r="Q337" i="11"/>
  <c r="U337" i="11" s="1"/>
  <c r="W337" i="11" s="1"/>
  <c r="Q338" i="11"/>
  <c r="U338" i="11"/>
  <c r="W338" i="11"/>
  <c r="Q339" i="11"/>
  <c r="U339" i="11" s="1"/>
  <c r="W339" i="11" s="1"/>
  <c r="Q340" i="11"/>
  <c r="U340" i="11"/>
  <c r="W340" i="11" s="1"/>
  <c r="Q341" i="11"/>
  <c r="U341" i="11"/>
  <c r="W341" i="11"/>
  <c r="Q342" i="11"/>
  <c r="U342" i="11" s="1"/>
  <c r="W342" i="11" s="1"/>
  <c r="Q343" i="11"/>
  <c r="U343" i="11"/>
  <c r="W343" i="11" s="1"/>
  <c r="Q344" i="11"/>
  <c r="U344" i="11"/>
  <c r="W344" i="11"/>
  <c r="Q345" i="11"/>
  <c r="U345" i="11"/>
  <c r="W345" i="11" s="1"/>
  <c r="Q346" i="11"/>
  <c r="U346" i="11" s="1"/>
  <c r="W346" i="11" s="1"/>
  <c r="Q347" i="11"/>
  <c r="U347" i="11"/>
  <c r="W347" i="11" s="1"/>
  <c r="Q348" i="11"/>
  <c r="U348" i="11" s="1"/>
  <c r="W348" i="11" s="1"/>
  <c r="Q349" i="11"/>
  <c r="U349" i="11"/>
  <c r="W349" i="11"/>
  <c r="Q350" i="11"/>
  <c r="U350" i="11" s="1"/>
  <c r="W350" i="11" s="1"/>
  <c r="Q351" i="11"/>
  <c r="U351" i="11"/>
  <c r="W351" i="11" s="1"/>
  <c r="Q352" i="11"/>
  <c r="U352" i="11"/>
  <c r="W352" i="11"/>
  <c r="Q353" i="11"/>
  <c r="U353" i="11"/>
  <c r="W353" i="11" s="1"/>
  <c r="Q354" i="11"/>
  <c r="U354" i="11" s="1"/>
  <c r="W354" i="11" s="1"/>
  <c r="Q355" i="11"/>
  <c r="U355" i="11"/>
  <c r="W355" i="11" s="1"/>
  <c r="Q356" i="11"/>
  <c r="U356" i="11" s="1"/>
  <c r="W356" i="11" s="1"/>
  <c r="Q357" i="11"/>
  <c r="U357" i="11"/>
  <c r="W357" i="11"/>
  <c r="Q358" i="11"/>
  <c r="U358" i="11"/>
  <c r="W358" i="11"/>
  <c r="Q359" i="11"/>
  <c r="U359" i="11"/>
  <c r="W359" i="11" s="1"/>
  <c r="Q360" i="11"/>
  <c r="U360" i="11"/>
  <c r="W360" i="11"/>
  <c r="Q361" i="11"/>
  <c r="U361" i="11"/>
  <c r="W361" i="11" s="1"/>
  <c r="Q362" i="11"/>
  <c r="U362" i="11" s="1"/>
  <c r="W362" i="11" s="1"/>
  <c r="Q363" i="11"/>
  <c r="U363" i="11"/>
  <c r="W363" i="11" s="1"/>
  <c r="Q364" i="11"/>
  <c r="U364" i="11" s="1"/>
  <c r="W364" i="11" s="1"/>
  <c r="Q365" i="11"/>
  <c r="U365" i="11"/>
  <c r="W365" i="11"/>
  <c r="Q366" i="11"/>
  <c r="U366" i="11"/>
  <c r="W366" i="11"/>
  <c r="Q367" i="11"/>
  <c r="U367" i="11"/>
  <c r="W367" i="11" s="1"/>
  <c r="Q368" i="11"/>
  <c r="U368" i="11"/>
  <c r="W368" i="11"/>
  <c r="Q369" i="11"/>
  <c r="U369" i="11"/>
  <c r="W369" i="11" s="1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X3" i="11" l="1"/>
  <c r="X4" i="11"/>
  <c r="X5" i="11" l="1"/>
  <c r="N3" i="7" l="1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5" i="7"/>
  <c r="I5" i="7"/>
  <c r="I8" i="3" l="1"/>
  <c r="H8" i="3"/>
  <c r="G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8" i="3"/>
  <c r="D3" i="7" a="1"/>
  <c r="D3" i="7" s="1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I94" i="7" l="1"/>
  <c r="I86" i="7"/>
  <c r="I78" i="7"/>
  <c r="I70" i="7"/>
  <c r="I62" i="7"/>
  <c r="I54" i="7"/>
  <c r="I46" i="7"/>
  <c r="I38" i="7"/>
  <c r="I30" i="7"/>
  <c r="I22" i="7"/>
  <c r="I14" i="7"/>
  <c r="I6" i="7"/>
  <c r="I36" i="7"/>
  <c r="I83" i="7"/>
  <c r="I33" i="7"/>
  <c r="I47" i="7"/>
  <c r="I93" i="7"/>
  <c r="I85" i="7"/>
  <c r="I77" i="7"/>
  <c r="I69" i="7"/>
  <c r="I61" i="7"/>
  <c r="I53" i="7"/>
  <c r="I45" i="7"/>
  <c r="I37" i="7"/>
  <c r="I29" i="7"/>
  <c r="I21" i="7"/>
  <c r="I13" i="7"/>
  <c r="I44" i="7"/>
  <c r="I11" i="7"/>
  <c r="I25" i="7"/>
  <c r="I55" i="7"/>
  <c r="I92" i="7"/>
  <c r="I84" i="7"/>
  <c r="I76" i="7"/>
  <c r="I68" i="7"/>
  <c r="I60" i="7"/>
  <c r="I52" i="7"/>
  <c r="I28" i="7"/>
  <c r="I20" i="7"/>
  <c r="I12" i="7"/>
  <c r="I75" i="7"/>
  <c r="I67" i="7"/>
  <c r="I51" i="7"/>
  <c r="I43" i="7"/>
  <c r="I35" i="7"/>
  <c r="I27" i="7"/>
  <c r="I19" i="7"/>
  <c r="I10" i="7"/>
  <c r="I9" i="7"/>
  <c r="I23" i="7"/>
  <c r="I91" i="7"/>
  <c r="I59" i="7"/>
  <c r="I16" i="7"/>
  <c r="I7" i="7"/>
  <c r="I90" i="7"/>
  <c r="I82" i="7"/>
  <c r="I74" i="7"/>
  <c r="I66" i="7"/>
  <c r="I58" i="7"/>
  <c r="I50" i="7"/>
  <c r="I42" i="7"/>
  <c r="I34" i="7"/>
  <c r="I26" i="7"/>
  <c r="I18" i="7"/>
  <c r="I8" i="7"/>
  <c r="I15" i="7"/>
  <c r="I89" i="7"/>
  <c r="I81" i="7"/>
  <c r="I73" i="7"/>
  <c r="I65" i="7"/>
  <c r="I57" i="7"/>
  <c r="I49" i="7"/>
  <c r="I41" i="7"/>
  <c r="I17" i="7"/>
  <c r="I39" i="7"/>
  <c r="I88" i="7"/>
  <c r="I80" i="7"/>
  <c r="I72" i="7"/>
  <c r="I64" i="7"/>
  <c r="I56" i="7"/>
  <c r="I48" i="7"/>
  <c r="I40" i="7"/>
  <c r="I32" i="7"/>
  <c r="I24" i="7"/>
  <c r="I31" i="7"/>
  <c r="I87" i="7"/>
  <c r="I79" i="7"/>
  <c r="I71" i="7"/>
  <c r="I6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<sst xmlns="http://schemas.openxmlformats.org/spreadsheetml/2006/main" count="336" uniqueCount="71">
  <si>
    <t>datetime</t>
  </si>
  <si>
    <t>y</t>
  </si>
  <si>
    <t>client</t>
  </si>
  <si>
    <t>close</t>
  </si>
  <si>
    <t>price_am</t>
  </si>
  <si>
    <t>price_pm</t>
  </si>
  <si>
    <t>price</t>
  </si>
  <si>
    <t>y</t>
    <phoneticPr fontId="2"/>
  </si>
  <si>
    <t>予測値</t>
    <rPh sb="0" eb="3">
      <t xml:space="preserve">ヨソクチ </t>
    </rPh>
    <phoneticPr fontId="2"/>
  </si>
  <si>
    <t xml:space="preserve"> </t>
    <phoneticPr fontId="2"/>
  </si>
  <si>
    <t>訓練データ</t>
    <rPh sb="0" eb="2">
      <t xml:space="preserve">クンレンデータ </t>
    </rPh>
    <phoneticPr fontId="2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</si>
  <si>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</si>
  <si>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</si>
  <si>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</si>
  <si>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</si>
  <si>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</si>
  <si>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</si>
  <si>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</si>
  <si>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</si>
  <si>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</si>
  <si>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</si>
  <si>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</si>
  <si>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</si>
  <si>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</si>
  <si>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</si>
  <si>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</si>
  <si>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</si>
  <si>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</si>
  <si>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</si>
  <si>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</si>
  <si>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</si>
  <si>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</si>
  <si>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</si>
  <si>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</si>
  <si>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</si>
  <si>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price</t>
    <phoneticPr fontId="2"/>
  </si>
  <si>
    <t>評価データ</t>
    <rPh sb="0" eb="2">
      <t xml:space="preserve">ヒョウカ </t>
    </rPh>
    <phoneticPr fontId="2"/>
  </si>
  <si>
    <t>y-予測値</t>
    <rPh sb="2" eb="5">
      <t xml:space="preserve">ヨソクチ </t>
    </rPh>
    <phoneticPr fontId="2"/>
  </si>
  <si>
    <r>
      <t>(y-予測値）</t>
    </r>
    <r>
      <rPr>
        <sz val="14"/>
        <color theme="1"/>
        <rFont val="游ゴシック"/>
        <family val="3"/>
        <charset val="128"/>
      </rPr>
      <t>2</t>
    </r>
    <rPh sb="3" eb="6">
      <t xml:space="preserve">ヨソクチ </t>
    </rPh>
    <phoneticPr fontId="2"/>
  </si>
  <si>
    <t>合計</t>
    <rPh sb="0" eb="2">
      <t xml:space="preserve">ゴウケイ </t>
    </rPh>
    <phoneticPr fontId="2"/>
  </si>
  <si>
    <t>n</t>
    <phoneticPr fontId="2"/>
  </si>
  <si>
    <t>RMSE</t>
    <phoneticPr fontId="2"/>
  </si>
  <si>
    <t>holiday</t>
    <phoneticPr fontId="2"/>
  </si>
  <si>
    <t>月曜</t>
    <rPh sb="0" eb="2">
      <t>ゲツヨウ</t>
    </rPh>
    <phoneticPr fontId="2"/>
  </si>
  <si>
    <t>火曜</t>
    <rPh sb="0" eb="2">
      <t>カヨウ</t>
    </rPh>
    <phoneticPr fontId="2"/>
  </si>
  <si>
    <t>水曜</t>
    <rPh sb="0" eb="2">
      <t>スイヨウ</t>
    </rPh>
    <phoneticPr fontId="2"/>
  </si>
  <si>
    <t>木曜</t>
    <rPh sb="0" eb="2">
      <t>モクヨウ</t>
    </rPh>
    <phoneticPr fontId="2"/>
  </si>
  <si>
    <t>金曜</t>
    <rPh sb="0" eb="2">
      <t>キn</t>
    </rPh>
    <phoneticPr fontId="2"/>
  </si>
  <si>
    <t>土曜</t>
    <rPh sb="0" eb="2">
      <t>ドヨウ</t>
    </rPh>
    <phoneticPr fontId="2"/>
  </si>
  <si>
    <t>3or4</t>
  </si>
  <si>
    <t>Base_line</t>
  </si>
  <si>
    <t>土曜</t>
  </si>
  <si>
    <t>金曜</t>
  </si>
  <si>
    <t>木曜</t>
  </si>
  <si>
    <t>水曜</t>
  </si>
  <si>
    <t>火曜</t>
  </si>
  <si>
    <t>月曜</t>
  </si>
  <si>
    <t>holiday</t>
  </si>
  <si>
    <t>実際</t>
    <rPh sb="0" eb="2">
      <t xml:space="preserve">ジッサイ </t>
    </rPh>
    <phoneticPr fontId="2"/>
  </si>
  <si>
    <t>Baseline2</t>
  </si>
  <si>
    <t>切片</t>
    <rPh sb="0" eb="2">
      <t xml:space="preserve">セッペン </t>
    </rPh>
    <phoneticPr fontId="2"/>
  </si>
  <si>
    <t>係数</t>
    <rPh sb="0" eb="2">
      <t xml:space="preserve">ケイスウ </t>
    </rPh>
    <phoneticPr fontId="2"/>
  </si>
  <si>
    <t>予測値</t>
    <rPh sb="0" eb="3">
      <t xml:space="preserve">ヨソクチイ </t>
    </rPh>
    <phoneticPr fontId="2"/>
  </si>
  <si>
    <t>Base_line</t>
    <phoneticPr fontId="2"/>
  </si>
  <si>
    <t>同業者店舗数</t>
    <rPh sb="0" eb="3">
      <t>ドウギョ</t>
    </rPh>
    <rPh sb="3" eb="5">
      <t>テンp</t>
    </rPh>
    <rPh sb="5" eb="6">
      <t>ス</t>
    </rPh>
    <phoneticPr fontId="2"/>
  </si>
  <si>
    <t>街の規模</t>
    <rPh sb="0" eb="1">
      <t>マチn</t>
    </rPh>
    <rPh sb="2" eb="4">
      <t>キb</t>
    </rPh>
    <phoneticPr fontId="2"/>
  </si>
  <si>
    <t>広告</t>
    <rPh sb="0" eb="2">
      <t>コウコk</t>
    </rPh>
    <phoneticPr fontId="2"/>
  </si>
  <si>
    <t>アクセス数</t>
    <rPh sb="4" eb="5">
      <t>ス</t>
    </rPh>
    <phoneticPr fontId="2"/>
  </si>
  <si>
    <t>店舗面積</t>
    <rPh sb="0" eb="2">
      <t>テンp</t>
    </rPh>
    <rPh sb="2" eb="4">
      <t>メンセk</t>
    </rPh>
    <phoneticPr fontId="2"/>
  </si>
  <si>
    <t>売上</t>
    <rPh sb="0" eb="2">
      <t>ウリアg</t>
    </rPh>
    <phoneticPr fontId="2"/>
  </si>
  <si>
    <t>店舗#</t>
    <rPh sb="0" eb="2">
      <t>テンp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</si>
</sst>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</font>
    <font>
      <sz val="6"/>
      <name val="游ゴシック"/>
      <family val="2"/>
      <charset val="128"/>
      <scheme val="minor"/>
    </font>
    <font>
      <sz val="12"/>
      <color theme="0"/>
      <name val="游ゴシック"/>
      <family val="3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14"/>
      <color theme="1"/>
      <name val="游ゴシック"/>
      <family val="3"/>
      <charset val="128"/>
    </font>
    <font>
      <sz val="12"/>
      <color rgb="FFFF0000"/>
      <name val="游ゴシック"/>
      <family val="2"/>
      <charset val="128"/>
      <scheme val="minor"/>
    </font>
    <font>
      <b/>
      <sz val="16"/>
      <color theme="0"/>
      <name val="游ゴシック"/>
      <family val="3"/>
      <charset val="128"/>
      <scheme val="minor"/>
    </font>
    <font>
      <sz val="12"/>
      <color theme="1"/>
      <name val="游ゴシック"/>
      <family val="3"/>
      <charset val="128"/>
    </font>
    <font>
      <sz val="12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0" fillId="0" borderId="0"/>
  </cellStyleXfs>
  <cellXfs count="9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2" borderId="0" xfId="0" applyFont="1" applyFill="1">
      <alignment vertical="center"/>
    </xf>
    <xf numFmtId="0" fontId="0" fillId="0" borderId="0" xfId="0" applyFill="1" applyBorder="1" applyAlignment="1">
      <alignment vertical="center"/>
    </xf>
    <xf numFmtId="0" fontId="0" fillId="0" borderId="5" xfId="0" applyFill="1" applyBorder="1" applyAlignment="1">
      <alignment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Continuous" vertical="center"/>
    </xf>
    <xf numFmtId="0" fontId="4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2" borderId="0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4" fontId="0" fillId="0" borderId="0" xfId="0" applyNumberFormat="1">
      <alignment vertical="center"/>
    </xf>
    <xf numFmtId="14" fontId="0" fillId="0" borderId="2" xfId="0" applyNumberFormat="1" applyBorder="1">
      <alignment vertical="center"/>
    </xf>
    <xf numFmtId="0" fontId="0" fillId="0" borderId="0" xfId="0" applyBorder="1">
      <alignment vertical="center"/>
    </xf>
    <xf numFmtId="0" fontId="0" fillId="0" borderId="3" xfId="0" applyBorder="1">
      <alignment vertical="center"/>
    </xf>
    <xf numFmtId="14" fontId="0" fillId="0" borderId="4" xfId="0" applyNumberForma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15" xfId="0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5" xfId="0" applyBorder="1" applyAlignment="1">
      <alignment horizontal="centerContinuous" vertical="center"/>
    </xf>
    <xf numFmtId="0" fontId="7" fillId="0" borderId="1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  <xf numFmtId="0" fontId="4" fillId="2" borderId="8" xfId="0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1" fillId="0" borderId="0" xfId="1" applyFont="1"/>
    <xf numFmtId="0" fontId="12" fillId="0" borderId="0" xfId="1" applyFont="1"/>
    <xf numFmtId="0" fontId="11" fillId="0" borderId="17" xfId="1" applyFont="1" applyBorder="1" applyAlignment="1">
      <alignment horizontal="center"/>
    </xf>
    <xf numFmtId="0" fontId="11" fillId="0" borderId="18" xfId="1" applyFont="1" applyBorder="1" applyAlignment="1">
      <alignment horizontal="center"/>
    </xf>
    <xf numFmtId="0" fontId="11" fillId="0" borderId="19" xfId="1" applyFont="1" applyBorder="1" applyAlignment="1">
      <alignment horizontal="center"/>
    </xf>
    <xf numFmtId="0" fontId="11" fillId="0" borderId="20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0" xfId="1" applyFont="1" applyAlignment="1">
      <alignment horizontal="center"/>
    </xf>
    <xf numFmtId="0" fontId="11" fillId="6" borderId="22" xfId="1" applyFont="1" applyFill="1" applyBorder="1" applyAlignment="1">
      <alignment horizontal="center"/>
    </xf>
    <xf numFmtId="0" fontId="11" fillId="6" borderId="23" xfId="1" applyFont="1" applyFill="1" applyBorder="1" applyAlignment="1">
      <alignment horizontal="center"/>
    </xf>
    <xf numFmtId="0" fontId="11" fillId="6" borderId="24" xfId="1" applyFont="1" applyFill="1" applyBorder="1" applyAlignment="1">
      <alignment horizontal="center"/>
    </xf>
    <xf numFmtId="0" fontId="12" fillId="6" borderId="23" xfId="1" applyFont="1" applyFill="1" applyBorder="1" applyAlignment="1">
      <alignment horizontal="center"/>
    </xf>
  </cellXfs>
  <cellStyles count="2">
    <cellStyle name="標準" xfId="0" builtinId="0"/>
    <cellStyle name="標準 2" xfId="1" xr:uid="{4942DDE4-7802-9C46-A8C9-AAE27BF7A7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'結果（例）'!$U$3</c:f>
              <c:strCache>
                <c:ptCount val="1"/>
                <c:pt idx="0">
                  <c:v>予測値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'結果（例）'!$T$4:$T$126</c:f>
              <c:numCache>
                <c:formatCode>m/d/yy</c:formatCode>
                <c:ptCount val="123"/>
                <c:pt idx="0">
                  <c:v>41091</c:v>
                </c:pt>
                <c:pt idx="1">
                  <c:v>41092</c:v>
                </c:pt>
                <c:pt idx="2">
                  <c:v>41093</c:v>
                </c:pt>
                <c:pt idx="3">
                  <c:v>41094</c:v>
                </c:pt>
                <c:pt idx="4">
                  <c:v>41095</c:v>
                </c:pt>
                <c:pt idx="5">
                  <c:v>41096</c:v>
                </c:pt>
                <c:pt idx="6">
                  <c:v>41097</c:v>
                </c:pt>
                <c:pt idx="7">
                  <c:v>41098</c:v>
                </c:pt>
                <c:pt idx="8">
                  <c:v>41099</c:v>
                </c:pt>
                <c:pt idx="9">
                  <c:v>41100</c:v>
                </c:pt>
                <c:pt idx="10">
                  <c:v>41101</c:v>
                </c:pt>
                <c:pt idx="11">
                  <c:v>41102</c:v>
                </c:pt>
                <c:pt idx="12">
                  <c:v>41103</c:v>
                </c:pt>
                <c:pt idx="13">
                  <c:v>41104</c:v>
                </c:pt>
                <c:pt idx="14">
                  <c:v>41105</c:v>
                </c:pt>
                <c:pt idx="15">
                  <c:v>41106</c:v>
                </c:pt>
                <c:pt idx="16">
                  <c:v>41107</c:v>
                </c:pt>
                <c:pt idx="17">
                  <c:v>41108</c:v>
                </c:pt>
                <c:pt idx="18">
                  <c:v>41109</c:v>
                </c:pt>
                <c:pt idx="19">
                  <c:v>41110</c:v>
                </c:pt>
                <c:pt idx="20">
                  <c:v>41111</c:v>
                </c:pt>
                <c:pt idx="21">
                  <c:v>41112</c:v>
                </c:pt>
                <c:pt idx="22">
                  <c:v>41113</c:v>
                </c:pt>
                <c:pt idx="23">
                  <c:v>41114</c:v>
                </c:pt>
                <c:pt idx="24">
                  <c:v>41115</c:v>
                </c:pt>
                <c:pt idx="25">
                  <c:v>41116</c:v>
                </c:pt>
                <c:pt idx="26">
                  <c:v>41117</c:v>
                </c:pt>
                <c:pt idx="27">
                  <c:v>41118</c:v>
                </c:pt>
                <c:pt idx="28">
                  <c:v>41119</c:v>
                </c:pt>
                <c:pt idx="29">
                  <c:v>41120</c:v>
                </c:pt>
                <c:pt idx="30">
                  <c:v>41121</c:v>
                </c:pt>
                <c:pt idx="31">
                  <c:v>41122</c:v>
                </c:pt>
                <c:pt idx="32">
                  <c:v>41123</c:v>
                </c:pt>
                <c:pt idx="33">
                  <c:v>41124</c:v>
                </c:pt>
                <c:pt idx="34">
                  <c:v>41125</c:v>
                </c:pt>
                <c:pt idx="35">
                  <c:v>41126</c:v>
                </c:pt>
                <c:pt idx="36">
                  <c:v>41127</c:v>
                </c:pt>
                <c:pt idx="37">
                  <c:v>41128</c:v>
                </c:pt>
                <c:pt idx="38">
                  <c:v>41129</c:v>
                </c:pt>
                <c:pt idx="39">
                  <c:v>41130</c:v>
                </c:pt>
                <c:pt idx="40">
                  <c:v>41131</c:v>
                </c:pt>
                <c:pt idx="41">
                  <c:v>41132</c:v>
                </c:pt>
                <c:pt idx="42">
                  <c:v>41133</c:v>
                </c:pt>
                <c:pt idx="43">
                  <c:v>41134</c:v>
                </c:pt>
                <c:pt idx="44">
                  <c:v>41135</c:v>
                </c:pt>
                <c:pt idx="45">
                  <c:v>41136</c:v>
                </c:pt>
                <c:pt idx="46">
                  <c:v>41137</c:v>
                </c:pt>
                <c:pt idx="47">
                  <c:v>41138</c:v>
                </c:pt>
                <c:pt idx="48">
                  <c:v>41139</c:v>
                </c:pt>
                <c:pt idx="49">
                  <c:v>41140</c:v>
                </c:pt>
                <c:pt idx="50">
                  <c:v>41141</c:v>
                </c:pt>
                <c:pt idx="51">
                  <c:v>41142</c:v>
                </c:pt>
                <c:pt idx="52">
                  <c:v>41143</c:v>
                </c:pt>
                <c:pt idx="53">
                  <c:v>41144</c:v>
                </c:pt>
                <c:pt idx="54">
                  <c:v>41145</c:v>
                </c:pt>
                <c:pt idx="55">
                  <c:v>41146</c:v>
                </c:pt>
                <c:pt idx="56">
                  <c:v>41147</c:v>
                </c:pt>
                <c:pt idx="57">
                  <c:v>41148</c:v>
                </c:pt>
                <c:pt idx="58">
                  <c:v>41149</c:v>
                </c:pt>
                <c:pt idx="59">
                  <c:v>41150</c:v>
                </c:pt>
                <c:pt idx="60">
                  <c:v>41151</c:v>
                </c:pt>
                <c:pt idx="61">
                  <c:v>41152</c:v>
                </c:pt>
                <c:pt idx="62">
                  <c:v>41153</c:v>
                </c:pt>
                <c:pt idx="63">
                  <c:v>41154</c:v>
                </c:pt>
                <c:pt idx="64">
                  <c:v>41155</c:v>
                </c:pt>
                <c:pt idx="65">
                  <c:v>41156</c:v>
                </c:pt>
                <c:pt idx="66">
                  <c:v>41157</c:v>
                </c:pt>
                <c:pt idx="67">
                  <c:v>41158</c:v>
                </c:pt>
                <c:pt idx="68">
                  <c:v>41159</c:v>
                </c:pt>
                <c:pt idx="69">
                  <c:v>41160</c:v>
                </c:pt>
                <c:pt idx="70">
                  <c:v>41161</c:v>
                </c:pt>
                <c:pt idx="71">
                  <c:v>41162</c:v>
                </c:pt>
                <c:pt idx="72">
                  <c:v>41163</c:v>
                </c:pt>
                <c:pt idx="73">
                  <c:v>41164</c:v>
                </c:pt>
                <c:pt idx="74">
                  <c:v>41165</c:v>
                </c:pt>
                <c:pt idx="75">
                  <c:v>41166</c:v>
                </c:pt>
                <c:pt idx="76">
                  <c:v>41167</c:v>
                </c:pt>
                <c:pt idx="77">
                  <c:v>41168</c:v>
                </c:pt>
                <c:pt idx="78">
                  <c:v>41169</c:v>
                </c:pt>
                <c:pt idx="79">
                  <c:v>41170</c:v>
                </c:pt>
                <c:pt idx="80">
                  <c:v>41171</c:v>
                </c:pt>
                <c:pt idx="81">
                  <c:v>41172</c:v>
                </c:pt>
                <c:pt idx="82">
                  <c:v>41173</c:v>
                </c:pt>
                <c:pt idx="83">
                  <c:v>41174</c:v>
                </c:pt>
                <c:pt idx="84">
                  <c:v>41175</c:v>
                </c:pt>
                <c:pt idx="85">
                  <c:v>41176</c:v>
                </c:pt>
                <c:pt idx="86">
                  <c:v>41177</c:v>
                </c:pt>
                <c:pt idx="87">
                  <c:v>41178</c:v>
                </c:pt>
                <c:pt idx="88">
                  <c:v>41179</c:v>
                </c:pt>
                <c:pt idx="89">
                  <c:v>41180</c:v>
                </c:pt>
                <c:pt idx="90">
                  <c:v>41181</c:v>
                </c:pt>
                <c:pt idx="91">
                  <c:v>41182</c:v>
                </c:pt>
                <c:pt idx="92">
                  <c:v>41183</c:v>
                </c:pt>
                <c:pt idx="93">
                  <c:v>41184</c:v>
                </c:pt>
                <c:pt idx="94">
                  <c:v>41185</c:v>
                </c:pt>
                <c:pt idx="95">
                  <c:v>41186</c:v>
                </c:pt>
                <c:pt idx="96">
                  <c:v>41187</c:v>
                </c:pt>
                <c:pt idx="97">
                  <c:v>41188</c:v>
                </c:pt>
                <c:pt idx="98">
                  <c:v>41189</c:v>
                </c:pt>
                <c:pt idx="99">
                  <c:v>41190</c:v>
                </c:pt>
                <c:pt idx="100">
                  <c:v>41191</c:v>
                </c:pt>
                <c:pt idx="101">
                  <c:v>41192</c:v>
                </c:pt>
                <c:pt idx="102">
                  <c:v>41193</c:v>
                </c:pt>
                <c:pt idx="103">
                  <c:v>41194</c:v>
                </c:pt>
                <c:pt idx="104">
                  <c:v>41195</c:v>
                </c:pt>
                <c:pt idx="105">
                  <c:v>41196</c:v>
                </c:pt>
                <c:pt idx="106">
                  <c:v>41197</c:v>
                </c:pt>
                <c:pt idx="107">
                  <c:v>41198</c:v>
                </c:pt>
                <c:pt idx="108">
                  <c:v>41199</c:v>
                </c:pt>
                <c:pt idx="109">
                  <c:v>41200</c:v>
                </c:pt>
                <c:pt idx="110">
                  <c:v>41201</c:v>
                </c:pt>
                <c:pt idx="111">
                  <c:v>41202</c:v>
                </c:pt>
                <c:pt idx="112">
                  <c:v>41203</c:v>
                </c:pt>
                <c:pt idx="113">
                  <c:v>41204</c:v>
                </c:pt>
                <c:pt idx="114">
                  <c:v>41205</c:v>
                </c:pt>
                <c:pt idx="115">
                  <c:v>41206</c:v>
                </c:pt>
                <c:pt idx="116">
                  <c:v>41207</c:v>
                </c:pt>
                <c:pt idx="117">
                  <c:v>41208</c:v>
                </c:pt>
                <c:pt idx="118">
                  <c:v>41209</c:v>
                </c:pt>
                <c:pt idx="119">
                  <c:v>41210</c:v>
                </c:pt>
                <c:pt idx="120">
                  <c:v>41211</c:v>
                </c:pt>
                <c:pt idx="121">
                  <c:v>41212</c:v>
                </c:pt>
                <c:pt idx="122">
                  <c:v>41213</c:v>
                </c:pt>
              </c:numCache>
            </c:numRef>
          </c:cat>
          <c:val>
            <c:numRef>
              <c:f>'結果（例）'!$U$4:$U$126</c:f>
              <c:numCache>
                <c:formatCode>General</c:formatCode>
                <c:ptCount val="123"/>
                <c:pt idx="0">
                  <c:v>30.81299078082975</c:v>
                </c:pt>
                <c:pt idx="1">
                  <c:v>28.467370403117258</c:v>
                </c:pt>
                <c:pt idx="2">
                  <c:v>24.451247957941089</c:v>
                </c:pt>
                <c:pt idx="3">
                  <c:v>21.213856508134512</c:v>
                </c:pt>
                <c:pt idx="4">
                  <c:v>19.27322475989854</c:v>
                </c:pt>
                <c:pt idx="5">
                  <c:v>24.151411268087106</c:v>
                </c:pt>
                <c:pt idx="6">
                  <c:v>30.854351009219435</c:v>
                </c:pt>
                <c:pt idx="7">
                  <c:v>28.728550517480699</c:v>
                </c:pt>
                <c:pt idx="8">
                  <c:v>25.054923268111061</c:v>
                </c:pt>
                <c:pt idx="9">
                  <c:v>21.037637022588648</c:v>
                </c:pt>
                <c:pt idx="10">
                  <c:v>20.063604969447379</c:v>
                </c:pt>
                <c:pt idx="11">
                  <c:v>22.723979375959939</c:v>
                </c:pt>
                <c:pt idx="12">
                  <c:v>25.876788576117807</c:v>
                </c:pt>
                <c:pt idx="13">
                  <c:v>33.513917041912052</c:v>
                </c:pt>
                <c:pt idx="14">
                  <c:v>34.263745396891153</c:v>
                </c:pt>
                <c:pt idx="15">
                  <c:v>29.802906631184129</c:v>
                </c:pt>
                <c:pt idx="16">
                  <c:v>22.763014330619349</c:v>
                </c:pt>
                <c:pt idx="17">
                  <c:v>23.514359585508778</c:v>
                </c:pt>
                <c:pt idx="18">
                  <c:v>21.573727837272806</c:v>
                </c:pt>
                <c:pt idx="19">
                  <c:v>25.301662806774242</c:v>
                </c:pt>
                <c:pt idx="20">
                  <c:v>32.579728317250137</c:v>
                </c:pt>
                <c:pt idx="21">
                  <c:v>30.4539278255114</c:v>
                </c:pt>
                <c:pt idx="22">
                  <c:v>23.32954596008036</c:v>
                </c:pt>
                <c:pt idx="23">
                  <c:v>26.17662526597179</c:v>
                </c:pt>
                <c:pt idx="24">
                  <c:v>22.939233816165213</c:v>
                </c:pt>
                <c:pt idx="25">
                  <c:v>23.299105145303507</c:v>
                </c:pt>
                <c:pt idx="26">
                  <c:v>35.615619173903241</c:v>
                </c:pt>
                <c:pt idx="27">
                  <c:v>41.565738701061576</c:v>
                </c:pt>
                <c:pt idx="28">
                  <c:v>38.864751551639685</c:v>
                </c:pt>
                <c:pt idx="29">
                  <c:v>33.06837655786579</c:v>
                </c:pt>
                <c:pt idx="30">
                  <c:v>27.900838773656247</c:v>
                </c:pt>
                <c:pt idx="31">
                  <c:v>21.213856508134512</c:v>
                </c:pt>
                <c:pt idx="32">
                  <c:v>20.423476298585673</c:v>
                </c:pt>
                <c:pt idx="33">
                  <c:v>23.576285498743538</c:v>
                </c:pt>
                <c:pt idx="34">
                  <c:v>32.579728317250137</c:v>
                </c:pt>
                <c:pt idx="35">
                  <c:v>24.127544362732163</c:v>
                </c:pt>
                <c:pt idx="36">
                  <c:v>23.904671729423924</c:v>
                </c:pt>
                <c:pt idx="37">
                  <c:v>22.763014330619349</c:v>
                </c:pt>
                <c:pt idx="38">
                  <c:v>23.514359585508778</c:v>
                </c:pt>
                <c:pt idx="39">
                  <c:v>19.848350529242104</c:v>
                </c:pt>
                <c:pt idx="40">
                  <c:v>24.151411268087106</c:v>
                </c:pt>
                <c:pt idx="41">
                  <c:v>27.403596393158036</c:v>
                </c:pt>
                <c:pt idx="42">
                  <c:v>10.362833379541758</c:v>
                </c:pt>
                <c:pt idx="43">
                  <c:v>26.205174806798194</c:v>
                </c:pt>
                <c:pt idx="44">
                  <c:v>25.063517407993615</c:v>
                </c:pt>
                <c:pt idx="45">
                  <c:v>17.763101892073109</c:v>
                </c:pt>
                <c:pt idx="46">
                  <c:v>19.848350529242104</c:v>
                </c:pt>
                <c:pt idx="47">
                  <c:v>24.151411268087106</c:v>
                </c:pt>
                <c:pt idx="48">
                  <c:v>29.128973701188734</c:v>
                </c:pt>
                <c:pt idx="49">
                  <c:v>22.403330855047706</c:v>
                </c:pt>
                <c:pt idx="50">
                  <c:v>22.754420190736795</c:v>
                </c:pt>
                <c:pt idx="51">
                  <c:v>22.763014330619349</c:v>
                </c:pt>
                <c:pt idx="52">
                  <c:v>19.488479200103811</c:v>
                </c:pt>
                <c:pt idx="53">
                  <c:v>18.698098990554971</c:v>
                </c:pt>
                <c:pt idx="54">
                  <c:v>32.166028358188086</c:v>
                </c:pt>
                <c:pt idx="55">
                  <c:v>36.964671657973454</c:v>
                </c:pt>
                <c:pt idx="56">
                  <c:v>31.604179364198533</c:v>
                </c:pt>
                <c:pt idx="57">
                  <c:v>29.080803653516028</c:v>
                </c:pt>
                <c:pt idx="58">
                  <c:v>34.22722223643548</c:v>
                </c:pt>
                <c:pt idx="59">
                  <c:v>26.965114201570181</c:v>
                </c:pt>
                <c:pt idx="60">
                  <c:v>26.137590311312383</c:v>
                </c:pt>
                <c:pt idx="61">
                  <c:v>25.263355325719036</c:v>
                </c:pt>
                <c:pt idx="62">
                  <c:v>31.788539733881354</c:v>
                </c:pt>
                <c:pt idx="63">
                  <c:v>23.552418593388595</c:v>
                </c:pt>
                <c:pt idx="64">
                  <c:v>25.017779587402103</c:v>
                </c:pt>
                <c:pt idx="65">
                  <c:v>21.037637022588648</c:v>
                </c:pt>
                <c:pt idx="66">
                  <c:v>18.338227661416678</c:v>
                </c:pt>
                <c:pt idx="67">
                  <c:v>19.27322475989854</c:v>
                </c:pt>
                <c:pt idx="68">
                  <c:v>18.975279343995005</c:v>
                </c:pt>
                <c:pt idx="69">
                  <c:v>28.553847931845169</c:v>
                </c:pt>
                <c:pt idx="70">
                  <c:v>24.702670132075731</c:v>
                </c:pt>
                <c:pt idx="71">
                  <c:v>23.32954596008036</c:v>
                </c:pt>
                <c:pt idx="72">
                  <c:v>24.488391638650047</c:v>
                </c:pt>
                <c:pt idx="73">
                  <c:v>20.638730738790947</c:v>
                </c:pt>
                <c:pt idx="74">
                  <c:v>19.848350529242104</c:v>
                </c:pt>
                <c:pt idx="75">
                  <c:v>23.001159729399973</c:v>
                </c:pt>
                <c:pt idx="76">
                  <c:v>35.814420119286325</c:v>
                </c:pt>
                <c:pt idx="77">
                  <c:v>33.508536693885077</c:v>
                </c:pt>
                <c:pt idx="78">
                  <c:v>29.227780861840564</c:v>
                </c:pt>
                <c:pt idx="79">
                  <c:v>31.927882959407459</c:v>
                </c:pt>
                <c:pt idx="80">
                  <c:v>26.352844751517658</c:v>
                </c:pt>
                <c:pt idx="81">
                  <c:v>31.888848004748052</c:v>
                </c:pt>
                <c:pt idx="82">
                  <c:v>40.217789128998021</c:v>
                </c:pt>
                <c:pt idx="83">
                  <c:v>49.801559472565422</c:v>
                </c:pt>
                <c:pt idx="84">
                  <c:v>32.179305133542101</c:v>
                </c:pt>
                <c:pt idx="85">
                  <c:v>31.919288819524905</c:v>
                </c:pt>
                <c:pt idx="86">
                  <c:v>33.076970697748351</c:v>
                </c:pt>
                <c:pt idx="87">
                  <c:v>28.690491509600882</c:v>
                </c:pt>
                <c:pt idx="88">
                  <c:v>33.039099543435185</c:v>
                </c:pt>
                <c:pt idx="89">
                  <c:v>38.491248020621072</c:v>
                </c:pt>
                <c:pt idx="90">
                  <c:v>43.291116009092278</c:v>
                </c:pt>
                <c:pt idx="91">
                  <c:v>38.109542848633609</c:v>
                </c:pt>
                <c:pt idx="92">
                  <c:v>33.643502327209362</c:v>
                </c:pt>
                <c:pt idx="93">
                  <c:v>27.902002574002491</c:v>
                </c:pt>
                <c:pt idx="94">
                  <c:v>24.089485354852346</c:v>
                </c:pt>
                <c:pt idx="95">
                  <c:v>22.14885360661637</c:v>
                </c:pt>
                <c:pt idx="96">
                  <c:v>23.576285498743538</c:v>
                </c:pt>
                <c:pt idx="97">
                  <c:v>35.814420119286325</c:v>
                </c:pt>
                <c:pt idx="98">
                  <c:v>34.658788232572206</c:v>
                </c:pt>
                <c:pt idx="99">
                  <c:v>28.652655092496996</c:v>
                </c:pt>
                <c:pt idx="100">
                  <c:v>20.462511253245079</c:v>
                </c:pt>
                <c:pt idx="101">
                  <c:v>20.638730738790947</c:v>
                </c:pt>
                <c:pt idx="102">
                  <c:v>21.573727837272806</c:v>
                </c:pt>
                <c:pt idx="103">
                  <c:v>23.001159729399973</c:v>
                </c:pt>
                <c:pt idx="104">
                  <c:v>32.579728317250137</c:v>
                </c:pt>
                <c:pt idx="105">
                  <c:v>28.729714317826943</c:v>
                </c:pt>
                <c:pt idx="106">
                  <c:v>25.630049037454629</c:v>
                </c:pt>
                <c:pt idx="107">
                  <c:v>22.763014330619349</c:v>
                </c:pt>
                <c:pt idx="108">
                  <c:v>18.913353430760246</c:v>
                </c:pt>
                <c:pt idx="109">
                  <c:v>20.998602067929241</c:v>
                </c:pt>
                <c:pt idx="110">
                  <c:v>25.301662806774242</c:v>
                </c:pt>
                <c:pt idx="111">
                  <c:v>29.704099470532306</c:v>
                </c:pt>
                <c:pt idx="112">
                  <c:v>27.004337009796242</c:v>
                </c:pt>
                <c:pt idx="113">
                  <c:v>23.32954596008036</c:v>
                </c:pt>
                <c:pt idx="114">
                  <c:v>25.063517407993615</c:v>
                </c:pt>
                <c:pt idx="115">
                  <c:v>28.115365740257317</c:v>
                </c:pt>
                <c:pt idx="116">
                  <c:v>27.324985530708474</c:v>
                </c:pt>
                <c:pt idx="117">
                  <c:v>33.891405666218787</c:v>
                </c:pt>
                <c:pt idx="118">
                  <c:v>43.86618089009626</c:v>
                </c:pt>
                <c:pt idx="119">
                  <c:v>29.878802056167832</c:v>
                </c:pt>
                <c:pt idx="120">
                  <c:v>37.669382712614329</c:v>
                </c:pt>
                <c:pt idx="121">
                  <c:v>27.364020485367881</c:v>
                </c:pt>
                <c:pt idx="122">
                  <c:v>33.82831595263778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B1-594B-8E5F-CC8E3F63A931}"/>
            </c:ext>
          </c:extLst>
        </c:ser>
        <c:ser>
          <c:idx val="1"/>
          <c:order val="1"/>
          <c:tx>
            <c:strRef>
              <c:f>'結果（例）'!$V$3</c:f>
              <c:strCache>
                <c:ptCount val="1"/>
                <c:pt idx="0">
                  <c:v>実際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'結果（例）'!$T$4:$T$126</c:f>
              <c:numCache>
                <c:formatCode>m/d/yy</c:formatCode>
                <c:ptCount val="123"/>
                <c:pt idx="0">
                  <c:v>41091</c:v>
                </c:pt>
                <c:pt idx="1">
                  <c:v>41092</c:v>
                </c:pt>
                <c:pt idx="2">
                  <c:v>41093</c:v>
                </c:pt>
                <c:pt idx="3">
                  <c:v>41094</c:v>
                </c:pt>
                <c:pt idx="4">
                  <c:v>41095</c:v>
                </c:pt>
                <c:pt idx="5">
                  <c:v>41096</c:v>
                </c:pt>
                <c:pt idx="6">
                  <c:v>41097</c:v>
                </c:pt>
                <c:pt idx="7">
                  <c:v>41098</c:v>
                </c:pt>
                <c:pt idx="8">
                  <c:v>41099</c:v>
                </c:pt>
                <c:pt idx="9">
                  <c:v>41100</c:v>
                </c:pt>
                <c:pt idx="10">
                  <c:v>41101</c:v>
                </c:pt>
                <c:pt idx="11">
                  <c:v>41102</c:v>
                </c:pt>
                <c:pt idx="12">
                  <c:v>41103</c:v>
                </c:pt>
                <c:pt idx="13">
                  <c:v>41104</c:v>
                </c:pt>
                <c:pt idx="14">
                  <c:v>41105</c:v>
                </c:pt>
                <c:pt idx="15">
                  <c:v>41106</c:v>
                </c:pt>
                <c:pt idx="16">
                  <c:v>41107</c:v>
                </c:pt>
                <c:pt idx="17">
                  <c:v>41108</c:v>
                </c:pt>
                <c:pt idx="18">
                  <c:v>41109</c:v>
                </c:pt>
                <c:pt idx="19">
                  <c:v>41110</c:v>
                </c:pt>
                <c:pt idx="20">
                  <c:v>41111</c:v>
                </c:pt>
                <c:pt idx="21">
                  <c:v>41112</c:v>
                </c:pt>
                <c:pt idx="22">
                  <c:v>41113</c:v>
                </c:pt>
                <c:pt idx="23">
                  <c:v>41114</c:v>
                </c:pt>
                <c:pt idx="24">
                  <c:v>41115</c:v>
                </c:pt>
                <c:pt idx="25">
                  <c:v>41116</c:v>
                </c:pt>
                <c:pt idx="26">
                  <c:v>41117</c:v>
                </c:pt>
                <c:pt idx="27">
                  <c:v>41118</c:v>
                </c:pt>
                <c:pt idx="28">
                  <c:v>41119</c:v>
                </c:pt>
                <c:pt idx="29">
                  <c:v>41120</c:v>
                </c:pt>
                <c:pt idx="30">
                  <c:v>41121</c:v>
                </c:pt>
                <c:pt idx="31">
                  <c:v>41122</c:v>
                </c:pt>
                <c:pt idx="32">
                  <c:v>41123</c:v>
                </c:pt>
                <c:pt idx="33">
                  <c:v>41124</c:v>
                </c:pt>
                <c:pt idx="34">
                  <c:v>41125</c:v>
                </c:pt>
                <c:pt idx="35">
                  <c:v>41126</c:v>
                </c:pt>
                <c:pt idx="36">
                  <c:v>41127</c:v>
                </c:pt>
                <c:pt idx="37">
                  <c:v>41128</c:v>
                </c:pt>
                <c:pt idx="38">
                  <c:v>41129</c:v>
                </c:pt>
                <c:pt idx="39">
                  <c:v>41130</c:v>
                </c:pt>
                <c:pt idx="40">
                  <c:v>41131</c:v>
                </c:pt>
                <c:pt idx="41">
                  <c:v>41132</c:v>
                </c:pt>
                <c:pt idx="42">
                  <c:v>41133</c:v>
                </c:pt>
                <c:pt idx="43">
                  <c:v>41134</c:v>
                </c:pt>
                <c:pt idx="44">
                  <c:v>41135</c:v>
                </c:pt>
                <c:pt idx="45">
                  <c:v>41136</c:v>
                </c:pt>
                <c:pt idx="46">
                  <c:v>41137</c:v>
                </c:pt>
                <c:pt idx="47">
                  <c:v>41138</c:v>
                </c:pt>
                <c:pt idx="48">
                  <c:v>41139</c:v>
                </c:pt>
                <c:pt idx="49">
                  <c:v>41140</c:v>
                </c:pt>
                <c:pt idx="50">
                  <c:v>41141</c:v>
                </c:pt>
                <c:pt idx="51">
                  <c:v>41142</c:v>
                </c:pt>
                <c:pt idx="52">
                  <c:v>41143</c:v>
                </c:pt>
                <c:pt idx="53">
                  <c:v>41144</c:v>
                </c:pt>
                <c:pt idx="54">
                  <c:v>41145</c:v>
                </c:pt>
                <c:pt idx="55">
                  <c:v>41146</c:v>
                </c:pt>
                <c:pt idx="56">
                  <c:v>41147</c:v>
                </c:pt>
                <c:pt idx="57">
                  <c:v>41148</c:v>
                </c:pt>
                <c:pt idx="58">
                  <c:v>41149</c:v>
                </c:pt>
                <c:pt idx="59">
                  <c:v>41150</c:v>
                </c:pt>
                <c:pt idx="60">
                  <c:v>41151</c:v>
                </c:pt>
                <c:pt idx="61">
                  <c:v>41152</c:v>
                </c:pt>
                <c:pt idx="62">
                  <c:v>41153</c:v>
                </c:pt>
                <c:pt idx="63">
                  <c:v>41154</c:v>
                </c:pt>
                <c:pt idx="64">
                  <c:v>41155</c:v>
                </c:pt>
                <c:pt idx="65">
                  <c:v>41156</c:v>
                </c:pt>
                <c:pt idx="66">
                  <c:v>41157</c:v>
                </c:pt>
                <c:pt idx="67">
                  <c:v>41158</c:v>
                </c:pt>
                <c:pt idx="68">
                  <c:v>41159</c:v>
                </c:pt>
                <c:pt idx="69">
                  <c:v>41160</c:v>
                </c:pt>
                <c:pt idx="70">
                  <c:v>41161</c:v>
                </c:pt>
                <c:pt idx="71">
                  <c:v>41162</c:v>
                </c:pt>
                <c:pt idx="72">
                  <c:v>41163</c:v>
                </c:pt>
                <c:pt idx="73">
                  <c:v>41164</c:v>
                </c:pt>
                <c:pt idx="74">
                  <c:v>41165</c:v>
                </c:pt>
                <c:pt idx="75">
                  <c:v>41166</c:v>
                </c:pt>
                <c:pt idx="76">
                  <c:v>41167</c:v>
                </c:pt>
                <c:pt idx="77">
                  <c:v>41168</c:v>
                </c:pt>
                <c:pt idx="78">
                  <c:v>41169</c:v>
                </c:pt>
                <c:pt idx="79">
                  <c:v>41170</c:v>
                </c:pt>
                <c:pt idx="80">
                  <c:v>41171</c:v>
                </c:pt>
                <c:pt idx="81">
                  <c:v>41172</c:v>
                </c:pt>
                <c:pt idx="82">
                  <c:v>41173</c:v>
                </c:pt>
                <c:pt idx="83">
                  <c:v>41174</c:v>
                </c:pt>
                <c:pt idx="84">
                  <c:v>41175</c:v>
                </c:pt>
                <c:pt idx="85">
                  <c:v>41176</c:v>
                </c:pt>
                <c:pt idx="86">
                  <c:v>41177</c:v>
                </c:pt>
                <c:pt idx="87">
                  <c:v>41178</c:v>
                </c:pt>
                <c:pt idx="88">
                  <c:v>41179</c:v>
                </c:pt>
                <c:pt idx="89">
                  <c:v>41180</c:v>
                </c:pt>
                <c:pt idx="90">
                  <c:v>41181</c:v>
                </c:pt>
                <c:pt idx="91">
                  <c:v>41182</c:v>
                </c:pt>
                <c:pt idx="92">
                  <c:v>41183</c:v>
                </c:pt>
                <c:pt idx="93">
                  <c:v>41184</c:v>
                </c:pt>
                <c:pt idx="94">
                  <c:v>41185</c:v>
                </c:pt>
                <c:pt idx="95">
                  <c:v>41186</c:v>
                </c:pt>
                <c:pt idx="96">
                  <c:v>41187</c:v>
                </c:pt>
                <c:pt idx="97">
                  <c:v>41188</c:v>
                </c:pt>
                <c:pt idx="98">
                  <c:v>41189</c:v>
                </c:pt>
                <c:pt idx="99">
                  <c:v>41190</c:v>
                </c:pt>
                <c:pt idx="100">
                  <c:v>41191</c:v>
                </c:pt>
                <c:pt idx="101">
                  <c:v>41192</c:v>
                </c:pt>
                <c:pt idx="102">
                  <c:v>41193</c:v>
                </c:pt>
                <c:pt idx="103">
                  <c:v>41194</c:v>
                </c:pt>
                <c:pt idx="104">
                  <c:v>41195</c:v>
                </c:pt>
                <c:pt idx="105">
                  <c:v>41196</c:v>
                </c:pt>
                <c:pt idx="106">
                  <c:v>41197</c:v>
                </c:pt>
                <c:pt idx="107">
                  <c:v>41198</c:v>
                </c:pt>
                <c:pt idx="108">
                  <c:v>41199</c:v>
                </c:pt>
                <c:pt idx="109">
                  <c:v>41200</c:v>
                </c:pt>
                <c:pt idx="110">
                  <c:v>41201</c:v>
                </c:pt>
                <c:pt idx="111">
                  <c:v>41202</c:v>
                </c:pt>
                <c:pt idx="112">
                  <c:v>41203</c:v>
                </c:pt>
                <c:pt idx="113">
                  <c:v>41204</c:v>
                </c:pt>
                <c:pt idx="114">
                  <c:v>41205</c:v>
                </c:pt>
                <c:pt idx="115">
                  <c:v>41206</c:v>
                </c:pt>
                <c:pt idx="116">
                  <c:v>41207</c:v>
                </c:pt>
                <c:pt idx="117">
                  <c:v>41208</c:v>
                </c:pt>
                <c:pt idx="118">
                  <c:v>41209</c:v>
                </c:pt>
                <c:pt idx="119">
                  <c:v>41210</c:v>
                </c:pt>
                <c:pt idx="120">
                  <c:v>41211</c:v>
                </c:pt>
                <c:pt idx="121">
                  <c:v>41212</c:v>
                </c:pt>
                <c:pt idx="122">
                  <c:v>41213</c:v>
                </c:pt>
              </c:numCache>
            </c:numRef>
          </c:cat>
          <c:val>
            <c:numRef>
              <c:f>'結果（例）'!$V$4:$V$126</c:f>
              <c:numCache>
                <c:formatCode>General</c:formatCode>
                <c:ptCount val="123"/>
                <c:pt idx="0">
                  <c:v>45</c:v>
                </c:pt>
                <c:pt idx="1">
                  <c:v>31</c:v>
                </c:pt>
                <c:pt idx="2">
                  <c:v>12</c:v>
                </c:pt>
                <c:pt idx="3">
                  <c:v>19</c:v>
                </c:pt>
                <c:pt idx="4">
                  <c:v>16</c:v>
                </c:pt>
                <c:pt idx="5">
                  <c:v>23</c:v>
                </c:pt>
                <c:pt idx="6">
                  <c:v>34</c:v>
                </c:pt>
                <c:pt idx="7">
                  <c:v>20</c:v>
                </c:pt>
                <c:pt idx="8">
                  <c:v>17</c:v>
                </c:pt>
                <c:pt idx="9">
                  <c:v>9</c:v>
                </c:pt>
                <c:pt idx="10">
                  <c:v>21</c:v>
                </c:pt>
                <c:pt idx="11">
                  <c:v>21</c:v>
                </c:pt>
                <c:pt idx="12">
                  <c:v>23</c:v>
                </c:pt>
                <c:pt idx="13">
                  <c:v>38</c:v>
                </c:pt>
                <c:pt idx="14">
                  <c:v>38</c:v>
                </c:pt>
                <c:pt idx="15">
                  <c:v>25</c:v>
                </c:pt>
                <c:pt idx="16">
                  <c:v>24</c:v>
                </c:pt>
                <c:pt idx="17">
                  <c:v>11</c:v>
                </c:pt>
                <c:pt idx="18">
                  <c:v>19</c:v>
                </c:pt>
                <c:pt idx="19">
                  <c:v>24</c:v>
                </c:pt>
                <c:pt idx="20">
                  <c:v>37</c:v>
                </c:pt>
                <c:pt idx="21">
                  <c:v>23</c:v>
                </c:pt>
                <c:pt idx="22">
                  <c:v>27</c:v>
                </c:pt>
                <c:pt idx="23">
                  <c:v>31</c:v>
                </c:pt>
                <c:pt idx="24">
                  <c:v>17</c:v>
                </c:pt>
                <c:pt idx="25">
                  <c:v>22</c:v>
                </c:pt>
                <c:pt idx="26">
                  <c:v>25</c:v>
                </c:pt>
                <c:pt idx="27">
                  <c:v>48</c:v>
                </c:pt>
                <c:pt idx="28">
                  <c:v>43</c:v>
                </c:pt>
                <c:pt idx="29">
                  <c:v>31</c:v>
                </c:pt>
                <c:pt idx="30">
                  <c:v>42</c:v>
                </c:pt>
                <c:pt idx="31">
                  <c:v>41</c:v>
                </c:pt>
                <c:pt idx="32">
                  <c:v>30</c:v>
                </c:pt>
                <c:pt idx="33">
                  <c:v>29</c:v>
                </c:pt>
                <c:pt idx="34">
                  <c:v>31</c:v>
                </c:pt>
                <c:pt idx="35">
                  <c:v>34</c:v>
                </c:pt>
                <c:pt idx="36">
                  <c:v>21</c:v>
                </c:pt>
                <c:pt idx="37">
                  <c:v>21</c:v>
                </c:pt>
                <c:pt idx="38">
                  <c:v>22</c:v>
                </c:pt>
                <c:pt idx="39">
                  <c:v>12</c:v>
                </c:pt>
                <c:pt idx="40">
                  <c:v>25</c:v>
                </c:pt>
                <c:pt idx="41">
                  <c:v>29</c:v>
                </c:pt>
                <c:pt idx="42">
                  <c:v>14</c:v>
                </c:pt>
                <c:pt idx="43">
                  <c:v>29</c:v>
                </c:pt>
                <c:pt idx="44">
                  <c:v>23</c:v>
                </c:pt>
                <c:pt idx="45">
                  <c:v>19</c:v>
                </c:pt>
                <c:pt idx="46">
                  <c:v>16</c:v>
                </c:pt>
                <c:pt idx="47">
                  <c:v>29</c:v>
                </c:pt>
                <c:pt idx="48">
                  <c:v>22</c:v>
                </c:pt>
                <c:pt idx="49">
                  <c:v>23</c:v>
                </c:pt>
                <c:pt idx="50">
                  <c:v>25</c:v>
                </c:pt>
                <c:pt idx="51">
                  <c:v>19</c:v>
                </c:pt>
                <c:pt idx="52">
                  <c:v>21</c:v>
                </c:pt>
                <c:pt idx="53">
                  <c:v>26</c:v>
                </c:pt>
                <c:pt idx="54">
                  <c:v>23</c:v>
                </c:pt>
                <c:pt idx="55">
                  <c:v>31</c:v>
                </c:pt>
                <c:pt idx="56">
                  <c:v>37</c:v>
                </c:pt>
                <c:pt idx="57">
                  <c:v>36</c:v>
                </c:pt>
                <c:pt idx="58">
                  <c:v>27</c:v>
                </c:pt>
                <c:pt idx="59">
                  <c:v>30</c:v>
                </c:pt>
                <c:pt idx="60">
                  <c:v>38</c:v>
                </c:pt>
                <c:pt idx="61">
                  <c:v>28</c:v>
                </c:pt>
                <c:pt idx="62">
                  <c:v>44</c:v>
                </c:pt>
                <c:pt idx="63">
                  <c:v>40</c:v>
                </c:pt>
                <c:pt idx="64">
                  <c:v>35</c:v>
                </c:pt>
                <c:pt idx="65">
                  <c:v>13</c:v>
                </c:pt>
                <c:pt idx="66">
                  <c:v>15</c:v>
                </c:pt>
                <c:pt idx="67">
                  <c:v>19</c:v>
                </c:pt>
                <c:pt idx="68">
                  <c:v>23</c:v>
                </c:pt>
                <c:pt idx="69">
                  <c:v>18</c:v>
                </c:pt>
                <c:pt idx="70">
                  <c:v>33</c:v>
                </c:pt>
                <c:pt idx="71">
                  <c:v>28</c:v>
                </c:pt>
                <c:pt idx="72">
                  <c:v>22</c:v>
                </c:pt>
                <c:pt idx="73">
                  <c:v>26</c:v>
                </c:pt>
                <c:pt idx="74">
                  <c:v>26</c:v>
                </c:pt>
                <c:pt idx="75">
                  <c:v>25</c:v>
                </c:pt>
                <c:pt idx="76">
                  <c:v>36</c:v>
                </c:pt>
                <c:pt idx="77">
                  <c:v>45</c:v>
                </c:pt>
                <c:pt idx="78">
                  <c:v>26</c:v>
                </c:pt>
                <c:pt idx="79">
                  <c:v>34</c:v>
                </c:pt>
                <c:pt idx="80">
                  <c:v>24</c:v>
                </c:pt>
                <c:pt idx="81">
                  <c:v>28</c:v>
                </c:pt>
                <c:pt idx="82">
                  <c:v>36</c:v>
                </c:pt>
                <c:pt idx="83">
                  <c:v>49</c:v>
                </c:pt>
                <c:pt idx="84">
                  <c:v>51</c:v>
                </c:pt>
                <c:pt idx="85">
                  <c:v>69</c:v>
                </c:pt>
                <c:pt idx="86">
                  <c:v>32</c:v>
                </c:pt>
                <c:pt idx="87">
                  <c:v>45</c:v>
                </c:pt>
                <c:pt idx="88">
                  <c:v>40</c:v>
                </c:pt>
                <c:pt idx="89">
                  <c:v>49</c:v>
                </c:pt>
                <c:pt idx="90">
                  <c:v>53</c:v>
                </c:pt>
                <c:pt idx="91">
                  <c:v>52</c:v>
                </c:pt>
                <c:pt idx="92">
                  <c:v>56</c:v>
                </c:pt>
                <c:pt idx="93">
                  <c:v>33</c:v>
                </c:pt>
                <c:pt idx="94">
                  <c:v>22</c:v>
                </c:pt>
                <c:pt idx="95">
                  <c:v>26</c:v>
                </c:pt>
                <c:pt idx="96">
                  <c:v>37</c:v>
                </c:pt>
                <c:pt idx="97">
                  <c:v>35</c:v>
                </c:pt>
                <c:pt idx="98">
                  <c:v>39</c:v>
                </c:pt>
                <c:pt idx="99">
                  <c:v>29</c:v>
                </c:pt>
                <c:pt idx="100">
                  <c:v>25</c:v>
                </c:pt>
                <c:pt idx="101">
                  <c:v>19</c:v>
                </c:pt>
                <c:pt idx="102">
                  <c:v>16</c:v>
                </c:pt>
                <c:pt idx="103">
                  <c:v>28</c:v>
                </c:pt>
                <c:pt idx="104">
                  <c:v>40</c:v>
                </c:pt>
                <c:pt idx="105">
                  <c:v>35</c:v>
                </c:pt>
                <c:pt idx="106">
                  <c:v>22</c:v>
                </c:pt>
                <c:pt idx="107">
                  <c:v>14</c:v>
                </c:pt>
                <c:pt idx="108">
                  <c:v>21</c:v>
                </c:pt>
                <c:pt idx="109">
                  <c:v>16</c:v>
                </c:pt>
                <c:pt idx="110">
                  <c:v>35</c:v>
                </c:pt>
                <c:pt idx="111">
                  <c:v>46</c:v>
                </c:pt>
                <c:pt idx="112">
                  <c:v>29</c:v>
                </c:pt>
                <c:pt idx="113">
                  <c:v>27</c:v>
                </c:pt>
                <c:pt idx="114">
                  <c:v>20</c:v>
                </c:pt>
                <c:pt idx="115">
                  <c:v>33</c:v>
                </c:pt>
                <c:pt idx="116">
                  <c:v>31</c:v>
                </c:pt>
                <c:pt idx="117">
                  <c:v>38</c:v>
                </c:pt>
                <c:pt idx="118">
                  <c:v>58</c:v>
                </c:pt>
                <c:pt idx="119">
                  <c:v>50</c:v>
                </c:pt>
                <c:pt idx="120">
                  <c:v>50</c:v>
                </c:pt>
                <c:pt idx="121">
                  <c:v>51</c:v>
                </c:pt>
                <c:pt idx="122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B1-594B-8E5F-CC8E3F63A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031824"/>
        <c:axId val="1863124080"/>
      </c:lineChart>
      <c:dateAx>
        <c:axId val="17903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3124080"/>
        <c:crosses val="autoZero"/>
        <c:auto val="1"/>
        <c:lblOffset val="100"/>
        <c:baseTimeUnit val="days"/>
      </c:dateAx>
      <c:valAx>
        <c:axId val="186312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254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3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165100</xdr:rowOff>
    </xdr:from>
    <xdr:to>
      <xdr:col>10</xdr:col>
      <xdr:colOff>850900</xdr:colOff>
      <xdr:row>4</xdr:row>
      <xdr:rowOff>165100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58B25AA-18E2-4A54-AC0A-5C537BAB4E3F}"/>
            </a:ext>
          </a:extLst>
        </xdr:cNvPr>
        <xdr:cNvSpPr/>
      </xdr:nvSpPr>
      <xdr:spPr bwMode="auto">
        <a:xfrm>
          <a:off x="190500" y="165100"/>
          <a:ext cx="11341100" cy="914400"/>
        </a:xfrm>
        <a:prstGeom prst="rect">
          <a:avLst/>
        </a:prstGeom>
        <a:solidFill>
          <a:schemeClr val="bg1"/>
        </a:solidFill>
        <a:ln w="38100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t" anchorCtr="0" compatLnSpc="1">
          <a:prstTxWarp prst="textNoShape">
            <a:avLst/>
          </a:prstTxWarp>
        </a:bodyPr>
        <a:lstStyle>
          <a:defPPr>
            <a:defRPr lang="en-US"/>
          </a:defPPr>
          <a:lvl1pPr algn="ctr" rtl="0" fontAlgn="base">
            <a:spcBef>
              <a:spcPct val="0"/>
            </a:spcBef>
            <a:spcAft>
              <a:spcPct val="0"/>
            </a:spcAft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1pPr>
          <a:lvl2pPr marL="457200" algn="ctr" rtl="0" fontAlgn="base">
            <a:spcBef>
              <a:spcPct val="0"/>
            </a:spcBef>
            <a:spcAft>
              <a:spcPct val="0"/>
            </a:spcAft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2pPr>
          <a:lvl3pPr marL="914400" algn="ctr" rtl="0" fontAlgn="base">
            <a:spcBef>
              <a:spcPct val="0"/>
            </a:spcBef>
            <a:spcAft>
              <a:spcPct val="0"/>
            </a:spcAft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3pPr>
          <a:lvl4pPr marL="1371600" algn="ctr" rtl="0" fontAlgn="base">
            <a:spcBef>
              <a:spcPct val="0"/>
            </a:spcBef>
            <a:spcAft>
              <a:spcPct val="0"/>
            </a:spcAft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4pPr>
          <a:lvl5pPr marL="1828800" algn="ctr" rtl="0" fontAlgn="base">
            <a:spcBef>
              <a:spcPct val="0"/>
            </a:spcBef>
            <a:spcAft>
              <a:spcPct val="0"/>
            </a:spcAft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5pPr>
          <a:lvl6pPr marL="2286000" algn="l" defTabSz="914400" rtl="0" eaLnBrk="1" latinLnBrk="0" hangingPunct="1"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6pPr>
          <a:lvl7pPr marL="2743200" algn="l" defTabSz="914400" rtl="0" eaLnBrk="1" latinLnBrk="0" hangingPunct="1"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7pPr>
          <a:lvl8pPr marL="3200400" algn="l" defTabSz="914400" rtl="0" eaLnBrk="1" latinLnBrk="0" hangingPunct="1"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8pPr>
          <a:lvl9pPr marL="3657600" algn="l" defTabSz="914400" rtl="0" eaLnBrk="1" latinLnBrk="0" hangingPunct="1">
            <a:defRPr sz="2000" kern="1200">
              <a:solidFill>
                <a:schemeClr val="tx1"/>
              </a:solidFill>
              <a:latin typeface="Univers 45 Light" pitchFamily="2" charset="0"/>
              <a:ea typeface="HGP創英角ｺﾞｼｯｸUB" pitchFamily="50" charset="-128"/>
              <a:cs typeface="+mn-cs"/>
            </a:defRPr>
          </a:lvl9pPr>
        </a:lstStyle>
        <a:p>
          <a:pPr algn="l"/>
          <a:endParaRPr lang="ja-JP" altLang="en-US" sz="1800">
            <a:cs typeface="Arial" charset="0"/>
          </a:endParaRPr>
        </a:p>
      </xdr:txBody>
    </xdr:sp>
    <xdr:clientData/>
  </xdr:twoCellAnchor>
  <xdr:twoCellAnchor>
    <xdr:from>
      <xdr:col>0</xdr:col>
      <xdr:colOff>342900</xdr:colOff>
      <xdr:row>1</xdr:row>
      <xdr:rowOff>192151</xdr:rowOff>
    </xdr:from>
    <xdr:to>
      <xdr:col>10</xdr:col>
      <xdr:colOff>444502</xdr:colOff>
      <xdr:row>4</xdr:row>
      <xdr:rowOff>152810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テキスト ボックス 2">
              <a:extLst>
                <a:ext uri="{FF2B5EF4-FFF2-40B4-BE49-F238E27FC236}">
                  <a16:creationId xmlns:a16="http://schemas.microsoft.com/office/drawing/2014/main" id="{CF83E4AA-EA09-4AAB-BEB5-5172DC9B7BEC}"/>
                </a:ext>
              </a:extLst>
            </xdr:cNvPr>
            <xdr:cNvSpPr txBox="1"/>
          </xdr:nvSpPr>
          <xdr:spPr>
            <a:xfrm>
              <a:off x="342900" y="420751"/>
              <a:ext cx="10782302" cy="646459"/>
            </a:xfrm>
            <a:prstGeom prst="rect">
              <a:avLst/>
            </a:prstGeom>
            <a:solidFill>
              <a:schemeClr val="bg1"/>
            </a:solidFill>
          </xdr:spPr>
          <xdr:txBody>
            <a:bodyPr wrap="square" rtlCol="0">
              <a:spAutoFit/>
            </a:bodyPr>
            <a:lstStyle>
              <a:defPPr>
                <a:defRPr lang="en-US"/>
              </a:defPPr>
              <a:lvl1pPr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1pPr>
              <a:lvl2pPr marL="4572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2pPr>
              <a:lvl3pPr marL="9144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3pPr>
              <a:lvl4pPr marL="13716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4pPr>
              <a:lvl5pPr marL="18288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5pPr>
              <a:lvl6pPr marL="22860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6pPr>
              <a:lvl7pPr marL="27432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7pPr>
              <a:lvl8pPr marL="32004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8pPr>
              <a:lvl9pPr marL="36576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9pPr>
            </a:lstStyle>
            <a:p>
              <a:pPr algn="l"/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店舗面積</a:t>
              </a:r>
              <a14:m>
                <m:oMath xmlns:m="http://schemas.openxmlformats.org/officeDocument/2006/math"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=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𝟔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, </m:t>
                  </m:r>
                </m:oMath>
              </a14:m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アクセス数</a:t>
              </a:r>
              <a14:m>
                <m:oMath xmlns:m="http://schemas.openxmlformats.org/officeDocument/2006/math"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=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𝟒𝟎𝟎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, </m:t>
                  </m:r>
                </m:oMath>
              </a14:m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広告</a:t>
              </a:r>
              <a14:m>
                <m:oMath xmlns:m="http://schemas.openxmlformats.org/officeDocument/2006/math"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=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𝟏𝟎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,  </m:t>
                  </m:r>
                </m:oMath>
              </a14:m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街の規模</a:t>
              </a:r>
              <a14:m>
                <m:oMath xmlns:m="http://schemas.openxmlformats.org/officeDocument/2006/math"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=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𝟏𝟓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, </m:t>
                  </m:r>
                </m:oMath>
              </a14:m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同業者店舗数</a:t>
              </a:r>
              <a14:m>
                <m:oMath xmlns:m="http://schemas.openxmlformats.org/officeDocument/2006/math"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=</m:t>
                  </m:r>
                  <m:r>
                    <a:rPr kumimoji="1" lang="en-US" altLang="ja-JP" sz="1800" b="1" i="1">
                      <a:latin typeface="Cambria Math" panose="02040503050406030204" pitchFamily="18" charset="0"/>
                      <a:ea typeface="メイリオ" panose="020B0604030504040204" pitchFamily="50" charset="-128"/>
                    </a:rPr>
                    <m:t>𝟏𝟎</m:t>
                  </m:r>
                  <m:r>
                    <m:rPr>
                      <m:nor/>
                    </m:rPr>
                    <a:rPr kumimoji="1" lang="ja-JP" altLang="en-US" sz="1800" b="1">
                      <a:latin typeface="メイリオ" panose="020B0604030504040204" pitchFamily="50" charset="-128"/>
                      <a:ea typeface="メイリオ" panose="020B0604030504040204" pitchFamily="50" charset="-128"/>
                    </a:rPr>
                    <m:t>のときの売上を予測せよ</m:t>
                  </m:r>
                </m:oMath>
              </a14:m>
              <a:endParaRPr kumimoji="1" lang="ja-JP" altLang="en-US" sz="1800" b="1">
                <a:latin typeface="メイリオ" panose="020B0604030504040204" pitchFamily="50" charset="-128"/>
                <a:ea typeface="メイリオ" panose="020B0604030504040204" pitchFamily="50" charset="-128"/>
              </a:endParaRPr>
            </a:p>
            <a:p>
              <a:pPr algn="l"/>
              <a:endParaRPr kumimoji="1" lang="ja-JP" altLang="en-US" sz="1800" b="1">
                <a:latin typeface="メイリオ" panose="020B0604030504040204" pitchFamily="50" charset="-128"/>
                <a:ea typeface="メイリオ" panose="020B0604030504040204" pitchFamily="50" charset="-128"/>
              </a:endParaRPr>
            </a:p>
          </xdr:txBody>
        </xdr:sp>
      </mc:Choice>
      <mc:Fallback xmlns="">
        <xdr:sp macro="" textlink="">
          <xdr:nvSpPr>
            <xdr:cNvPr id="4" name="テキスト ボックス 2">
              <a:extLst>
                <a:ext uri="{FF2B5EF4-FFF2-40B4-BE49-F238E27FC236}">
                  <a16:creationId xmlns:a16="http://schemas.microsoft.com/office/drawing/2014/main" id="{CF83E4AA-EA09-4AAB-BEB5-5172DC9B7BEC}"/>
                </a:ext>
              </a:extLst>
            </xdr:cNvPr>
            <xdr:cNvSpPr txBox="1"/>
          </xdr:nvSpPr>
          <xdr:spPr>
            <a:xfrm>
              <a:off x="342900" y="420751"/>
              <a:ext cx="10782302" cy="646459"/>
            </a:xfrm>
            <a:prstGeom prst="rect">
              <a:avLst/>
            </a:prstGeom>
            <a:solidFill>
              <a:schemeClr val="bg1"/>
            </a:solidFill>
          </xdr:spPr>
          <xdr:txBody>
            <a:bodyPr wrap="square" rtlCol="0">
              <a:spAutoFit/>
            </a:bodyPr>
            <a:lstStyle>
              <a:defPPr>
                <a:defRPr lang="en-US"/>
              </a:defPPr>
              <a:lvl1pPr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1pPr>
              <a:lvl2pPr marL="4572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2pPr>
              <a:lvl3pPr marL="9144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3pPr>
              <a:lvl4pPr marL="13716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4pPr>
              <a:lvl5pPr marL="1828800" algn="ctr" rtl="0" fontAlgn="base">
                <a:spcBef>
                  <a:spcPct val="0"/>
                </a:spcBef>
                <a:spcAft>
                  <a:spcPct val="0"/>
                </a:spcAft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5pPr>
              <a:lvl6pPr marL="22860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6pPr>
              <a:lvl7pPr marL="27432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7pPr>
              <a:lvl8pPr marL="32004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8pPr>
              <a:lvl9pPr marL="3657600" algn="l" defTabSz="914400" rtl="0" eaLnBrk="1" latinLnBrk="0" hangingPunct="1">
                <a:defRPr sz="2000" kern="1200">
                  <a:solidFill>
                    <a:schemeClr val="tx1"/>
                  </a:solidFill>
                  <a:latin typeface="Univers 45 Light" pitchFamily="2" charset="0"/>
                  <a:ea typeface="HGP創英角ｺﾞｼｯｸUB" pitchFamily="50" charset="-128"/>
                  <a:cs typeface="+mn-cs"/>
                </a:defRPr>
              </a:lvl9pPr>
            </a:lstStyle>
            <a:p>
              <a:pPr algn="l"/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店舗面積</a:t>
              </a:r>
              <a:r>
                <a:rPr kumimoji="1" lang="en-US" altLang="ja-JP" sz="1800" b="1" i="0">
                  <a:latin typeface="Cambria Math" panose="02040503050406030204" pitchFamily="18" charset="0"/>
                  <a:ea typeface="メイリオ" panose="020B0604030504040204" pitchFamily="50" charset="-128"/>
                </a:rPr>
                <a:t>=𝟔, </a:t>
              </a:r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アクセス数</a:t>
              </a:r>
              <a:r>
                <a:rPr kumimoji="1" lang="en-US" altLang="ja-JP" sz="1800" b="1" i="0">
                  <a:latin typeface="Cambria Math" panose="02040503050406030204" pitchFamily="18" charset="0"/>
                  <a:ea typeface="メイリオ" panose="020B0604030504040204" pitchFamily="50" charset="-128"/>
                </a:rPr>
                <a:t>=𝟒𝟎𝟎, </a:t>
              </a:r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広告</a:t>
              </a:r>
              <a:r>
                <a:rPr kumimoji="1" lang="en-US" altLang="ja-JP" sz="1800" b="1" i="0">
                  <a:latin typeface="Cambria Math" panose="02040503050406030204" pitchFamily="18" charset="0"/>
                  <a:ea typeface="メイリオ" panose="020B0604030504040204" pitchFamily="50" charset="-128"/>
                </a:rPr>
                <a:t>=𝟏𝟎,  </a:t>
              </a:r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街の規模</a:t>
              </a:r>
              <a:r>
                <a:rPr kumimoji="1" lang="en-US" altLang="ja-JP" sz="1800" b="1" i="0">
                  <a:latin typeface="Cambria Math" panose="02040503050406030204" pitchFamily="18" charset="0"/>
                  <a:ea typeface="メイリオ" panose="020B0604030504040204" pitchFamily="50" charset="-128"/>
                </a:rPr>
                <a:t>=𝟏𝟓, </a:t>
              </a:r>
              <a:r>
                <a:rPr kumimoji="1" lang="ja-JP" altLang="en-US" sz="1800" b="1">
                  <a:latin typeface="メイリオ" panose="020B0604030504040204" pitchFamily="50" charset="-128"/>
                  <a:ea typeface="メイリオ" panose="020B0604030504040204" pitchFamily="50" charset="-128"/>
                </a:rPr>
                <a:t>同業者店舗数</a:t>
              </a:r>
              <a:r>
                <a:rPr kumimoji="1" lang="en-US" altLang="ja-JP" sz="1800" b="1" i="0">
                  <a:latin typeface="Cambria Math" panose="02040503050406030204" pitchFamily="18" charset="0"/>
                  <a:ea typeface="メイリオ" panose="020B0604030504040204" pitchFamily="50" charset="-128"/>
                </a:rPr>
                <a:t>=𝟏𝟎</a:t>
              </a:r>
              <a:r>
                <a:rPr kumimoji="1" lang="ja-JP" altLang="en-US" sz="1800" b="1" i="0">
                  <a:latin typeface="Cambria Math" panose="02040503050406030204" pitchFamily="18" charset="0"/>
                  <a:ea typeface="メイリオ" panose="020B0604030504040204" pitchFamily="50" charset="-128"/>
                </a:rPr>
                <a:t>"のときの売上を予測せよ</a:t>
              </a:r>
              <a:r>
                <a:rPr kumimoji="1" lang="ja-JP" altLang="en-US" sz="1800" b="1" i="0">
                  <a:latin typeface="メイリオ" panose="020B0604030504040204" pitchFamily="50" charset="-128"/>
                  <a:ea typeface="メイリオ" panose="020B0604030504040204" pitchFamily="50" charset="-128"/>
                </a:rPr>
                <a:t>"</a:t>
              </a:r>
              <a:endParaRPr kumimoji="1" lang="ja-JP" altLang="en-US" sz="1800" b="1">
                <a:latin typeface="メイリオ" panose="020B0604030504040204" pitchFamily="50" charset="-128"/>
                <a:ea typeface="メイリオ" panose="020B0604030504040204" pitchFamily="50" charset="-128"/>
              </a:endParaRPr>
            </a:p>
            <a:p>
              <a:pPr algn="l"/>
              <a:endParaRPr kumimoji="1" lang="ja-JP" altLang="en-US" sz="1800" b="1">
                <a:latin typeface="メイリオ" panose="020B0604030504040204" pitchFamily="50" charset="-128"/>
                <a:ea typeface="メイリオ" panose="020B0604030504040204" pitchFamily="50" charset="-128"/>
              </a:endParaRP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1</xdr:row>
      <xdr:rowOff>25400</xdr:rowOff>
    </xdr:from>
    <xdr:to>
      <xdr:col>6</xdr:col>
      <xdr:colOff>0</xdr:colOff>
      <xdr:row>5</xdr:row>
      <xdr:rowOff>101600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3F3E6F64-FCAF-E542-9CC8-977EAF0142B1}"/>
            </a:ext>
          </a:extLst>
        </xdr:cNvPr>
        <xdr:cNvSpPr/>
      </xdr:nvSpPr>
      <xdr:spPr>
        <a:xfrm>
          <a:off x="1104900" y="279400"/>
          <a:ext cx="4610100" cy="1092200"/>
        </a:xfrm>
        <a:prstGeom prst="rect">
          <a:avLst/>
        </a:prstGeom>
        <a:solidFill>
          <a:schemeClr val="accent4"/>
        </a:solidFill>
        <a:ln w="349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600">
              <a:solidFill>
                <a:schemeClr val="tx1"/>
              </a:solidFill>
            </a:rPr>
            <a:t>RMAE</a:t>
          </a:r>
          <a:r>
            <a:rPr kumimoji="1" lang="ja-JP" altLang="en-US" sz="1600">
              <a:solidFill>
                <a:schemeClr val="tx1"/>
              </a:solidFill>
            </a:rPr>
            <a:t>の値を計算してください</a:t>
          </a:r>
          <a:endParaRPr kumimoji="1" lang="en-US" altLang="ja-JP" sz="1600">
            <a:solidFill>
              <a:schemeClr val="tx1"/>
            </a:solidFill>
          </a:endParaRPr>
        </a:p>
        <a:p>
          <a:pPr algn="l"/>
          <a:r>
            <a:rPr kumimoji="1" lang="ja-JP" altLang="en-US" sz="1600">
              <a:solidFill>
                <a:schemeClr val="tx1"/>
              </a:solidFill>
            </a:rPr>
            <a:t>（</a:t>
          </a:r>
          <a:r>
            <a:rPr kumimoji="1" lang="en-US" altLang="ja-JP" sz="1600">
              <a:solidFill>
                <a:schemeClr val="tx1"/>
              </a:solidFill>
            </a:rPr>
            <a:t>y</a:t>
          </a:r>
          <a:r>
            <a:rPr kumimoji="1" lang="ja-JP" altLang="en-US" sz="1600">
              <a:solidFill>
                <a:schemeClr val="tx1"/>
              </a:solidFill>
            </a:rPr>
            <a:t>：計測値）</a:t>
          </a:r>
          <a:endParaRPr kumimoji="1" lang="en-US" altLang="ja-JP" sz="1600">
            <a:solidFill>
              <a:schemeClr val="tx1"/>
            </a:solidFill>
          </a:endParaRPr>
        </a:p>
        <a:p>
          <a:pPr algn="l"/>
          <a:endParaRPr kumimoji="1" lang="ja-JP" altLang="en-US" sz="1600"/>
        </a:p>
      </xdr:txBody>
    </xdr:sp>
    <xdr:clientData/>
  </xdr:twoCellAnchor>
  <xdr:twoCellAnchor>
    <xdr:from>
      <xdr:col>6</xdr:col>
      <xdr:colOff>546100</xdr:colOff>
      <xdr:row>0</xdr:row>
      <xdr:rowOff>228600</xdr:rowOff>
    </xdr:from>
    <xdr:to>
      <xdr:col>11</xdr:col>
      <xdr:colOff>7962</xdr:colOff>
      <xdr:row>5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正方形/長方形 2">
              <a:extLst>
                <a:ext uri="{FF2B5EF4-FFF2-40B4-BE49-F238E27FC236}">
                  <a16:creationId xmlns:a16="http://schemas.microsoft.com/office/drawing/2014/main" id="{519EF4B2-1101-4246-8436-F3DAC83894E6}"/>
                </a:ext>
              </a:extLst>
            </xdr:cNvPr>
            <xdr:cNvSpPr/>
          </xdr:nvSpPr>
          <xdr:spPr>
            <a:xfrm>
              <a:off x="6261100" y="228600"/>
              <a:ext cx="4224362" cy="1219200"/>
            </a:xfrm>
            <a:prstGeom prst="rect">
              <a:avLst/>
            </a:prstGeom>
            <a:solidFill>
              <a:srgbClr val="00B0F0"/>
            </a:solidFill>
          </xdr:spPr>
          <xdr:txBody>
            <a:bodyPr wrap="square"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ja-JP" sz="2000" b="0" i="1">
                        <a:latin typeface="Cambria Math" panose="02040503050406030204" pitchFamily="18" charset="0"/>
                      </a:rPr>
                      <m:t>𝑅𝑀</m:t>
                    </m:r>
                    <m:r>
                      <a:rPr lang="en-US" altLang="ja-JP" sz="2000" i="1">
                        <a:latin typeface="Cambria Math" panose="02040503050406030204" pitchFamily="18" charset="0"/>
                      </a:rPr>
                      <m:t>𝑆𝐸</m:t>
                    </m:r>
                    <m:r>
                      <a:rPr lang="en-US" altLang="ja-JP" sz="20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ja-JP" sz="20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ja-JP" sz="20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altLang="ja-JP" sz="20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altLang="ja-JP" sz="20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altLang="ja-JP" sz="20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altLang="ja-JP" sz="20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altLang="ja-JP" sz="2000" i="1">
                                            <a:latin typeface="Cambria Math" panose="02040503050406030204" pitchFamily="18" charset="0"/>
                                          </a:rPr>
                                          <m:t>𝑦</m:t>
                                        </m:r>
                                      </m:e>
                                      <m:sub>
                                        <m:r>
                                          <a:rPr lang="en-US" altLang="ja-JP" sz="20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altLang="ja-JP" sz="2000" b="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acc>
                                      <m:accPr>
                                        <m:chr m:val="̂"/>
                                        <m:ctrlPr>
                                          <a:rPr lang="ja-JP" altLang="en-US" sz="20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sSub>
                                          <m:sSubPr>
                                            <m:ctrlPr>
                                              <a:rPr lang="en-US" altLang="ja-JP" sz="20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US" altLang="ja-JP" sz="2000" i="1">
                                                <a:latin typeface="Cambria Math" panose="02040503050406030204" pitchFamily="18" charset="0"/>
                                              </a:rPr>
                                              <m:t>𝑦</m:t>
                                            </m:r>
                                          </m:e>
                                          <m:sub>
                                            <m:r>
                                              <a:rPr lang="en-US" altLang="ja-JP" sz="2000" i="1">
                                                <a:latin typeface="Cambria Math" panose="02040503050406030204" pitchFamily="18" charset="0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e>
                                    </m:acc>
                                  </m:e>
                                </m:d>
                              </m:e>
                              <m:sup>
                                <m:r>
                                  <a:rPr lang="en-US" altLang="ja-JP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ja-JP" altLang="en-US" sz="2000"/>
            </a:p>
          </xdr:txBody>
        </xdr:sp>
      </mc:Choice>
      <mc:Fallback xmlns="">
        <xdr:sp macro="" textlink="">
          <xdr:nvSpPr>
            <xdr:cNvPr id="3" name="正方形/長方形 2">
              <a:extLst>
                <a:ext uri="{FF2B5EF4-FFF2-40B4-BE49-F238E27FC236}">
                  <a16:creationId xmlns:a16="http://schemas.microsoft.com/office/drawing/2014/main" id="{519EF4B2-1101-4246-8436-F3DAC83894E6}"/>
                </a:ext>
              </a:extLst>
            </xdr:cNvPr>
            <xdr:cNvSpPr/>
          </xdr:nvSpPr>
          <xdr:spPr>
            <a:xfrm>
              <a:off x="6261100" y="228600"/>
              <a:ext cx="4224362" cy="1219200"/>
            </a:xfrm>
            <a:prstGeom prst="rect">
              <a:avLst/>
            </a:prstGeom>
            <a:solidFill>
              <a:srgbClr val="00B0F0"/>
            </a:solidFill>
          </xdr:spPr>
          <xdr:txBody>
            <a:bodyPr wrap="square"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ja-JP" sz="2000" b="0" i="0">
                  <a:latin typeface="Cambria Math" panose="02040503050406030204" pitchFamily="18" charset="0"/>
                </a:rPr>
                <a:t>𝑅𝑀</a:t>
              </a:r>
              <a:r>
                <a:rPr lang="en-US" altLang="ja-JP" sz="2000" i="0">
                  <a:latin typeface="Cambria Math" panose="02040503050406030204" pitchFamily="18" charset="0"/>
                </a:rPr>
                <a:t>𝑆𝐸=√(</a:t>
              </a:r>
              <a:r>
                <a:rPr lang="en-US" altLang="ja-JP" sz="2000" b="0" i="0">
                  <a:latin typeface="Cambria Math" panose="02040503050406030204" pitchFamily="18" charset="0"/>
                </a:rPr>
                <a:t>1/𝑛 ∑_(𝑖=1)^𝑛▒(</a:t>
              </a:r>
              <a:r>
                <a:rPr lang="en-US" altLang="ja-JP" sz="2000" i="0">
                  <a:latin typeface="Cambria Math" panose="02040503050406030204" pitchFamily="18" charset="0"/>
                </a:rPr>
                <a:t>𝑦_𝑖</a:t>
              </a:r>
              <a:r>
                <a:rPr lang="en-US" altLang="ja-JP" sz="2000" b="0" i="0">
                  <a:latin typeface="Cambria Math" panose="02040503050406030204" pitchFamily="18" charset="0"/>
                </a:rPr>
                <a:t>−</a:t>
              </a:r>
              <a:r>
                <a:rPr lang="ja-JP" altLang="en-US" sz="2000" b="0" i="0">
                  <a:latin typeface="Cambria Math" panose="02040503050406030204" pitchFamily="18" charset="0"/>
                </a:rPr>
                <a:t>(</a:t>
              </a:r>
              <a:r>
                <a:rPr lang="en-US" altLang="ja-JP" sz="2000" i="0">
                  <a:latin typeface="Cambria Math" panose="02040503050406030204" pitchFamily="18" charset="0"/>
                </a:rPr>
                <a:t>𝑦_𝑖 </a:t>
              </a:r>
              <a:r>
                <a:rPr lang="ja-JP" altLang="en-US" sz="2000" i="0">
                  <a:latin typeface="Cambria Math" panose="02040503050406030204" pitchFamily="18" charset="0"/>
                </a:rPr>
                <a:t>) ̂</a:t>
              </a:r>
              <a:r>
                <a:rPr lang="en-US" altLang="ja-JP" sz="2000" i="0">
                  <a:latin typeface="Cambria Math" panose="02040503050406030204" pitchFamily="18" charset="0"/>
                </a:rPr>
                <a:t> )^</a:t>
              </a:r>
              <a:r>
                <a:rPr lang="en-US" altLang="ja-JP" sz="2000" b="0" i="0">
                  <a:latin typeface="Cambria Math" panose="02040503050406030204" pitchFamily="18" charset="0"/>
                </a:rPr>
                <a:t>2 )</a:t>
              </a:r>
              <a:endParaRPr lang="ja-JP" altLang="en-US" sz="20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673100</xdr:colOff>
      <xdr:row>4</xdr:row>
      <xdr:rowOff>57150</xdr:rowOff>
    </xdr:from>
    <xdr:to>
      <xdr:col>38</xdr:col>
      <xdr:colOff>389466</xdr:colOff>
      <xdr:row>30</xdr:row>
      <xdr:rowOff>16934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83BF30B-3517-934E-9CE7-F8B0E36FD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1</xdr:row>
      <xdr:rowOff>25400</xdr:rowOff>
    </xdr:from>
    <xdr:to>
      <xdr:col>6</xdr:col>
      <xdr:colOff>0</xdr:colOff>
      <xdr:row>5</xdr:row>
      <xdr:rowOff>101600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3D0B9712-C5AD-6242-9F23-3FC3C3158459}"/>
            </a:ext>
          </a:extLst>
        </xdr:cNvPr>
        <xdr:cNvSpPr/>
      </xdr:nvSpPr>
      <xdr:spPr>
        <a:xfrm>
          <a:off x="1104900" y="279400"/>
          <a:ext cx="4610100" cy="1092200"/>
        </a:xfrm>
        <a:prstGeom prst="rect">
          <a:avLst/>
        </a:prstGeom>
        <a:solidFill>
          <a:schemeClr val="accent4"/>
        </a:solidFill>
        <a:ln w="349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600">
              <a:solidFill>
                <a:schemeClr val="tx1"/>
              </a:solidFill>
            </a:rPr>
            <a:t>RMAE</a:t>
          </a:r>
          <a:r>
            <a:rPr kumimoji="1" lang="ja-JP" altLang="en-US" sz="1600">
              <a:solidFill>
                <a:schemeClr val="tx1"/>
              </a:solidFill>
            </a:rPr>
            <a:t>の値を計算してください</a:t>
          </a:r>
          <a:endParaRPr kumimoji="1" lang="en-US" altLang="ja-JP" sz="1600">
            <a:solidFill>
              <a:schemeClr val="tx1"/>
            </a:solidFill>
          </a:endParaRPr>
        </a:p>
        <a:p>
          <a:pPr algn="l"/>
          <a:r>
            <a:rPr kumimoji="1" lang="ja-JP" altLang="en-US" sz="1600">
              <a:solidFill>
                <a:schemeClr val="tx1"/>
              </a:solidFill>
            </a:rPr>
            <a:t>（</a:t>
          </a:r>
          <a:r>
            <a:rPr kumimoji="1" lang="en-US" altLang="ja-JP" sz="1600">
              <a:solidFill>
                <a:schemeClr val="tx1"/>
              </a:solidFill>
            </a:rPr>
            <a:t>y</a:t>
          </a:r>
          <a:r>
            <a:rPr kumimoji="1" lang="ja-JP" altLang="en-US" sz="1600">
              <a:solidFill>
                <a:schemeClr val="tx1"/>
              </a:solidFill>
            </a:rPr>
            <a:t>：計測値）</a:t>
          </a:r>
          <a:endParaRPr kumimoji="1" lang="en-US" altLang="ja-JP" sz="1600">
            <a:solidFill>
              <a:schemeClr val="tx1"/>
            </a:solidFill>
          </a:endParaRPr>
        </a:p>
        <a:p>
          <a:pPr algn="l"/>
          <a:endParaRPr kumimoji="1" lang="ja-JP" altLang="en-US" sz="1600"/>
        </a:p>
      </xdr:txBody>
    </xdr:sp>
    <xdr:clientData/>
  </xdr:twoCellAnchor>
  <xdr:twoCellAnchor>
    <xdr:from>
      <xdr:col>6</xdr:col>
      <xdr:colOff>546100</xdr:colOff>
      <xdr:row>0</xdr:row>
      <xdr:rowOff>228600</xdr:rowOff>
    </xdr:from>
    <xdr:to>
      <xdr:col>11</xdr:col>
      <xdr:colOff>7962</xdr:colOff>
      <xdr:row>5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正方形/長方形 2">
              <a:extLst>
                <a:ext uri="{FF2B5EF4-FFF2-40B4-BE49-F238E27FC236}">
                  <a16:creationId xmlns:a16="http://schemas.microsoft.com/office/drawing/2014/main" id="{E814EAF7-AD0D-D940-88A5-0D664BCD61CE}"/>
                </a:ext>
              </a:extLst>
            </xdr:cNvPr>
            <xdr:cNvSpPr/>
          </xdr:nvSpPr>
          <xdr:spPr>
            <a:xfrm>
              <a:off x="6261100" y="228600"/>
              <a:ext cx="4224362" cy="1219200"/>
            </a:xfrm>
            <a:prstGeom prst="rect">
              <a:avLst/>
            </a:prstGeom>
            <a:solidFill>
              <a:srgbClr val="00B0F0"/>
            </a:solidFill>
          </xdr:spPr>
          <xdr:txBody>
            <a:bodyPr wrap="square"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ja-JP" sz="2000" b="0" i="1">
                        <a:latin typeface="Cambria Math" panose="02040503050406030204" pitchFamily="18" charset="0"/>
                      </a:rPr>
                      <m:t>𝑅𝑀</m:t>
                    </m:r>
                    <m:r>
                      <a:rPr lang="en-US" altLang="ja-JP" sz="2000" i="1">
                        <a:latin typeface="Cambria Math" panose="02040503050406030204" pitchFamily="18" charset="0"/>
                      </a:rPr>
                      <m:t>𝑆𝐸</m:t>
                    </m:r>
                    <m:r>
                      <a:rPr lang="en-US" altLang="ja-JP" sz="20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ja-JP" sz="20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ja-JP" sz="20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altLang="ja-JP" sz="20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ja-JP" sz="20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altLang="ja-JP" sz="20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altLang="ja-JP" sz="20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altLang="ja-JP" sz="20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altLang="ja-JP" sz="2000" i="1">
                                            <a:latin typeface="Cambria Math" panose="02040503050406030204" pitchFamily="18" charset="0"/>
                                          </a:rPr>
                                          <m:t>𝑦</m:t>
                                        </m:r>
                                      </m:e>
                                      <m:sub>
                                        <m:r>
                                          <a:rPr lang="en-US" altLang="ja-JP" sz="20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altLang="ja-JP" sz="2000" b="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acc>
                                      <m:accPr>
                                        <m:chr m:val="̂"/>
                                        <m:ctrlPr>
                                          <a:rPr lang="ja-JP" altLang="en-US" sz="20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sSub>
                                          <m:sSubPr>
                                            <m:ctrlPr>
                                              <a:rPr lang="en-US" altLang="ja-JP" sz="20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US" altLang="ja-JP" sz="2000" i="1">
                                                <a:latin typeface="Cambria Math" panose="02040503050406030204" pitchFamily="18" charset="0"/>
                                              </a:rPr>
                                              <m:t>𝑦</m:t>
                                            </m:r>
                                          </m:e>
                                          <m:sub>
                                            <m:r>
                                              <a:rPr lang="en-US" altLang="ja-JP" sz="2000" i="1">
                                                <a:latin typeface="Cambria Math" panose="02040503050406030204" pitchFamily="18" charset="0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e>
                                    </m:acc>
                                  </m:e>
                                </m:d>
                              </m:e>
                              <m:sup>
                                <m:r>
                                  <a:rPr lang="en-US" altLang="ja-JP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ja-JP" altLang="en-US" sz="2000"/>
            </a:p>
          </xdr:txBody>
        </xdr:sp>
      </mc:Choice>
      <mc:Fallback xmlns="">
        <xdr:sp macro="" textlink="">
          <xdr:nvSpPr>
            <xdr:cNvPr id="3" name="正方形/長方形 2">
              <a:extLst>
                <a:ext uri="{FF2B5EF4-FFF2-40B4-BE49-F238E27FC236}">
                  <a16:creationId xmlns:a16="http://schemas.microsoft.com/office/drawing/2014/main" id="{E814EAF7-AD0D-D940-88A5-0D664BCD61CE}"/>
                </a:ext>
              </a:extLst>
            </xdr:cNvPr>
            <xdr:cNvSpPr/>
          </xdr:nvSpPr>
          <xdr:spPr>
            <a:xfrm>
              <a:off x="6261100" y="228600"/>
              <a:ext cx="4224362" cy="1219200"/>
            </a:xfrm>
            <a:prstGeom prst="rect">
              <a:avLst/>
            </a:prstGeom>
            <a:solidFill>
              <a:srgbClr val="00B0F0"/>
            </a:solidFill>
          </xdr:spPr>
          <xdr:txBody>
            <a:bodyPr wrap="square"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ja-JP" sz="2000" b="0" i="0">
                  <a:latin typeface="Cambria Math" panose="02040503050406030204" pitchFamily="18" charset="0"/>
                </a:rPr>
                <a:t>𝑅𝑀</a:t>
              </a:r>
              <a:r>
                <a:rPr lang="en-US" altLang="ja-JP" sz="2000" i="0">
                  <a:latin typeface="Cambria Math" panose="02040503050406030204" pitchFamily="18" charset="0"/>
                </a:rPr>
                <a:t>𝑆𝐸=√(</a:t>
              </a:r>
              <a:r>
                <a:rPr lang="en-US" altLang="ja-JP" sz="2000" b="0" i="0">
                  <a:latin typeface="Cambria Math" panose="02040503050406030204" pitchFamily="18" charset="0"/>
                </a:rPr>
                <a:t>1/𝑛 ∑_(𝑖=1)^𝑛▒(</a:t>
              </a:r>
              <a:r>
                <a:rPr lang="en-US" altLang="ja-JP" sz="2000" i="0">
                  <a:latin typeface="Cambria Math" panose="02040503050406030204" pitchFamily="18" charset="0"/>
                </a:rPr>
                <a:t>𝑦_𝑖</a:t>
              </a:r>
              <a:r>
                <a:rPr lang="en-US" altLang="ja-JP" sz="2000" b="0" i="0">
                  <a:latin typeface="Cambria Math" panose="02040503050406030204" pitchFamily="18" charset="0"/>
                </a:rPr>
                <a:t>−</a:t>
              </a:r>
              <a:r>
                <a:rPr lang="ja-JP" altLang="en-US" sz="2000" b="0" i="0">
                  <a:latin typeface="Cambria Math" panose="02040503050406030204" pitchFamily="18" charset="0"/>
                </a:rPr>
                <a:t>(</a:t>
              </a:r>
              <a:r>
                <a:rPr lang="en-US" altLang="ja-JP" sz="2000" i="0">
                  <a:latin typeface="Cambria Math" panose="02040503050406030204" pitchFamily="18" charset="0"/>
                </a:rPr>
                <a:t>𝑦_𝑖 </a:t>
              </a:r>
              <a:r>
                <a:rPr lang="ja-JP" altLang="en-US" sz="2000" i="0">
                  <a:latin typeface="Cambria Math" panose="02040503050406030204" pitchFamily="18" charset="0"/>
                </a:rPr>
                <a:t>) ̂</a:t>
              </a:r>
              <a:r>
                <a:rPr lang="en-US" altLang="ja-JP" sz="2000" i="0">
                  <a:latin typeface="Cambria Math" panose="02040503050406030204" pitchFamily="18" charset="0"/>
                </a:rPr>
                <a:t> )^</a:t>
              </a:r>
              <a:r>
                <a:rPr lang="en-US" altLang="ja-JP" sz="2000" b="0" i="0">
                  <a:latin typeface="Cambria Math" panose="02040503050406030204" pitchFamily="18" charset="0"/>
                </a:rPr>
                <a:t>2 )</a:t>
              </a:r>
              <a:endParaRPr lang="ja-JP" altLang="en-US" sz="2000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145E-88D9-7F4C-8B47-B744B53A1957}">
  <dimension ref="A1:H34"/>
  <sheetViews>
    <sheetView tabSelected="1" zoomScaleNormal="100" workbookViewId="0"/>
  </sheetViews>
  <sheetFormatPr baseColWidth="10" defaultColWidth="12.7109375" defaultRowHeight="18"/>
  <cols>
    <col min="1" max="1" width="5.7109375" style="84" customWidth="1"/>
    <col min="2" max="8" width="12.7109375" style="83" customWidth="1"/>
    <col min="9" max="16384" width="12.7109375" style="83"/>
  </cols>
  <sheetData>
    <row r="1" spans="1:8">
      <c r="A1" s="83"/>
    </row>
    <row r="2" spans="1:8">
      <c r="A2" s="83"/>
    </row>
    <row r="3" spans="1:8">
      <c r="A3" s="83"/>
    </row>
    <row r="4" spans="1:8">
      <c r="A4" s="83"/>
    </row>
    <row r="5" spans="1:8">
      <c r="A5" s="83"/>
    </row>
    <row r="6" spans="1:8">
      <c r="A6" s="83"/>
    </row>
    <row r="7" spans="1:8">
      <c r="B7" s="94" t="s">
        <v>70</v>
      </c>
      <c r="C7" s="92" t="s">
        <v>69</v>
      </c>
      <c r="D7" s="93" t="s">
        <v>68</v>
      </c>
      <c r="E7" s="92" t="s">
        <v>67</v>
      </c>
      <c r="F7" s="93" t="s">
        <v>66</v>
      </c>
      <c r="G7" s="92" t="s">
        <v>65</v>
      </c>
      <c r="H7" s="91" t="s">
        <v>64</v>
      </c>
    </row>
    <row r="8" spans="1:8">
      <c r="B8" s="89">
        <v>1</v>
      </c>
      <c r="C8" s="89">
        <v>231</v>
      </c>
      <c r="D8" s="90">
        <v>3</v>
      </c>
      <c r="E8" s="89">
        <v>294</v>
      </c>
      <c r="F8" s="90">
        <v>8.1999999999999993</v>
      </c>
      <c r="G8" s="89">
        <v>8.1999999999999993</v>
      </c>
      <c r="H8" s="88">
        <v>11</v>
      </c>
    </row>
    <row r="9" spans="1:8">
      <c r="B9" s="89">
        <v>2</v>
      </c>
      <c r="C9" s="89">
        <v>156</v>
      </c>
      <c r="D9" s="90">
        <v>2.2000000000000002</v>
      </c>
      <c r="E9" s="89">
        <v>232</v>
      </c>
      <c r="F9" s="90">
        <v>6.9</v>
      </c>
      <c r="G9" s="89">
        <v>4.0999999999999996</v>
      </c>
      <c r="H9" s="88">
        <v>12</v>
      </c>
    </row>
    <row r="10" spans="1:8">
      <c r="B10" s="89">
        <v>3</v>
      </c>
      <c r="C10" s="89">
        <v>10</v>
      </c>
      <c r="D10" s="90">
        <v>0.5</v>
      </c>
      <c r="E10" s="89">
        <v>149</v>
      </c>
      <c r="F10" s="90">
        <v>3</v>
      </c>
      <c r="G10" s="89">
        <v>4.3</v>
      </c>
      <c r="H10" s="88">
        <v>15</v>
      </c>
    </row>
    <row r="11" spans="1:8">
      <c r="B11" s="89">
        <v>4</v>
      </c>
      <c r="C11" s="89">
        <v>519</v>
      </c>
      <c r="D11" s="90">
        <v>5.5</v>
      </c>
      <c r="E11" s="89">
        <v>260</v>
      </c>
      <c r="F11" s="90">
        <v>12</v>
      </c>
      <c r="G11" s="89">
        <v>16.100000000000001</v>
      </c>
      <c r="H11" s="88">
        <v>1</v>
      </c>
    </row>
    <row r="12" spans="1:8">
      <c r="B12" s="89">
        <v>5</v>
      </c>
      <c r="C12" s="89">
        <v>437</v>
      </c>
      <c r="D12" s="90">
        <v>4.4000000000000004</v>
      </c>
      <c r="E12" s="89">
        <v>567</v>
      </c>
      <c r="F12" s="90">
        <v>10.6</v>
      </c>
      <c r="G12" s="89">
        <v>14.1</v>
      </c>
      <c r="H12" s="88">
        <v>5</v>
      </c>
    </row>
    <row r="13" spans="1:8">
      <c r="B13" s="89">
        <v>6</v>
      </c>
      <c r="C13" s="89">
        <v>487</v>
      </c>
      <c r="D13" s="90">
        <v>4.8</v>
      </c>
      <c r="E13" s="89">
        <v>237</v>
      </c>
      <c r="F13" s="90">
        <v>11.8</v>
      </c>
      <c r="G13" s="89">
        <v>12.7</v>
      </c>
      <c r="H13" s="88">
        <v>4</v>
      </c>
    </row>
    <row r="14" spans="1:8">
      <c r="B14" s="89">
        <v>7</v>
      </c>
      <c r="C14" s="89">
        <v>299</v>
      </c>
      <c r="D14" s="90">
        <v>3.1</v>
      </c>
      <c r="E14" s="89">
        <v>451</v>
      </c>
      <c r="F14" s="90">
        <v>8.1</v>
      </c>
      <c r="G14" s="89">
        <v>10.1</v>
      </c>
      <c r="H14" s="88">
        <v>10</v>
      </c>
    </row>
    <row r="15" spans="1:8">
      <c r="B15" s="89">
        <v>8</v>
      </c>
      <c r="C15" s="89">
        <v>195</v>
      </c>
      <c r="D15" s="90">
        <v>2.5</v>
      </c>
      <c r="E15" s="89">
        <v>433</v>
      </c>
      <c r="F15" s="90">
        <v>7.7</v>
      </c>
      <c r="G15" s="89">
        <v>8.4</v>
      </c>
      <c r="H15" s="88">
        <v>12</v>
      </c>
    </row>
    <row r="16" spans="1:8">
      <c r="B16" s="89">
        <v>9</v>
      </c>
      <c r="C16" s="89">
        <v>20</v>
      </c>
      <c r="D16" s="90">
        <v>1.2</v>
      </c>
      <c r="E16" s="89">
        <v>212</v>
      </c>
      <c r="F16" s="90">
        <v>3.3</v>
      </c>
      <c r="G16" s="89">
        <v>2.1</v>
      </c>
      <c r="H16" s="88">
        <v>15</v>
      </c>
    </row>
    <row r="17" spans="2:8">
      <c r="B17" s="89">
        <v>10</v>
      </c>
      <c r="C17" s="89">
        <v>68</v>
      </c>
      <c r="D17" s="90">
        <v>0.6</v>
      </c>
      <c r="E17" s="89">
        <v>502</v>
      </c>
      <c r="F17" s="90">
        <v>4.9000000000000004</v>
      </c>
      <c r="G17" s="89">
        <v>4.7</v>
      </c>
      <c r="H17" s="88">
        <v>8</v>
      </c>
    </row>
    <row r="18" spans="2:8">
      <c r="B18" s="89">
        <v>11</v>
      </c>
      <c r="C18" s="89">
        <v>570</v>
      </c>
      <c r="D18" s="90">
        <v>5.4</v>
      </c>
      <c r="E18" s="89">
        <v>378</v>
      </c>
      <c r="F18" s="90">
        <v>17.399999999999999</v>
      </c>
      <c r="G18" s="89">
        <v>12.3</v>
      </c>
      <c r="H18" s="88">
        <v>1</v>
      </c>
    </row>
    <row r="19" spans="2:8">
      <c r="B19" s="89">
        <v>12</v>
      </c>
      <c r="C19" s="89">
        <v>428</v>
      </c>
      <c r="D19" s="90">
        <v>4.2</v>
      </c>
      <c r="E19" s="89">
        <v>577</v>
      </c>
      <c r="F19" s="90">
        <v>10.5</v>
      </c>
      <c r="G19" s="89">
        <v>14</v>
      </c>
      <c r="H19" s="88">
        <v>7</v>
      </c>
    </row>
    <row r="20" spans="2:8">
      <c r="B20" s="89">
        <v>13</v>
      </c>
      <c r="C20" s="89">
        <v>464</v>
      </c>
      <c r="D20" s="90">
        <v>4.7</v>
      </c>
      <c r="E20" s="89">
        <v>653</v>
      </c>
      <c r="F20" s="90">
        <v>11.3</v>
      </c>
      <c r="G20" s="89">
        <v>15</v>
      </c>
      <c r="H20" s="88">
        <v>3</v>
      </c>
    </row>
    <row r="21" spans="2:8">
      <c r="B21" s="89">
        <v>14</v>
      </c>
      <c r="C21" s="89">
        <v>15</v>
      </c>
      <c r="D21" s="90">
        <v>0.6</v>
      </c>
      <c r="E21" s="89">
        <v>126</v>
      </c>
      <c r="F21" s="90">
        <v>2.5</v>
      </c>
      <c r="G21" s="89">
        <v>2.5</v>
      </c>
      <c r="H21" s="88">
        <v>14</v>
      </c>
    </row>
    <row r="22" spans="2:8">
      <c r="B22" s="89">
        <v>15</v>
      </c>
      <c r="C22" s="89">
        <v>65</v>
      </c>
      <c r="D22" s="90">
        <v>1.2</v>
      </c>
      <c r="E22" s="89">
        <v>168</v>
      </c>
      <c r="F22" s="90">
        <v>4.7</v>
      </c>
      <c r="G22" s="89">
        <v>3.3</v>
      </c>
      <c r="H22" s="88">
        <v>11</v>
      </c>
    </row>
    <row r="23" spans="2:8">
      <c r="B23" s="89">
        <v>16</v>
      </c>
      <c r="C23" s="89">
        <v>98</v>
      </c>
      <c r="D23" s="90">
        <v>1.6</v>
      </c>
      <c r="E23" s="89">
        <v>651</v>
      </c>
      <c r="F23" s="90">
        <v>4.5999999999999996</v>
      </c>
      <c r="G23" s="89">
        <v>2.7</v>
      </c>
      <c r="H23" s="88">
        <v>10</v>
      </c>
    </row>
    <row r="24" spans="2:8">
      <c r="B24" s="89">
        <v>17</v>
      </c>
      <c r="C24" s="89">
        <v>398</v>
      </c>
      <c r="D24" s="90">
        <v>4.3</v>
      </c>
      <c r="E24" s="89">
        <v>342</v>
      </c>
      <c r="F24" s="90">
        <v>5.5</v>
      </c>
      <c r="G24" s="89">
        <v>16</v>
      </c>
      <c r="H24" s="88">
        <v>4</v>
      </c>
    </row>
    <row r="25" spans="2:8">
      <c r="B25" s="89">
        <v>18</v>
      </c>
      <c r="C25" s="89">
        <v>161</v>
      </c>
      <c r="D25" s="90">
        <v>2.6</v>
      </c>
      <c r="E25" s="89">
        <v>196</v>
      </c>
      <c r="F25" s="90">
        <v>7.2</v>
      </c>
      <c r="G25" s="89">
        <v>6.3</v>
      </c>
      <c r="H25" s="88">
        <v>13</v>
      </c>
    </row>
    <row r="26" spans="2:8">
      <c r="B26" s="89">
        <v>19</v>
      </c>
      <c r="C26" s="89">
        <v>397</v>
      </c>
      <c r="D26" s="90">
        <v>3.8</v>
      </c>
      <c r="E26" s="89">
        <v>353</v>
      </c>
      <c r="F26" s="90">
        <v>10.4</v>
      </c>
      <c r="G26" s="89">
        <v>13.9</v>
      </c>
      <c r="H26" s="88">
        <v>7</v>
      </c>
    </row>
    <row r="27" spans="2:8">
      <c r="B27" s="89">
        <v>20</v>
      </c>
      <c r="C27" s="89">
        <v>497</v>
      </c>
      <c r="D27" s="90">
        <v>5.3</v>
      </c>
      <c r="E27" s="89">
        <v>651</v>
      </c>
      <c r="F27" s="90">
        <v>11.5</v>
      </c>
      <c r="G27" s="89">
        <v>16.3</v>
      </c>
      <c r="H27" s="88">
        <v>1</v>
      </c>
    </row>
    <row r="28" spans="2:8">
      <c r="B28" s="89">
        <v>21</v>
      </c>
      <c r="C28" s="89">
        <v>528</v>
      </c>
      <c r="D28" s="90">
        <v>5.6</v>
      </c>
      <c r="E28" s="89">
        <v>461</v>
      </c>
      <c r="F28" s="90">
        <v>12.3</v>
      </c>
      <c r="G28" s="89">
        <v>16</v>
      </c>
      <c r="H28" s="88">
        <v>0</v>
      </c>
    </row>
    <row r="29" spans="2:8">
      <c r="B29" s="89">
        <v>22</v>
      </c>
      <c r="C29" s="89">
        <v>99</v>
      </c>
      <c r="D29" s="90">
        <v>0.8</v>
      </c>
      <c r="E29" s="89">
        <v>278</v>
      </c>
      <c r="F29" s="90">
        <v>2.8</v>
      </c>
      <c r="G29" s="89">
        <v>6.5</v>
      </c>
      <c r="H29" s="88">
        <v>14</v>
      </c>
    </row>
    <row r="30" spans="2:8">
      <c r="B30" s="89">
        <v>23</v>
      </c>
      <c r="C30" s="89">
        <v>0.5</v>
      </c>
      <c r="D30" s="90">
        <v>1.1000000000000001</v>
      </c>
      <c r="E30" s="89">
        <v>214</v>
      </c>
      <c r="F30" s="90">
        <v>3.1</v>
      </c>
      <c r="G30" s="89">
        <v>1.6</v>
      </c>
      <c r="H30" s="88">
        <v>12</v>
      </c>
    </row>
    <row r="31" spans="2:8">
      <c r="B31" s="89">
        <v>24</v>
      </c>
      <c r="C31" s="89">
        <v>347</v>
      </c>
      <c r="D31" s="90">
        <v>3.6</v>
      </c>
      <c r="E31" s="89">
        <v>461</v>
      </c>
      <c r="F31" s="90">
        <v>9.6</v>
      </c>
      <c r="G31" s="89">
        <v>11.3</v>
      </c>
      <c r="H31" s="88">
        <v>6</v>
      </c>
    </row>
    <row r="32" spans="2:8">
      <c r="B32" s="89">
        <v>25</v>
      </c>
      <c r="C32" s="89">
        <v>341</v>
      </c>
      <c r="D32" s="90">
        <v>3.5</v>
      </c>
      <c r="E32" s="89">
        <v>138</v>
      </c>
      <c r="F32" s="90">
        <v>9.8000000000000007</v>
      </c>
      <c r="G32" s="89">
        <v>11.5</v>
      </c>
      <c r="H32" s="88">
        <v>5</v>
      </c>
    </row>
    <row r="33" spans="2:8">
      <c r="B33" s="89">
        <v>26</v>
      </c>
      <c r="C33" s="89">
        <v>507</v>
      </c>
      <c r="D33" s="90">
        <v>5.0999999999999996</v>
      </c>
      <c r="E33" s="89">
        <v>259</v>
      </c>
      <c r="F33" s="90">
        <v>12</v>
      </c>
      <c r="G33" s="89">
        <v>15.7</v>
      </c>
      <c r="H33" s="88">
        <v>0</v>
      </c>
    </row>
    <row r="34" spans="2:8">
      <c r="B34" s="86">
        <v>27</v>
      </c>
      <c r="C34" s="86">
        <v>400</v>
      </c>
      <c r="D34" s="87">
        <v>8.6</v>
      </c>
      <c r="E34" s="86">
        <v>335</v>
      </c>
      <c r="F34" s="87">
        <v>7</v>
      </c>
      <c r="G34" s="86">
        <v>12</v>
      </c>
      <c r="H34" s="85">
        <v>8</v>
      </c>
    </row>
  </sheetData>
  <phoneticPr fontId="2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A1D07-2534-4C48-BA96-9AD8824758D2}">
  <dimension ref="B1:H733"/>
  <sheetViews>
    <sheetView workbookViewId="0"/>
  </sheetViews>
  <sheetFormatPr baseColWidth="10" defaultRowHeight="20"/>
  <cols>
    <col min="2" max="8" width="10.7109375" style="1"/>
  </cols>
  <sheetData>
    <row r="1" spans="2:8" ht="21" thickBot="1"/>
    <row r="2" spans="2:8" ht="21" thickBot="1"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5" t="s">
        <v>6</v>
      </c>
    </row>
    <row r="3" spans="2:8">
      <c r="B3" s="6">
        <v>40360</v>
      </c>
      <c r="C3" s="7">
        <v>17</v>
      </c>
      <c r="D3" s="7">
        <v>0</v>
      </c>
      <c r="E3" s="7">
        <v>0</v>
      </c>
      <c r="F3" s="7">
        <v>-1</v>
      </c>
      <c r="G3" s="7">
        <v>-1</v>
      </c>
      <c r="H3" s="8">
        <v>0</v>
      </c>
    </row>
    <row r="4" spans="2:8">
      <c r="B4" s="6">
        <v>40361</v>
      </c>
      <c r="C4" s="7">
        <v>18</v>
      </c>
      <c r="D4" s="7">
        <v>0</v>
      </c>
      <c r="E4" s="7">
        <v>0</v>
      </c>
      <c r="F4" s="7">
        <v>-1</v>
      </c>
      <c r="G4" s="7">
        <v>-1</v>
      </c>
      <c r="H4" s="8">
        <v>0</v>
      </c>
    </row>
    <row r="5" spans="2:8">
      <c r="B5" s="6">
        <v>40362</v>
      </c>
      <c r="C5" s="7">
        <v>20</v>
      </c>
      <c r="D5" s="7">
        <v>0</v>
      </c>
      <c r="E5" s="7">
        <v>0</v>
      </c>
      <c r="F5" s="7">
        <v>-1</v>
      </c>
      <c r="G5" s="7">
        <v>-1</v>
      </c>
      <c r="H5" s="8">
        <v>0</v>
      </c>
    </row>
    <row r="6" spans="2:8">
      <c r="B6" s="6">
        <v>40363</v>
      </c>
      <c r="C6" s="7">
        <v>20</v>
      </c>
      <c r="D6" s="7">
        <v>0</v>
      </c>
      <c r="E6" s="7">
        <v>0</v>
      </c>
      <c r="F6" s="7">
        <v>-1</v>
      </c>
      <c r="G6" s="7">
        <v>-1</v>
      </c>
      <c r="H6" s="8">
        <v>0</v>
      </c>
    </row>
    <row r="7" spans="2:8">
      <c r="B7" s="6">
        <v>40364</v>
      </c>
      <c r="C7" s="7">
        <v>14</v>
      </c>
      <c r="D7" s="7">
        <v>0</v>
      </c>
      <c r="E7" s="7">
        <v>0</v>
      </c>
      <c r="F7" s="7">
        <v>-1</v>
      </c>
      <c r="G7" s="7">
        <v>-1</v>
      </c>
      <c r="H7" s="8">
        <v>0</v>
      </c>
    </row>
    <row r="8" spans="2:8">
      <c r="B8" s="6">
        <v>40365</v>
      </c>
      <c r="C8" s="7">
        <v>14</v>
      </c>
      <c r="D8" s="7">
        <v>0</v>
      </c>
      <c r="E8" s="7">
        <v>0</v>
      </c>
      <c r="F8" s="7">
        <v>-1</v>
      </c>
      <c r="G8" s="7">
        <v>-1</v>
      </c>
      <c r="H8" s="8">
        <v>0</v>
      </c>
    </row>
    <row r="9" spans="2:8">
      <c r="B9" s="6">
        <v>40366</v>
      </c>
      <c r="C9" s="7">
        <v>4</v>
      </c>
      <c r="D9" s="7">
        <v>0</v>
      </c>
      <c r="E9" s="7">
        <v>0</v>
      </c>
      <c r="F9" s="7">
        <v>-1</v>
      </c>
      <c r="G9" s="7">
        <v>-1</v>
      </c>
      <c r="H9" s="8">
        <v>0</v>
      </c>
    </row>
    <row r="10" spans="2:8">
      <c r="B10" s="6">
        <v>40367</v>
      </c>
      <c r="C10" s="7">
        <v>10</v>
      </c>
      <c r="D10" s="7">
        <v>0</v>
      </c>
      <c r="E10" s="7">
        <v>0</v>
      </c>
      <c r="F10" s="7">
        <v>-1</v>
      </c>
      <c r="G10" s="7">
        <v>-1</v>
      </c>
      <c r="H10" s="8">
        <v>0</v>
      </c>
    </row>
    <row r="11" spans="2:8">
      <c r="B11" s="6">
        <v>40368</v>
      </c>
      <c r="C11" s="7">
        <v>12</v>
      </c>
      <c r="D11" s="7">
        <v>0</v>
      </c>
      <c r="E11" s="7">
        <v>0</v>
      </c>
      <c r="F11" s="7">
        <v>-1</v>
      </c>
      <c r="G11" s="7">
        <v>-1</v>
      </c>
      <c r="H11" s="8">
        <v>0</v>
      </c>
    </row>
    <row r="12" spans="2:8">
      <c r="B12" s="6">
        <v>40369</v>
      </c>
      <c r="C12" s="7">
        <v>21</v>
      </c>
      <c r="D12" s="7">
        <v>0</v>
      </c>
      <c r="E12" s="7">
        <v>0</v>
      </c>
      <c r="F12" s="7">
        <v>-1</v>
      </c>
      <c r="G12" s="7">
        <v>-1</v>
      </c>
      <c r="H12" s="8">
        <v>0</v>
      </c>
    </row>
    <row r="13" spans="2:8">
      <c r="B13" s="6">
        <v>40370</v>
      </c>
      <c r="C13" s="7">
        <v>15</v>
      </c>
      <c r="D13" s="7">
        <v>0</v>
      </c>
      <c r="E13" s="7">
        <v>0</v>
      </c>
      <c r="F13" s="7">
        <v>-1</v>
      </c>
      <c r="G13" s="7">
        <v>-1</v>
      </c>
      <c r="H13" s="8">
        <v>0</v>
      </c>
    </row>
    <row r="14" spans="2:8">
      <c r="B14" s="6">
        <v>40371</v>
      </c>
      <c r="C14" s="7">
        <v>11</v>
      </c>
      <c r="D14" s="7">
        <v>0</v>
      </c>
      <c r="E14" s="7">
        <v>0</v>
      </c>
      <c r="F14" s="7">
        <v>-1</v>
      </c>
      <c r="G14" s="7">
        <v>-1</v>
      </c>
      <c r="H14" s="8">
        <v>0</v>
      </c>
    </row>
    <row r="15" spans="2:8">
      <c r="B15" s="6">
        <v>40372</v>
      </c>
      <c r="C15" s="7">
        <v>8</v>
      </c>
      <c r="D15" s="7">
        <v>0</v>
      </c>
      <c r="E15" s="7">
        <v>0</v>
      </c>
      <c r="F15" s="7">
        <v>-1</v>
      </c>
      <c r="G15" s="7">
        <v>-1</v>
      </c>
      <c r="H15" s="8">
        <v>0</v>
      </c>
    </row>
    <row r="16" spans="2:8">
      <c r="B16" s="6">
        <v>40373</v>
      </c>
      <c r="C16" s="7">
        <v>13</v>
      </c>
      <c r="D16" s="7">
        <v>0</v>
      </c>
      <c r="E16" s="7">
        <v>0</v>
      </c>
      <c r="F16" s="7">
        <v>-1</v>
      </c>
      <c r="G16" s="7">
        <v>-1</v>
      </c>
      <c r="H16" s="8">
        <v>0</v>
      </c>
    </row>
    <row r="17" spans="2:8">
      <c r="B17" s="6">
        <v>40374</v>
      </c>
      <c r="C17" s="7">
        <v>8</v>
      </c>
      <c r="D17" s="7">
        <v>0</v>
      </c>
      <c r="E17" s="7">
        <v>0</v>
      </c>
      <c r="F17" s="7">
        <v>-1</v>
      </c>
      <c r="G17" s="7">
        <v>-1</v>
      </c>
      <c r="H17" s="8">
        <v>0</v>
      </c>
    </row>
    <row r="18" spans="2:8">
      <c r="B18" s="6">
        <v>40375</v>
      </c>
      <c r="C18" s="7">
        <v>16</v>
      </c>
      <c r="D18" s="7">
        <v>0</v>
      </c>
      <c r="E18" s="7">
        <v>0</v>
      </c>
      <c r="F18" s="7">
        <v>-1</v>
      </c>
      <c r="G18" s="7">
        <v>-1</v>
      </c>
      <c r="H18" s="8">
        <v>0</v>
      </c>
    </row>
    <row r="19" spans="2:8">
      <c r="B19" s="6">
        <v>40376</v>
      </c>
      <c r="C19" s="7">
        <v>23</v>
      </c>
      <c r="D19" s="7">
        <v>0</v>
      </c>
      <c r="E19" s="7">
        <v>0</v>
      </c>
      <c r="F19" s="7">
        <v>-1</v>
      </c>
      <c r="G19" s="7">
        <v>-1</v>
      </c>
      <c r="H19" s="8">
        <v>0</v>
      </c>
    </row>
    <row r="20" spans="2:8">
      <c r="B20" s="6">
        <v>40377</v>
      </c>
      <c r="C20" s="7">
        <v>25</v>
      </c>
      <c r="D20" s="7">
        <v>0</v>
      </c>
      <c r="E20" s="7">
        <v>0</v>
      </c>
      <c r="F20" s="7">
        <v>-1</v>
      </c>
      <c r="G20" s="7">
        <v>-1</v>
      </c>
      <c r="H20" s="8">
        <v>0</v>
      </c>
    </row>
    <row r="21" spans="2:8">
      <c r="B21" s="6">
        <v>40378</v>
      </c>
      <c r="C21" s="7">
        <v>18</v>
      </c>
      <c r="D21" s="7">
        <v>0</v>
      </c>
      <c r="E21" s="7">
        <v>0</v>
      </c>
      <c r="F21" s="7">
        <v>-1</v>
      </c>
      <c r="G21" s="7">
        <v>-1</v>
      </c>
      <c r="H21" s="8">
        <v>0</v>
      </c>
    </row>
    <row r="22" spans="2:8">
      <c r="B22" s="6">
        <v>40379</v>
      </c>
      <c r="C22" s="7">
        <v>21</v>
      </c>
      <c r="D22" s="7">
        <v>0</v>
      </c>
      <c r="E22" s="7">
        <v>0</v>
      </c>
      <c r="F22" s="7">
        <v>-1</v>
      </c>
      <c r="G22" s="7">
        <v>-1</v>
      </c>
      <c r="H22" s="8">
        <v>0</v>
      </c>
    </row>
    <row r="23" spans="2:8">
      <c r="B23" s="6">
        <v>40380</v>
      </c>
      <c r="C23" s="7">
        <v>9</v>
      </c>
      <c r="D23" s="7">
        <v>0</v>
      </c>
      <c r="E23" s="7">
        <v>0</v>
      </c>
      <c r="F23" s="7">
        <v>-1</v>
      </c>
      <c r="G23" s="7">
        <v>-1</v>
      </c>
      <c r="H23" s="8">
        <v>0</v>
      </c>
    </row>
    <row r="24" spans="2:8">
      <c r="B24" s="6">
        <v>40381</v>
      </c>
      <c r="C24" s="7">
        <v>8</v>
      </c>
      <c r="D24" s="7">
        <v>0</v>
      </c>
      <c r="E24" s="7">
        <v>0</v>
      </c>
      <c r="F24" s="7">
        <v>-1</v>
      </c>
      <c r="G24" s="7">
        <v>-1</v>
      </c>
      <c r="H24" s="8">
        <v>0</v>
      </c>
    </row>
    <row r="25" spans="2:8">
      <c r="B25" s="6">
        <v>40382</v>
      </c>
      <c r="C25" s="7">
        <v>12</v>
      </c>
      <c r="D25" s="7">
        <v>0</v>
      </c>
      <c r="E25" s="7">
        <v>0</v>
      </c>
      <c r="F25" s="7">
        <v>-1</v>
      </c>
      <c r="G25" s="7">
        <v>-1</v>
      </c>
      <c r="H25" s="8">
        <v>0</v>
      </c>
    </row>
    <row r="26" spans="2:8">
      <c r="B26" s="6">
        <v>40383</v>
      </c>
      <c r="C26" s="7">
        <v>23</v>
      </c>
      <c r="D26" s="7">
        <v>0</v>
      </c>
      <c r="E26" s="7">
        <v>0</v>
      </c>
      <c r="F26" s="7">
        <v>-1</v>
      </c>
      <c r="G26" s="7">
        <v>-1</v>
      </c>
      <c r="H26" s="8">
        <v>0</v>
      </c>
    </row>
    <row r="27" spans="2:8">
      <c r="B27" s="6">
        <v>40384</v>
      </c>
      <c r="C27" s="7">
        <v>18</v>
      </c>
      <c r="D27" s="7">
        <v>0</v>
      </c>
      <c r="E27" s="7">
        <v>0</v>
      </c>
      <c r="F27" s="7">
        <v>-1</v>
      </c>
      <c r="G27" s="7">
        <v>-1</v>
      </c>
      <c r="H27" s="8">
        <v>0</v>
      </c>
    </row>
    <row r="28" spans="2:8">
      <c r="B28" s="6">
        <v>40385</v>
      </c>
      <c r="C28" s="7">
        <v>18</v>
      </c>
      <c r="D28" s="7">
        <v>0</v>
      </c>
      <c r="E28" s="7">
        <v>0</v>
      </c>
      <c r="F28" s="7">
        <v>-1</v>
      </c>
      <c r="G28" s="7">
        <v>-1</v>
      </c>
      <c r="H28" s="8">
        <v>0</v>
      </c>
    </row>
    <row r="29" spans="2:8">
      <c r="B29" s="6">
        <v>40386</v>
      </c>
      <c r="C29" s="7">
        <v>14</v>
      </c>
      <c r="D29" s="7">
        <v>0</v>
      </c>
      <c r="E29" s="7">
        <v>0</v>
      </c>
      <c r="F29" s="7">
        <v>-1</v>
      </c>
      <c r="G29" s="7">
        <v>-1</v>
      </c>
      <c r="H29" s="8">
        <v>0</v>
      </c>
    </row>
    <row r="30" spans="2:8">
      <c r="B30" s="6">
        <v>40387</v>
      </c>
      <c r="C30" s="7">
        <v>18</v>
      </c>
      <c r="D30" s="7">
        <v>0</v>
      </c>
      <c r="E30" s="7">
        <v>0</v>
      </c>
      <c r="F30" s="7">
        <v>-1</v>
      </c>
      <c r="G30" s="7">
        <v>-1</v>
      </c>
      <c r="H30" s="8">
        <v>0</v>
      </c>
    </row>
    <row r="31" spans="2:8">
      <c r="B31" s="6">
        <v>40388</v>
      </c>
      <c r="C31" s="7">
        <v>19</v>
      </c>
      <c r="D31" s="7">
        <v>0</v>
      </c>
      <c r="E31" s="7">
        <v>0</v>
      </c>
      <c r="F31" s="7">
        <v>-1</v>
      </c>
      <c r="G31" s="7">
        <v>-1</v>
      </c>
      <c r="H31" s="8">
        <v>0</v>
      </c>
    </row>
    <row r="32" spans="2:8">
      <c r="B32" s="6">
        <v>40389</v>
      </c>
      <c r="C32" s="7">
        <v>15</v>
      </c>
      <c r="D32" s="7">
        <v>0</v>
      </c>
      <c r="E32" s="7">
        <v>0</v>
      </c>
      <c r="F32" s="7">
        <v>-1</v>
      </c>
      <c r="G32" s="7">
        <v>-1</v>
      </c>
      <c r="H32" s="8">
        <v>0</v>
      </c>
    </row>
    <row r="33" spans="2:8">
      <c r="B33" s="6">
        <v>40390</v>
      </c>
      <c r="C33" s="7">
        <v>18</v>
      </c>
      <c r="D33" s="7">
        <v>0</v>
      </c>
      <c r="E33" s="7">
        <v>0</v>
      </c>
      <c r="F33" s="7">
        <v>-1</v>
      </c>
      <c r="G33" s="7">
        <v>-1</v>
      </c>
      <c r="H33" s="8">
        <v>0</v>
      </c>
    </row>
    <row r="34" spans="2:8">
      <c r="B34" s="6">
        <v>40391</v>
      </c>
      <c r="C34" s="7">
        <v>20</v>
      </c>
      <c r="D34" s="7">
        <v>0</v>
      </c>
      <c r="E34" s="7">
        <v>0</v>
      </c>
      <c r="F34" s="7">
        <v>-1</v>
      </c>
      <c r="G34" s="7">
        <v>-1</v>
      </c>
      <c r="H34" s="8">
        <v>0</v>
      </c>
    </row>
    <row r="35" spans="2:8">
      <c r="B35" s="6">
        <v>40392</v>
      </c>
      <c r="C35" s="7">
        <v>17</v>
      </c>
      <c r="D35" s="7">
        <v>0</v>
      </c>
      <c r="E35" s="7">
        <v>0</v>
      </c>
      <c r="F35" s="7">
        <v>-1</v>
      </c>
      <c r="G35" s="7">
        <v>-1</v>
      </c>
      <c r="H35" s="8">
        <v>0</v>
      </c>
    </row>
    <row r="36" spans="2:8">
      <c r="B36" s="6">
        <v>40393</v>
      </c>
      <c r="C36" s="7">
        <v>15</v>
      </c>
      <c r="D36" s="7">
        <v>0</v>
      </c>
      <c r="E36" s="7">
        <v>0</v>
      </c>
      <c r="F36" s="7">
        <v>-1</v>
      </c>
      <c r="G36" s="7">
        <v>-1</v>
      </c>
      <c r="H36" s="8">
        <v>0</v>
      </c>
    </row>
    <row r="37" spans="2:8">
      <c r="B37" s="6">
        <v>40394</v>
      </c>
      <c r="C37" s="7">
        <v>14</v>
      </c>
      <c r="D37" s="7">
        <v>0</v>
      </c>
      <c r="E37" s="7">
        <v>0</v>
      </c>
      <c r="F37" s="7">
        <v>-1</v>
      </c>
      <c r="G37" s="7">
        <v>-1</v>
      </c>
      <c r="H37" s="8">
        <v>0</v>
      </c>
    </row>
    <row r="38" spans="2:8">
      <c r="B38" s="6">
        <v>40395</v>
      </c>
      <c r="C38" s="7">
        <v>15</v>
      </c>
      <c r="D38" s="7">
        <v>0</v>
      </c>
      <c r="E38" s="7">
        <v>0</v>
      </c>
      <c r="F38" s="7">
        <v>-1</v>
      </c>
      <c r="G38" s="7">
        <v>-1</v>
      </c>
      <c r="H38" s="8">
        <v>0</v>
      </c>
    </row>
    <row r="39" spans="2:8">
      <c r="B39" s="6">
        <v>40396</v>
      </c>
      <c r="C39" s="7">
        <v>17</v>
      </c>
      <c r="D39" s="7">
        <v>0</v>
      </c>
      <c r="E39" s="7">
        <v>0</v>
      </c>
      <c r="F39" s="7">
        <v>-1</v>
      </c>
      <c r="G39" s="7">
        <v>-1</v>
      </c>
      <c r="H39" s="8">
        <v>0</v>
      </c>
    </row>
    <row r="40" spans="2:8">
      <c r="B40" s="6">
        <v>40397</v>
      </c>
      <c r="C40" s="7">
        <v>18</v>
      </c>
      <c r="D40" s="7">
        <v>0</v>
      </c>
      <c r="E40" s="7">
        <v>0</v>
      </c>
      <c r="F40" s="7">
        <v>-1</v>
      </c>
      <c r="G40" s="7">
        <v>-1</v>
      </c>
      <c r="H40" s="8">
        <v>0</v>
      </c>
    </row>
    <row r="41" spans="2:8">
      <c r="B41" s="6">
        <v>40398</v>
      </c>
      <c r="C41" s="7">
        <v>20</v>
      </c>
      <c r="D41" s="7">
        <v>0</v>
      </c>
      <c r="E41" s="7">
        <v>0</v>
      </c>
      <c r="F41" s="7">
        <v>-1</v>
      </c>
      <c r="G41" s="7">
        <v>-1</v>
      </c>
      <c r="H41" s="8">
        <v>0</v>
      </c>
    </row>
    <row r="42" spans="2:8">
      <c r="B42" s="6">
        <v>40399</v>
      </c>
      <c r="C42" s="7">
        <v>11</v>
      </c>
      <c r="D42" s="7">
        <v>0</v>
      </c>
      <c r="E42" s="7">
        <v>0</v>
      </c>
      <c r="F42" s="7">
        <v>-1</v>
      </c>
      <c r="G42" s="7">
        <v>-1</v>
      </c>
      <c r="H42" s="8">
        <v>0</v>
      </c>
    </row>
    <row r="43" spans="2:8">
      <c r="B43" s="6">
        <v>40400</v>
      </c>
      <c r="C43" s="7">
        <v>13</v>
      </c>
      <c r="D43" s="7">
        <v>0</v>
      </c>
      <c r="E43" s="7">
        <v>0</v>
      </c>
      <c r="F43" s="7">
        <v>-1</v>
      </c>
      <c r="G43" s="7">
        <v>-1</v>
      </c>
      <c r="H43" s="8">
        <v>0</v>
      </c>
    </row>
    <row r="44" spans="2:8">
      <c r="B44" s="6">
        <v>40401</v>
      </c>
      <c r="C44" s="7">
        <v>15</v>
      </c>
      <c r="D44" s="7">
        <v>0</v>
      </c>
      <c r="E44" s="7">
        <v>0</v>
      </c>
      <c r="F44" s="7">
        <v>-1</v>
      </c>
      <c r="G44" s="7">
        <v>-1</v>
      </c>
      <c r="H44" s="8">
        <v>0</v>
      </c>
    </row>
    <row r="45" spans="2:8">
      <c r="B45" s="6">
        <v>40402</v>
      </c>
      <c r="C45" s="7">
        <v>15</v>
      </c>
      <c r="D45" s="7">
        <v>0</v>
      </c>
      <c r="E45" s="7">
        <v>0</v>
      </c>
      <c r="F45" s="7">
        <v>-1</v>
      </c>
      <c r="G45" s="7">
        <v>-1</v>
      </c>
      <c r="H45" s="8">
        <v>0</v>
      </c>
    </row>
    <row r="46" spans="2:8">
      <c r="B46" s="6">
        <v>40403</v>
      </c>
      <c r="C46" s="7">
        <v>15</v>
      </c>
      <c r="D46" s="7">
        <v>0</v>
      </c>
      <c r="E46" s="7">
        <v>0</v>
      </c>
      <c r="F46" s="7">
        <v>-1</v>
      </c>
      <c r="G46" s="7">
        <v>-1</v>
      </c>
      <c r="H46" s="8">
        <v>0</v>
      </c>
    </row>
    <row r="47" spans="2:8">
      <c r="B47" s="6">
        <v>40404</v>
      </c>
      <c r="C47" s="7">
        <v>18</v>
      </c>
      <c r="D47" s="7">
        <v>0</v>
      </c>
      <c r="E47" s="7">
        <v>0</v>
      </c>
      <c r="F47" s="7">
        <v>-1</v>
      </c>
      <c r="G47" s="7">
        <v>-1</v>
      </c>
      <c r="H47" s="8">
        <v>0</v>
      </c>
    </row>
    <row r="48" spans="2:8">
      <c r="B48" s="6">
        <v>40405</v>
      </c>
      <c r="C48" s="7">
        <v>12</v>
      </c>
      <c r="D48" s="7">
        <v>0</v>
      </c>
      <c r="E48" s="7">
        <v>0</v>
      </c>
      <c r="F48" s="7">
        <v>-1</v>
      </c>
      <c r="G48" s="7">
        <v>-1</v>
      </c>
      <c r="H48" s="8">
        <v>0</v>
      </c>
    </row>
    <row r="49" spans="2:8">
      <c r="B49" s="6">
        <v>40406</v>
      </c>
      <c r="C49" s="7">
        <v>18</v>
      </c>
      <c r="D49" s="7">
        <v>0</v>
      </c>
      <c r="E49" s="7">
        <v>0</v>
      </c>
      <c r="F49" s="7">
        <v>-1</v>
      </c>
      <c r="G49" s="7">
        <v>-1</v>
      </c>
      <c r="H49" s="8">
        <v>0</v>
      </c>
    </row>
    <row r="50" spans="2:8">
      <c r="B50" s="6">
        <v>40407</v>
      </c>
      <c r="C50" s="7">
        <v>15</v>
      </c>
      <c r="D50" s="7">
        <v>0</v>
      </c>
      <c r="E50" s="7">
        <v>0</v>
      </c>
      <c r="F50" s="7">
        <v>-1</v>
      </c>
      <c r="G50" s="7">
        <v>-1</v>
      </c>
      <c r="H50" s="8">
        <v>0</v>
      </c>
    </row>
    <row r="51" spans="2:8">
      <c r="B51" s="6">
        <v>40408</v>
      </c>
      <c r="C51" s="7">
        <v>0</v>
      </c>
      <c r="D51" s="7">
        <v>0</v>
      </c>
      <c r="E51" s="7">
        <v>0</v>
      </c>
      <c r="F51" s="7">
        <v>-1</v>
      </c>
      <c r="G51" s="7">
        <v>-1</v>
      </c>
      <c r="H51" s="8">
        <v>0</v>
      </c>
    </row>
    <row r="52" spans="2:8">
      <c r="B52" s="6">
        <v>40409</v>
      </c>
      <c r="C52" s="7">
        <v>17</v>
      </c>
      <c r="D52" s="7">
        <v>0</v>
      </c>
      <c r="E52" s="7">
        <v>0</v>
      </c>
      <c r="F52" s="7">
        <v>-1</v>
      </c>
      <c r="G52" s="7">
        <v>-1</v>
      </c>
      <c r="H52" s="8">
        <v>0</v>
      </c>
    </row>
    <row r="53" spans="2:8">
      <c r="B53" s="6">
        <v>40410</v>
      </c>
      <c r="C53" s="7">
        <v>15</v>
      </c>
      <c r="D53" s="7">
        <v>0</v>
      </c>
      <c r="E53" s="7">
        <v>0</v>
      </c>
      <c r="F53" s="7">
        <v>-1</v>
      </c>
      <c r="G53" s="7">
        <v>-1</v>
      </c>
      <c r="H53" s="8">
        <v>0</v>
      </c>
    </row>
    <row r="54" spans="2:8">
      <c r="B54" s="6">
        <v>40411</v>
      </c>
      <c r="C54" s="7">
        <v>19</v>
      </c>
      <c r="D54" s="7">
        <v>0</v>
      </c>
      <c r="E54" s="7">
        <v>0</v>
      </c>
      <c r="F54" s="7">
        <v>-1</v>
      </c>
      <c r="G54" s="7">
        <v>-1</v>
      </c>
      <c r="H54" s="8">
        <v>0</v>
      </c>
    </row>
    <row r="55" spans="2:8">
      <c r="B55" s="6">
        <v>40412</v>
      </c>
      <c r="C55" s="7">
        <v>18</v>
      </c>
      <c r="D55" s="7">
        <v>0</v>
      </c>
      <c r="E55" s="7">
        <v>0</v>
      </c>
      <c r="F55" s="7">
        <v>-1</v>
      </c>
      <c r="G55" s="7">
        <v>-1</v>
      </c>
      <c r="H55" s="8">
        <v>0</v>
      </c>
    </row>
    <row r="56" spans="2:8">
      <c r="B56" s="6">
        <v>40413</v>
      </c>
      <c r="C56" s="7">
        <v>19</v>
      </c>
      <c r="D56" s="7">
        <v>0</v>
      </c>
      <c r="E56" s="7">
        <v>0</v>
      </c>
      <c r="F56" s="7">
        <v>-1</v>
      </c>
      <c r="G56" s="7">
        <v>-1</v>
      </c>
      <c r="H56" s="8">
        <v>0</v>
      </c>
    </row>
    <row r="57" spans="2:8">
      <c r="B57" s="6">
        <v>40414</v>
      </c>
      <c r="C57" s="7">
        <v>11</v>
      </c>
      <c r="D57" s="7">
        <v>0</v>
      </c>
      <c r="E57" s="7">
        <v>0</v>
      </c>
      <c r="F57" s="7">
        <v>-1</v>
      </c>
      <c r="G57" s="7">
        <v>-1</v>
      </c>
      <c r="H57" s="8">
        <v>0</v>
      </c>
    </row>
    <row r="58" spans="2:8">
      <c r="B58" s="6">
        <v>40415</v>
      </c>
      <c r="C58" s="7">
        <v>13</v>
      </c>
      <c r="D58" s="7">
        <v>0</v>
      </c>
      <c r="E58" s="7">
        <v>0</v>
      </c>
      <c r="F58" s="7">
        <v>-1</v>
      </c>
      <c r="G58" s="7">
        <v>-1</v>
      </c>
      <c r="H58" s="8">
        <v>0</v>
      </c>
    </row>
    <row r="59" spans="2:8">
      <c r="B59" s="6">
        <v>40416</v>
      </c>
      <c r="C59" s="7">
        <v>20</v>
      </c>
      <c r="D59" s="7">
        <v>0</v>
      </c>
      <c r="E59" s="7">
        <v>0</v>
      </c>
      <c r="F59" s="7">
        <v>-1</v>
      </c>
      <c r="G59" s="7">
        <v>-1</v>
      </c>
      <c r="H59" s="8">
        <v>0</v>
      </c>
    </row>
    <row r="60" spans="2:8">
      <c r="B60" s="6">
        <v>40417</v>
      </c>
      <c r="C60" s="7">
        <v>20</v>
      </c>
      <c r="D60" s="7">
        <v>0</v>
      </c>
      <c r="E60" s="7">
        <v>0</v>
      </c>
      <c r="F60" s="7">
        <v>-1</v>
      </c>
      <c r="G60" s="7">
        <v>-1</v>
      </c>
      <c r="H60" s="8">
        <v>0</v>
      </c>
    </row>
    <row r="61" spans="2:8">
      <c r="B61" s="6">
        <v>40418</v>
      </c>
      <c r="C61" s="7">
        <v>27</v>
      </c>
      <c r="D61" s="7">
        <v>0</v>
      </c>
      <c r="E61" s="7">
        <v>0</v>
      </c>
      <c r="F61" s="7">
        <v>-1</v>
      </c>
      <c r="G61" s="7">
        <v>-1</v>
      </c>
      <c r="H61" s="8">
        <v>0</v>
      </c>
    </row>
    <row r="62" spans="2:8">
      <c r="B62" s="6">
        <v>40419</v>
      </c>
      <c r="C62" s="7">
        <v>23</v>
      </c>
      <c r="D62" s="7">
        <v>0</v>
      </c>
      <c r="E62" s="7">
        <v>0</v>
      </c>
      <c r="F62" s="7">
        <v>-1</v>
      </c>
      <c r="G62" s="7">
        <v>-1</v>
      </c>
      <c r="H62" s="8">
        <v>0</v>
      </c>
    </row>
    <row r="63" spans="2:8">
      <c r="B63" s="6">
        <v>40420</v>
      </c>
      <c r="C63" s="7">
        <v>24</v>
      </c>
      <c r="D63" s="7">
        <v>0</v>
      </c>
      <c r="E63" s="7">
        <v>0</v>
      </c>
      <c r="F63" s="7">
        <v>-1</v>
      </c>
      <c r="G63" s="7">
        <v>-1</v>
      </c>
      <c r="H63" s="8">
        <v>0</v>
      </c>
    </row>
    <row r="64" spans="2:8">
      <c r="B64" s="6">
        <v>40421</v>
      </c>
      <c r="C64" s="7">
        <v>18</v>
      </c>
      <c r="D64" s="7">
        <v>0</v>
      </c>
      <c r="E64" s="7">
        <v>0</v>
      </c>
      <c r="F64" s="7">
        <v>-1</v>
      </c>
      <c r="G64" s="7">
        <v>-1</v>
      </c>
      <c r="H64" s="8">
        <v>0</v>
      </c>
    </row>
    <row r="65" spans="2:8">
      <c r="B65" s="6">
        <v>40422</v>
      </c>
      <c r="C65" s="7">
        <v>19</v>
      </c>
      <c r="D65" s="7">
        <v>0</v>
      </c>
      <c r="E65" s="7">
        <v>0</v>
      </c>
      <c r="F65" s="7">
        <v>-1</v>
      </c>
      <c r="G65" s="7">
        <v>-1</v>
      </c>
      <c r="H65" s="8">
        <v>0</v>
      </c>
    </row>
    <row r="66" spans="2:8">
      <c r="B66" s="6">
        <v>40423</v>
      </c>
      <c r="C66" s="7">
        <v>16</v>
      </c>
      <c r="D66" s="7">
        <v>0</v>
      </c>
      <c r="E66" s="7">
        <v>0</v>
      </c>
      <c r="F66" s="7">
        <v>-1</v>
      </c>
      <c r="G66" s="7">
        <v>-1</v>
      </c>
      <c r="H66" s="8">
        <v>0</v>
      </c>
    </row>
    <row r="67" spans="2:8">
      <c r="B67" s="6">
        <v>40424</v>
      </c>
      <c r="C67" s="7">
        <v>13</v>
      </c>
      <c r="D67" s="7">
        <v>0</v>
      </c>
      <c r="E67" s="7">
        <v>0</v>
      </c>
      <c r="F67" s="7">
        <v>-1</v>
      </c>
      <c r="G67" s="7">
        <v>-1</v>
      </c>
      <c r="H67" s="8">
        <v>0</v>
      </c>
    </row>
    <row r="68" spans="2:8">
      <c r="B68" s="6">
        <v>40425</v>
      </c>
      <c r="C68" s="7">
        <v>15</v>
      </c>
      <c r="D68" s="7">
        <v>0</v>
      </c>
      <c r="E68" s="7">
        <v>0</v>
      </c>
      <c r="F68" s="7">
        <v>-1</v>
      </c>
      <c r="G68" s="7">
        <v>-1</v>
      </c>
      <c r="H68" s="8">
        <v>0</v>
      </c>
    </row>
    <row r="69" spans="2:8">
      <c r="B69" s="6">
        <v>40426</v>
      </c>
      <c r="C69" s="7">
        <v>21</v>
      </c>
      <c r="D69" s="7">
        <v>0</v>
      </c>
      <c r="E69" s="7">
        <v>0</v>
      </c>
      <c r="F69" s="7">
        <v>-1</v>
      </c>
      <c r="G69" s="7">
        <v>-1</v>
      </c>
      <c r="H69" s="8">
        <v>0</v>
      </c>
    </row>
    <row r="70" spans="2:8">
      <c r="B70" s="6">
        <v>40427</v>
      </c>
      <c r="C70" s="7">
        <v>11</v>
      </c>
      <c r="D70" s="7">
        <v>0</v>
      </c>
      <c r="E70" s="7">
        <v>0</v>
      </c>
      <c r="F70" s="7">
        <v>-1</v>
      </c>
      <c r="G70" s="7">
        <v>-1</v>
      </c>
      <c r="H70" s="8">
        <v>0</v>
      </c>
    </row>
    <row r="71" spans="2:8">
      <c r="B71" s="6">
        <v>40428</v>
      </c>
      <c r="C71" s="7">
        <v>19</v>
      </c>
      <c r="D71" s="7">
        <v>0</v>
      </c>
      <c r="E71" s="7">
        <v>0</v>
      </c>
      <c r="F71" s="7">
        <v>-1</v>
      </c>
      <c r="G71" s="7">
        <v>-1</v>
      </c>
      <c r="H71" s="8">
        <v>0</v>
      </c>
    </row>
    <row r="72" spans="2:8">
      <c r="B72" s="6">
        <v>40429</v>
      </c>
      <c r="C72" s="7">
        <v>9</v>
      </c>
      <c r="D72" s="7">
        <v>0</v>
      </c>
      <c r="E72" s="7">
        <v>0</v>
      </c>
      <c r="F72" s="7">
        <v>-1</v>
      </c>
      <c r="G72" s="7">
        <v>-1</v>
      </c>
      <c r="H72" s="8">
        <v>0</v>
      </c>
    </row>
    <row r="73" spans="2:8">
      <c r="B73" s="6">
        <v>40430</v>
      </c>
      <c r="C73" s="7">
        <v>4</v>
      </c>
      <c r="D73" s="7">
        <v>0</v>
      </c>
      <c r="E73" s="7">
        <v>0</v>
      </c>
      <c r="F73" s="7">
        <v>-1</v>
      </c>
      <c r="G73" s="7">
        <v>-1</v>
      </c>
      <c r="H73" s="8">
        <v>0</v>
      </c>
    </row>
    <row r="74" spans="2:8">
      <c r="B74" s="6">
        <v>40431</v>
      </c>
      <c r="C74" s="7">
        <v>9</v>
      </c>
      <c r="D74" s="7">
        <v>0</v>
      </c>
      <c r="E74" s="7">
        <v>0</v>
      </c>
      <c r="F74" s="7">
        <v>-1</v>
      </c>
      <c r="G74" s="7">
        <v>-1</v>
      </c>
      <c r="H74" s="8">
        <v>0</v>
      </c>
    </row>
    <row r="75" spans="2:8">
      <c r="B75" s="6">
        <v>40432</v>
      </c>
      <c r="C75" s="7">
        <v>13</v>
      </c>
      <c r="D75" s="7">
        <v>0</v>
      </c>
      <c r="E75" s="7">
        <v>0</v>
      </c>
      <c r="F75" s="7">
        <v>-1</v>
      </c>
      <c r="G75" s="7">
        <v>-1</v>
      </c>
      <c r="H75" s="8">
        <v>0</v>
      </c>
    </row>
    <row r="76" spans="2:8">
      <c r="B76" s="6">
        <v>40433</v>
      </c>
      <c r="C76" s="7">
        <v>12</v>
      </c>
      <c r="D76" s="7">
        <v>0</v>
      </c>
      <c r="E76" s="7">
        <v>0</v>
      </c>
      <c r="F76" s="7">
        <v>-1</v>
      </c>
      <c r="G76" s="7">
        <v>-1</v>
      </c>
      <c r="H76" s="8">
        <v>0</v>
      </c>
    </row>
    <row r="77" spans="2:8">
      <c r="B77" s="6">
        <v>40434</v>
      </c>
      <c r="C77" s="7">
        <v>11</v>
      </c>
      <c r="D77" s="7">
        <v>0</v>
      </c>
      <c r="E77" s="7">
        <v>0</v>
      </c>
      <c r="F77" s="7">
        <v>-1</v>
      </c>
      <c r="G77" s="7">
        <v>-1</v>
      </c>
      <c r="H77" s="8">
        <v>0</v>
      </c>
    </row>
    <row r="78" spans="2:8">
      <c r="B78" s="6">
        <v>40435</v>
      </c>
      <c r="C78" s="7">
        <v>10</v>
      </c>
      <c r="D78" s="7">
        <v>0</v>
      </c>
      <c r="E78" s="7">
        <v>0</v>
      </c>
      <c r="F78" s="7">
        <v>-1</v>
      </c>
      <c r="G78" s="7">
        <v>-1</v>
      </c>
      <c r="H78" s="8">
        <v>0</v>
      </c>
    </row>
    <row r="79" spans="2:8">
      <c r="B79" s="6">
        <v>40436</v>
      </c>
      <c r="C79" s="7">
        <v>14</v>
      </c>
      <c r="D79" s="7">
        <v>0</v>
      </c>
      <c r="E79" s="7">
        <v>0</v>
      </c>
      <c r="F79" s="7">
        <v>-1</v>
      </c>
      <c r="G79" s="7">
        <v>-1</v>
      </c>
      <c r="H79" s="8">
        <v>0</v>
      </c>
    </row>
    <row r="80" spans="2:8">
      <c r="B80" s="6">
        <v>40437</v>
      </c>
      <c r="C80" s="7">
        <v>7</v>
      </c>
      <c r="D80" s="7">
        <v>0</v>
      </c>
      <c r="E80" s="7">
        <v>0</v>
      </c>
      <c r="F80" s="7">
        <v>-1</v>
      </c>
      <c r="G80" s="7">
        <v>-1</v>
      </c>
      <c r="H80" s="8">
        <v>0</v>
      </c>
    </row>
    <row r="81" spans="2:8">
      <c r="B81" s="6">
        <v>40438</v>
      </c>
      <c r="C81" s="7">
        <v>19</v>
      </c>
      <c r="D81" s="7">
        <v>0</v>
      </c>
      <c r="E81" s="7">
        <v>0</v>
      </c>
      <c r="F81" s="7">
        <v>-1</v>
      </c>
      <c r="G81" s="7">
        <v>-1</v>
      </c>
      <c r="H81" s="8">
        <v>0</v>
      </c>
    </row>
    <row r="82" spans="2:8">
      <c r="B82" s="6">
        <v>40439</v>
      </c>
      <c r="C82" s="7">
        <v>19</v>
      </c>
      <c r="D82" s="7">
        <v>0</v>
      </c>
      <c r="E82" s="7">
        <v>0</v>
      </c>
      <c r="F82" s="7">
        <v>-1</v>
      </c>
      <c r="G82" s="7">
        <v>-1</v>
      </c>
      <c r="H82" s="8">
        <v>0</v>
      </c>
    </row>
    <row r="83" spans="2:8">
      <c r="B83" s="6">
        <v>40440</v>
      </c>
      <c r="C83" s="7">
        <v>13</v>
      </c>
      <c r="D83" s="7">
        <v>0</v>
      </c>
      <c r="E83" s="7">
        <v>0</v>
      </c>
      <c r="F83" s="7">
        <v>-1</v>
      </c>
      <c r="G83" s="7">
        <v>-1</v>
      </c>
      <c r="H83" s="8">
        <v>0</v>
      </c>
    </row>
    <row r="84" spans="2:8">
      <c r="B84" s="6">
        <v>40441</v>
      </c>
      <c r="C84" s="7">
        <v>16</v>
      </c>
      <c r="D84" s="7">
        <v>0</v>
      </c>
      <c r="E84" s="7">
        <v>0</v>
      </c>
      <c r="F84" s="7">
        <v>-1</v>
      </c>
      <c r="G84" s="7">
        <v>-1</v>
      </c>
      <c r="H84" s="8">
        <v>0</v>
      </c>
    </row>
    <row r="85" spans="2:8">
      <c r="B85" s="6">
        <v>40442</v>
      </c>
      <c r="C85" s="7">
        <v>18</v>
      </c>
      <c r="D85" s="7">
        <v>0</v>
      </c>
      <c r="E85" s="7">
        <v>0</v>
      </c>
      <c r="F85" s="7">
        <v>-1</v>
      </c>
      <c r="G85" s="7">
        <v>-1</v>
      </c>
      <c r="H85" s="8">
        <v>0</v>
      </c>
    </row>
    <row r="86" spans="2:8">
      <c r="B86" s="6">
        <v>40443</v>
      </c>
      <c r="C86" s="7">
        <v>12</v>
      </c>
      <c r="D86" s="7">
        <v>0</v>
      </c>
      <c r="E86" s="7">
        <v>0</v>
      </c>
      <c r="F86" s="7">
        <v>-1</v>
      </c>
      <c r="G86" s="7">
        <v>-1</v>
      </c>
      <c r="H86" s="8">
        <v>0</v>
      </c>
    </row>
    <row r="87" spans="2:8">
      <c r="B87" s="6">
        <v>40444</v>
      </c>
      <c r="C87" s="7">
        <v>32</v>
      </c>
      <c r="D87" s="7">
        <v>0</v>
      </c>
      <c r="E87" s="7">
        <v>0</v>
      </c>
      <c r="F87" s="7">
        <v>-1</v>
      </c>
      <c r="G87" s="7">
        <v>-1</v>
      </c>
      <c r="H87" s="8">
        <v>0</v>
      </c>
    </row>
    <row r="88" spans="2:8">
      <c r="B88" s="6">
        <v>40445</v>
      </c>
      <c r="C88" s="7">
        <v>30</v>
      </c>
      <c r="D88" s="7">
        <v>0</v>
      </c>
      <c r="E88" s="7">
        <v>0</v>
      </c>
      <c r="F88" s="7">
        <v>-1</v>
      </c>
      <c r="G88" s="7">
        <v>-1</v>
      </c>
      <c r="H88" s="8">
        <v>0</v>
      </c>
    </row>
    <row r="89" spans="2:8">
      <c r="B89" s="6">
        <v>40446</v>
      </c>
      <c r="C89" s="7">
        <v>24</v>
      </c>
      <c r="D89" s="7">
        <v>0</v>
      </c>
      <c r="E89" s="7">
        <v>0</v>
      </c>
      <c r="F89" s="7">
        <v>-1</v>
      </c>
      <c r="G89" s="7">
        <v>-1</v>
      </c>
      <c r="H89" s="8">
        <v>0</v>
      </c>
    </row>
    <row r="90" spans="2:8">
      <c r="B90" s="6">
        <v>40447</v>
      </c>
      <c r="C90" s="7">
        <v>26</v>
      </c>
      <c r="D90" s="7">
        <v>0</v>
      </c>
      <c r="E90" s="7">
        <v>0</v>
      </c>
      <c r="F90" s="7">
        <v>-1</v>
      </c>
      <c r="G90" s="7">
        <v>-1</v>
      </c>
      <c r="H90" s="8">
        <v>0</v>
      </c>
    </row>
    <row r="91" spans="2:8">
      <c r="B91" s="6">
        <v>40448</v>
      </c>
      <c r="C91" s="7">
        <v>17</v>
      </c>
      <c r="D91" s="7">
        <v>0</v>
      </c>
      <c r="E91" s="7">
        <v>0</v>
      </c>
      <c r="F91" s="7">
        <v>-1</v>
      </c>
      <c r="G91" s="7">
        <v>-1</v>
      </c>
      <c r="H91" s="8">
        <v>0</v>
      </c>
    </row>
    <row r="92" spans="2:8">
      <c r="B92" s="6">
        <v>40449</v>
      </c>
      <c r="C92" s="7">
        <v>23</v>
      </c>
      <c r="D92" s="7">
        <v>0</v>
      </c>
      <c r="E92" s="7">
        <v>0</v>
      </c>
      <c r="F92" s="7">
        <v>-1</v>
      </c>
      <c r="G92" s="7">
        <v>-1</v>
      </c>
      <c r="H92" s="8">
        <v>0</v>
      </c>
    </row>
    <row r="93" spans="2:8">
      <c r="B93" s="6">
        <v>40450</v>
      </c>
      <c r="C93" s="7">
        <v>15</v>
      </c>
      <c r="D93" s="7">
        <v>0</v>
      </c>
      <c r="E93" s="7">
        <v>0</v>
      </c>
      <c r="F93" s="7">
        <v>-1</v>
      </c>
      <c r="G93" s="7">
        <v>-1</v>
      </c>
      <c r="H93" s="8">
        <v>0</v>
      </c>
    </row>
    <row r="94" spans="2:8">
      <c r="B94" s="6">
        <v>40451</v>
      </c>
      <c r="C94" s="7">
        <v>27</v>
      </c>
      <c r="D94" s="7">
        <v>0</v>
      </c>
      <c r="E94" s="7">
        <v>0</v>
      </c>
      <c r="F94" s="7">
        <v>-1</v>
      </c>
      <c r="G94" s="7">
        <v>-1</v>
      </c>
      <c r="H94" s="8">
        <v>0</v>
      </c>
    </row>
    <row r="95" spans="2:8">
      <c r="B95" s="6">
        <v>40452</v>
      </c>
      <c r="C95" s="7">
        <v>24</v>
      </c>
      <c r="D95" s="7">
        <v>0</v>
      </c>
      <c r="E95" s="7">
        <v>0</v>
      </c>
      <c r="F95" s="7">
        <v>-1</v>
      </c>
      <c r="G95" s="7">
        <v>-1</v>
      </c>
      <c r="H95" s="8">
        <v>0</v>
      </c>
    </row>
    <row r="96" spans="2:8">
      <c r="B96" s="6">
        <v>40453</v>
      </c>
      <c r="C96" s="7">
        <v>18</v>
      </c>
      <c r="D96" s="7">
        <v>0</v>
      </c>
      <c r="E96" s="7">
        <v>0</v>
      </c>
      <c r="F96" s="7">
        <v>-1</v>
      </c>
      <c r="G96" s="7">
        <v>-1</v>
      </c>
      <c r="H96" s="8">
        <v>0</v>
      </c>
    </row>
    <row r="97" spans="2:8">
      <c r="B97" s="6">
        <v>40454</v>
      </c>
      <c r="C97" s="7">
        <v>16</v>
      </c>
      <c r="D97" s="7">
        <v>0</v>
      </c>
      <c r="E97" s="7">
        <v>0</v>
      </c>
      <c r="F97" s="7">
        <v>-1</v>
      </c>
      <c r="G97" s="7">
        <v>-1</v>
      </c>
      <c r="H97" s="8">
        <v>0</v>
      </c>
    </row>
    <row r="98" spans="2:8">
      <c r="B98" s="6">
        <v>40455</v>
      </c>
      <c r="C98" s="7">
        <v>10</v>
      </c>
      <c r="D98" s="7">
        <v>0</v>
      </c>
      <c r="E98" s="7">
        <v>0</v>
      </c>
      <c r="F98" s="7">
        <v>-1</v>
      </c>
      <c r="G98" s="7">
        <v>-1</v>
      </c>
      <c r="H98" s="8">
        <v>0</v>
      </c>
    </row>
    <row r="99" spans="2:8">
      <c r="B99" s="6">
        <v>40456</v>
      </c>
      <c r="C99" s="7">
        <v>13</v>
      </c>
      <c r="D99" s="7">
        <v>0</v>
      </c>
      <c r="E99" s="7">
        <v>0</v>
      </c>
      <c r="F99" s="7">
        <v>-1</v>
      </c>
      <c r="G99" s="7">
        <v>-1</v>
      </c>
      <c r="H99" s="8">
        <v>0</v>
      </c>
    </row>
    <row r="100" spans="2:8">
      <c r="B100" s="6">
        <v>40457</v>
      </c>
      <c r="C100" s="7">
        <v>3</v>
      </c>
      <c r="D100" s="7">
        <v>0</v>
      </c>
      <c r="E100" s="7">
        <v>0</v>
      </c>
      <c r="F100" s="7">
        <v>-1</v>
      </c>
      <c r="G100" s="7">
        <v>-1</v>
      </c>
      <c r="H100" s="8">
        <v>0</v>
      </c>
    </row>
    <row r="101" spans="2:8">
      <c r="B101" s="6">
        <v>40458</v>
      </c>
      <c r="C101" s="7">
        <v>7</v>
      </c>
      <c r="D101" s="7">
        <v>0</v>
      </c>
      <c r="E101" s="7">
        <v>0</v>
      </c>
      <c r="F101" s="7">
        <v>-1</v>
      </c>
      <c r="G101" s="7">
        <v>-1</v>
      </c>
      <c r="H101" s="8">
        <v>0</v>
      </c>
    </row>
    <row r="102" spans="2:8">
      <c r="B102" s="6">
        <v>40459</v>
      </c>
      <c r="C102" s="7">
        <v>11</v>
      </c>
      <c r="D102" s="7">
        <v>0</v>
      </c>
      <c r="E102" s="7">
        <v>0</v>
      </c>
      <c r="F102" s="7">
        <v>-1</v>
      </c>
      <c r="G102" s="7">
        <v>-1</v>
      </c>
      <c r="H102" s="8">
        <v>0</v>
      </c>
    </row>
    <row r="103" spans="2:8">
      <c r="B103" s="6">
        <v>40460</v>
      </c>
      <c r="C103" s="7">
        <v>17</v>
      </c>
      <c r="D103" s="7">
        <v>0</v>
      </c>
      <c r="E103" s="7">
        <v>0</v>
      </c>
      <c r="F103" s="7">
        <v>-1</v>
      </c>
      <c r="G103" s="7">
        <v>-1</v>
      </c>
      <c r="H103" s="8">
        <v>0</v>
      </c>
    </row>
    <row r="104" spans="2:8">
      <c r="B104" s="6">
        <v>40461</v>
      </c>
      <c r="C104" s="7">
        <v>18</v>
      </c>
      <c r="D104" s="7">
        <v>0</v>
      </c>
      <c r="E104" s="7">
        <v>0</v>
      </c>
      <c r="F104" s="7">
        <v>-1</v>
      </c>
      <c r="G104" s="7">
        <v>-1</v>
      </c>
      <c r="H104" s="8">
        <v>0</v>
      </c>
    </row>
    <row r="105" spans="2:8">
      <c r="B105" s="6">
        <v>40462</v>
      </c>
      <c r="C105" s="7">
        <v>7</v>
      </c>
      <c r="D105" s="7">
        <v>0</v>
      </c>
      <c r="E105" s="7">
        <v>0</v>
      </c>
      <c r="F105" s="7">
        <v>-1</v>
      </c>
      <c r="G105" s="7">
        <v>-1</v>
      </c>
      <c r="H105" s="8">
        <v>0</v>
      </c>
    </row>
    <row r="106" spans="2:8">
      <c r="B106" s="6">
        <v>40463</v>
      </c>
      <c r="C106" s="7">
        <v>8</v>
      </c>
      <c r="D106" s="7">
        <v>0</v>
      </c>
      <c r="E106" s="7">
        <v>0</v>
      </c>
      <c r="F106" s="7">
        <v>-1</v>
      </c>
      <c r="G106" s="7">
        <v>-1</v>
      </c>
      <c r="H106" s="8">
        <v>0</v>
      </c>
    </row>
    <row r="107" spans="2:8">
      <c r="B107" s="6">
        <v>40464</v>
      </c>
      <c r="C107" s="7">
        <v>8</v>
      </c>
      <c r="D107" s="7">
        <v>0</v>
      </c>
      <c r="E107" s="7">
        <v>0</v>
      </c>
      <c r="F107" s="7">
        <v>-1</v>
      </c>
      <c r="G107" s="7">
        <v>-1</v>
      </c>
      <c r="H107" s="8">
        <v>0</v>
      </c>
    </row>
    <row r="108" spans="2:8">
      <c r="B108" s="6">
        <v>40465</v>
      </c>
      <c r="C108" s="7">
        <v>13</v>
      </c>
      <c r="D108" s="7">
        <v>0</v>
      </c>
      <c r="E108" s="7">
        <v>0</v>
      </c>
      <c r="F108" s="7">
        <v>-1</v>
      </c>
      <c r="G108" s="7">
        <v>-1</v>
      </c>
      <c r="H108" s="8">
        <v>0</v>
      </c>
    </row>
    <row r="109" spans="2:8">
      <c r="B109" s="6">
        <v>40466</v>
      </c>
      <c r="C109" s="7">
        <v>9</v>
      </c>
      <c r="D109" s="7">
        <v>0</v>
      </c>
      <c r="E109" s="7">
        <v>0</v>
      </c>
      <c r="F109" s="7">
        <v>-1</v>
      </c>
      <c r="G109" s="7">
        <v>-1</v>
      </c>
      <c r="H109" s="8">
        <v>0</v>
      </c>
    </row>
    <row r="110" spans="2:8">
      <c r="B110" s="6">
        <v>40467</v>
      </c>
      <c r="C110" s="7">
        <v>17</v>
      </c>
      <c r="D110" s="7">
        <v>0</v>
      </c>
      <c r="E110" s="7">
        <v>0</v>
      </c>
      <c r="F110" s="7">
        <v>-1</v>
      </c>
      <c r="G110" s="7">
        <v>-1</v>
      </c>
      <c r="H110" s="8">
        <v>0</v>
      </c>
    </row>
    <row r="111" spans="2:8">
      <c r="B111" s="6">
        <v>40468</v>
      </c>
      <c r="C111" s="7">
        <v>12</v>
      </c>
      <c r="D111" s="7">
        <v>0</v>
      </c>
      <c r="E111" s="7">
        <v>0</v>
      </c>
      <c r="F111" s="7">
        <v>-1</v>
      </c>
      <c r="G111" s="7">
        <v>-1</v>
      </c>
      <c r="H111" s="8">
        <v>0</v>
      </c>
    </row>
    <row r="112" spans="2:8">
      <c r="B112" s="6">
        <v>40469</v>
      </c>
      <c r="C112" s="7">
        <v>11</v>
      </c>
      <c r="D112" s="7">
        <v>0</v>
      </c>
      <c r="E112" s="7">
        <v>0</v>
      </c>
      <c r="F112" s="7">
        <v>-1</v>
      </c>
      <c r="G112" s="7">
        <v>-1</v>
      </c>
      <c r="H112" s="8">
        <v>0</v>
      </c>
    </row>
    <row r="113" spans="2:8">
      <c r="B113" s="6">
        <v>40470</v>
      </c>
      <c r="C113" s="7">
        <v>6</v>
      </c>
      <c r="D113" s="7">
        <v>0</v>
      </c>
      <c r="E113" s="7">
        <v>0</v>
      </c>
      <c r="F113" s="7">
        <v>-1</v>
      </c>
      <c r="G113" s="7">
        <v>-1</v>
      </c>
      <c r="H113" s="8">
        <v>0</v>
      </c>
    </row>
    <row r="114" spans="2:8">
      <c r="B114" s="6">
        <v>40471</v>
      </c>
      <c r="C114" s="7">
        <v>12</v>
      </c>
      <c r="D114" s="7">
        <v>0</v>
      </c>
      <c r="E114" s="7">
        <v>0</v>
      </c>
      <c r="F114" s="7">
        <v>-1</v>
      </c>
      <c r="G114" s="7">
        <v>-1</v>
      </c>
      <c r="H114" s="8">
        <v>0</v>
      </c>
    </row>
    <row r="115" spans="2:8">
      <c r="B115" s="6">
        <v>40472</v>
      </c>
      <c r="C115" s="7">
        <v>3</v>
      </c>
      <c r="D115" s="7">
        <v>0</v>
      </c>
      <c r="E115" s="7">
        <v>0</v>
      </c>
      <c r="F115" s="7">
        <v>-1</v>
      </c>
      <c r="G115" s="7">
        <v>-1</v>
      </c>
      <c r="H115" s="8">
        <v>0</v>
      </c>
    </row>
    <row r="116" spans="2:8">
      <c r="B116" s="6">
        <v>40473</v>
      </c>
      <c r="C116" s="7">
        <v>7</v>
      </c>
      <c r="D116" s="7">
        <v>0</v>
      </c>
      <c r="E116" s="7">
        <v>0</v>
      </c>
      <c r="F116" s="7">
        <v>-1</v>
      </c>
      <c r="G116" s="7">
        <v>-1</v>
      </c>
      <c r="H116" s="8">
        <v>0</v>
      </c>
    </row>
    <row r="117" spans="2:8">
      <c r="B117" s="6">
        <v>40474</v>
      </c>
      <c r="C117" s="7">
        <v>21</v>
      </c>
      <c r="D117" s="7">
        <v>0</v>
      </c>
      <c r="E117" s="7">
        <v>0</v>
      </c>
      <c r="F117" s="7">
        <v>-1</v>
      </c>
      <c r="G117" s="7">
        <v>-1</v>
      </c>
      <c r="H117" s="8">
        <v>0</v>
      </c>
    </row>
    <row r="118" spans="2:8">
      <c r="B118" s="6">
        <v>40475</v>
      </c>
      <c r="C118" s="7">
        <v>20</v>
      </c>
      <c r="D118" s="7">
        <v>0</v>
      </c>
      <c r="E118" s="7">
        <v>0</v>
      </c>
      <c r="F118" s="7">
        <v>-1</v>
      </c>
      <c r="G118" s="7">
        <v>-1</v>
      </c>
      <c r="H118" s="8">
        <v>0</v>
      </c>
    </row>
    <row r="119" spans="2:8">
      <c r="B119" s="6">
        <v>40476</v>
      </c>
      <c r="C119" s="7">
        <v>13</v>
      </c>
      <c r="D119" s="7">
        <v>0</v>
      </c>
      <c r="E119" s="7">
        <v>0</v>
      </c>
      <c r="F119" s="7">
        <v>-1</v>
      </c>
      <c r="G119" s="7">
        <v>-1</v>
      </c>
      <c r="H119" s="8">
        <v>0</v>
      </c>
    </row>
    <row r="120" spans="2:8">
      <c r="B120" s="6">
        <v>40477</v>
      </c>
      <c r="C120" s="7">
        <v>12</v>
      </c>
      <c r="D120" s="7">
        <v>0</v>
      </c>
      <c r="E120" s="7">
        <v>0</v>
      </c>
      <c r="F120" s="7">
        <v>-1</v>
      </c>
      <c r="G120" s="7">
        <v>-1</v>
      </c>
      <c r="H120" s="8">
        <v>0</v>
      </c>
    </row>
    <row r="121" spans="2:8">
      <c r="B121" s="6">
        <v>40478</v>
      </c>
      <c r="C121" s="7">
        <v>13</v>
      </c>
      <c r="D121" s="7">
        <v>0</v>
      </c>
      <c r="E121" s="7">
        <v>0</v>
      </c>
      <c r="F121" s="7">
        <v>-1</v>
      </c>
      <c r="G121" s="7">
        <v>-1</v>
      </c>
      <c r="H121" s="8">
        <v>0</v>
      </c>
    </row>
    <row r="122" spans="2:8">
      <c r="B122" s="6">
        <v>40479</v>
      </c>
      <c r="C122" s="7">
        <v>18</v>
      </c>
      <c r="D122" s="7">
        <v>0</v>
      </c>
      <c r="E122" s="7">
        <v>0</v>
      </c>
      <c r="F122" s="7">
        <v>-1</v>
      </c>
      <c r="G122" s="7">
        <v>-1</v>
      </c>
      <c r="H122" s="8">
        <v>0</v>
      </c>
    </row>
    <row r="123" spans="2:8">
      <c r="B123" s="6">
        <v>40480</v>
      </c>
      <c r="C123" s="7">
        <v>26</v>
      </c>
      <c r="D123" s="7">
        <v>0</v>
      </c>
      <c r="E123" s="7">
        <v>0</v>
      </c>
      <c r="F123" s="7">
        <v>-1</v>
      </c>
      <c r="G123" s="7">
        <v>-1</v>
      </c>
      <c r="H123" s="8">
        <v>0</v>
      </c>
    </row>
    <row r="124" spans="2:8">
      <c r="B124" s="6">
        <v>40481</v>
      </c>
      <c r="C124" s="7">
        <v>29</v>
      </c>
      <c r="D124" s="7">
        <v>0</v>
      </c>
      <c r="E124" s="7">
        <v>0</v>
      </c>
      <c r="F124" s="7">
        <v>-1</v>
      </c>
      <c r="G124" s="7">
        <v>-1</v>
      </c>
      <c r="H124" s="8">
        <v>0</v>
      </c>
    </row>
    <row r="125" spans="2:8">
      <c r="B125" s="6">
        <v>40482</v>
      </c>
      <c r="C125" s="7">
        <v>23</v>
      </c>
      <c r="D125" s="7">
        <v>0</v>
      </c>
      <c r="E125" s="7">
        <v>0</v>
      </c>
      <c r="F125" s="7">
        <v>-1</v>
      </c>
      <c r="G125" s="7">
        <v>-1</v>
      </c>
      <c r="H125" s="8">
        <v>0</v>
      </c>
    </row>
    <row r="126" spans="2:8">
      <c r="B126" s="6">
        <v>40483</v>
      </c>
      <c r="C126" s="7">
        <v>16</v>
      </c>
      <c r="D126" s="7">
        <v>0</v>
      </c>
      <c r="E126" s="7">
        <v>0</v>
      </c>
      <c r="F126" s="7">
        <v>-1</v>
      </c>
      <c r="G126" s="7">
        <v>-1</v>
      </c>
      <c r="H126" s="8">
        <v>0</v>
      </c>
    </row>
    <row r="127" spans="2:8">
      <c r="B127" s="6">
        <v>40484</v>
      </c>
      <c r="C127" s="7">
        <v>12</v>
      </c>
      <c r="D127" s="7">
        <v>0</v>
      </c>
      <c r="E127" s="7">
        <v>0</v>
      </c>
      <c r="F127" s="7">
        <v>-1</v>
      </c>
      <c r="G127" s="7">
        <v>-1</v>
      </c>
      <c r="H127" s="8">
        <v>0</v>
      </c>
    </row>
    <row r="128" spans="2:8">
      <c r="B128" s="6">
        <v>40485</v>
      </c>
      <c r="C128" s="7">
        <v>15</v>
      </c>
      <c r="D128" s="7">
        <v>0</v>
      </c>
      <c r="E128" s="7">
        <v>0</v>
      </c>
      <c r="F128" s="7">
        <v>-1</v>
      </c>
      <c r="G128" s="7">
        <v>-1</v>
      </c>
      <c r="H128" s="8">
        <v>0</v>
      </c>
    </row>
    <row r="129" spans="2:8">
      <c r="B129" s="6">
        <v>40486</v>
      </c>
      <c r="C129" s="7">
        <v>11</v>
      </c>
      <c r="D129" s="7">
        <v>0</v>
      </c>
      <c r="E129" s="7">
        <v>0</v>
      </c>
      <c r="F129" s="7">
        <v>-1</v>
      </c>
      <c r="G129" s="7">
        <v>-1</v>
      </c>
      <c r="H129" s="8">
        <v>0</v>
      </c>
    </row>
    <row r="130" spans="2:8">
      <c r="B130" s="6">
        <v>40487</v>
      </c>
      <c r="C130" s="7">
        <v>13</v>
      </c>
      <c r="D130" s="7">
        <v>0</v>
      </c>
      <c r="E130" s="7">
        <v>0</v>
      </c>
      <c r="F130" s="7">
        <v>-1</v>
      </c>
      <c r="G130" s="7">
        <v>-1</v>
      </c>
      <c r="H130" s="8">
        <v>0</v>
      </c>
    </row>
    <row r="131" spans="2:8">
      <c r="B131" s="6">
        <v>40488</v>
      </c>
      <c r="C131" s="7">
        <v>17</v>
      </c>
      <c r="D131" s="7">
        <v>0</v>
      </c>
      <c r="E131" s="7">
        <v>0</v>
      </c>
      <c r="F131" s="7">
        <v>-1</v>
      </c>
      <c r="G131" s="7">
        <v>-1</v>
      </c>
      <c r="H131" s="8">
        <v>0</v>
      </c>
    </row>
    <row r="132" spans="2:8">
      <c r="B132" s="6">
        <v>40489</v>
      </c>
      <c r="C132" s="7">
        <v>13</v>
      </c>
      <c r="D132" s="7">
        <v>0</v>
      </c>
      <c r="E132" s="7">
        <v>0</v>
      </c>
      <c r="F132" s="7">
        <v>-1</v>
      </c>
      <c r="G132" s="7">
        <v>-1</v>
      </c>
      <c r="H132" s="8">
        <v>0</v>
      </c>
    </row>
    <row r="133" spans="2:8">
      <c r="B133" s="6">
        <v>40490</v>
      </c>
      <c r="C133" s="7">
        <v>8</v>
      </c>
      <c r="D133" s="7">
        <v>0</v>
      </c>
      <c r="E133" s="7">
        <v>0</v>
      </c>
      <c r="F133" s="7">
        <v>-1</v>
      </c>
      <c r="G133" s="7">
        <v>-1</v>
      </c>
      <c r="H133" s="8">
        <v>0</v>
      </c>
    </row>
    <row r="134" spans="2:8">
      <c r="B134" s="6">
        <v>40491</v>
      </c>
      <c r="C134" s="7">
        <v>7</v>
      </c>
      <c r="D134" s="7">
        <v>0</v>
      </c>
      <c r="E134" s="7">
        <v>0</v>
      </c>
      <c r="F134" s="7">
        <v>-1</v>
      </c>
      <c r="G134" s="7">
        <v>-1</v>
      </c>
      <c r="H134" s="8">
        <v>0</v>
      </c>
    </row>
    <row r="135" spans="2:8">
      <c r="B135" s="6">
        <v>40492</v>
      </c>
      <c r="C135" s="7">
        <v>11</v>
      </c>
      <c r="D135" s="7">
        <v>0</v>
      </c>
      <c r="E135" s="7">
        <v>0</v>
      </c>
      <c r="F135" s="7">
        <v>-1</v>
      </c>
      <c r="G135" s="7">
        <v>-1</v>
      </c>
      <c r="H135" s="8">
        <v>0</v>
      </c>
    </row>
    <row r="136" spans="2:8">
      <c r="B136" s="6">
        <v>40493</v>
      </c>
      <c r="C136" s="7">
        <v>11</v>
      </c>
      <c r="D136" s="7">
        <v>0</v>
      </c>
      <c r="E136" s="7">
        <v>0</v>
      </c>
      <c r="F136" s="7">
        <v>-1</v>
      </c>
      <c r="G136" s="7">
        <v>-1</v>
      </c>
      <c r="H136" s="8">
        <v>0</v>
      </c>
    </row>
    <row r="137" spans="2:8">
      <c r="B137" s="6">
        <v>40494</v>
      </c>
      <c r="C137" s="7">
        <v>15</v>
      </c>
      <c r="D137" s="7">
        <v>0</v>
      </c>
      <c r="E137" s="7">
        <v>0</v>
      </c>
      <c r="F137" s="7">
        <v>-1</v>
      </c>
      <c r="G137" s="7">
        <v>-1</v>
      </c>
      <c r="H137" s="8">
        <v>0</v>
      </c>
    </row>
    <row r="138" spans="2:8">
      <c r="B138" s="6">
        <v>40495</v>
      </c>
      <c r="C138" s="7">
        <v>16</v>
      </c>
      <c r="D138" s="7">
        <v>0</v>
      </c>
      <c r="E138" s="7">
        <v>0</v>
      </c>
      <c r="F138" s="7">
        <v>-1</v>
      </c>
      <c r="G138" s="7">
        <v>-1</v>
      </c>
      <c r="H138" s="8">
        <v>0</v>
      </c>
    </row>
    <row r="139" spans="2:8">
      <c r="B139" s="6">
        <v>40496</v>
      </c>
      <c r="C139" s="7">
        <v>19</v>
      </c>
      <c r="D139" s="7">
        <v>0</v>
      </c>
      <c r="E139" s="7">
        <v>0</v>
      </c>
      <c r="F139" s="7">
        <v>-1</v>
      </c>
      <c r="G139" s="7">
        <v>-1</v>
      </c>
      <c r="H139" s="8">
        <v>0</v>
      </c>
    </row>
    <row r="140" spans="2:8">
      <c r="B140" s="6">
        <v>40497</v>
      </c>
      <c r="C140" s="7">
        <v>21</v>
      </c>
      <c r="D140" s="7">
        <v>0</v>
      </c>
      <c r="E140" s="7">
        <v>0</v>
      </c>
      <c r="F140" s="7">
        <v>-1</v>
      </c>
      <c r="G140" s="7">
        <v>-1</v>
      </c>
      <c r="H140" s="8">
        <v>0</v>
      </c>
    </row>
    <row r="141" spans="2:8">
      <c r="B141" s="6">
        <v>40498</v>
      </c>
      <c r="C141" s="7">
        <v>14</v>
      </c>
      <c r="D141" s="7">
        <v>0</v>
      </c>
      <c r="E141" s="7">
        <v>0</v>
      </c>
      <c r="F141" s="7">
        <v>-1</v>
      </c>
      <c r="G141" s="7">
        <v>-1</v>
      </c>
      <c r="H141" s="8">
        <v>0</v>
      </c>
    </row>
    <row r="142" spans="2:8">
      <c r="B142" s="6">
        <v>40499</v>
      </c>
      <c r="C142" s="7">
        <v>11</v>
      </c>
      <c r="D142" s="7">
        <v>0</v>
      </c>
      <c r="E142" s="7">
        <v>0</v>
      </c>
      <c r="F142" s="7">
        <v>-1</v>
      </c>
      <c r="G142" s="7">
        <v>-1</v>
      </c>
      <c r="H142" s="8">
        <v>0</v>
      </c>
    </row>
    <row r="143" spans="2:8">
      <c r="B143" s="6">
        <v>40500</v>
      </c>
      <c r="C143" s="7">
        <v>9</v>
      </c>
      <c r="D143" s="7">
        <v>0</v>
      </c>
      <c r="E143" s="7">
        <v>0</v>
      </c>
      <c r="F143" s="7">
        <v>-1</v>
      </c>
      <c r="G143" s="7">
        <v>-1</v>
      </c>
      <c r="H143" s="8">
        <v>0</v>
      </c>
    </row>
    <row r="144" spans="2:8">
      <c r="B144" s="6">
        <v>40501</v>
      </c>
      <c r="C144" s="7">
        <v>25</v>
      </c>
      <c r="D144" s="7">
        <v>0</v>
      </c>
      <c r="E144" s="7">
        <v>0</v>
      </c>
      <c r="F144" s="7">
        <v>-1</v>
      </c>
      <c r="G144" s="7">
        <v>-1</v>
      </c>
      <c r="H144" s="8">
        <v>0</v>
      </c>
    </row>
    <row r="145" spans="2:8">
      <c r="B145" s="6">
        <v>40502</v>
      </c>
      <c r="C145" s="7">
        <v>24</v>
      </c>
      <c r="D145" s="7">
        <v>0</v>
      </c>
      <c r="E145" s="7">
        <v>0</v>
      </c>
      <c r="F145" s="7">
        <v>-1</v>
      </c>
      <c r="G145" s="7">
        <v>-1</v>
      </c>
      <c r="H145" s="8">
        <v>0</v>
      </c>
    </row>
    <row r="146" spans="2:8">
      <c r="B146" s="6">
        <v>40503</v>
      </c>
      <c r="C146" s="7">
        <v>22</v>
      </c>
      <c r="D146" s="7">
        <v>0</v>
      </c>
      <c r="E146" s="7">
        <v>0</v>
      </c>
      <c r="F146" s="7">
        <v>-1</v>
      </c>
      <c r="G146" s="7">
        <v>-1</v>
      </c>
      <c r="H146" s="8">
        <v>0</v>
      </c>
    </row>
    <row r="147" spans="2:8">
      <c r="B147" s="6">
        <v>40504</v>
      </c>
      <c r="C147" s="7">
        <v>22</v>
      </c>
      <c r="D147" s="7">
        <v>0</v>
      </c>
      <c r="E147" s="7">
        <v>0</v>
      </c>
      <c r="F147" s="7">
        <v>-1</v>
      </c>
      <c r="G147" s="7">
        <v>-1</v>
      </c>
      <c r="H147" s="8">
        <v>0</v>
      </c>
    </row>
    <row r="148" spans="2:8">
      <c r="B148" s="6">
        <v>40505</v>
      </c>
      <c r="C148" s="7">
        <v>16</v>
      </c>
      <c r="D148" s="7">
        <v>0</v>
      </c>
      <c r="E148" s="7">
        <v>0</v>
      </c>
      <c r="F148" s="7">
        <v>-1</v>
      </c>
      <c r="G148" s="7">
        <v>-1</v>
      </c>
      <c r="H148" s="8">
        <v>0</v>
      </c>
    </row>
    <row r="149" spans="2:8">
      <c r="B149" s="6">
        <v>40506</v>
      </c>
      <c r="C149" s="7">
        <v>14</v>
      </c>
      <c r="D149" s="7">
        <v>0</v>
      </c>
      <c r="E149" s="7">
        <v>0</v>
      </c>
      <c r="F149" s="7">
        <v>-1</v>
      </c>
      <c r="G149" s="7">
        <v>-1</v>
      </c>
      <c r="H149" s="8">
        <v>0</v>
      </c>
    </row>
    <row r="150" spans="2:8">
      <c r="B150" s="6">
        <v>40507</v>
      </c>
      <c r="C150" s="7">
        <v>18</v>
      </c>
      <c r="D150" s="7">
        <v>0</v>
      </c>
      <c r="E150" s="7">
        <v>0</v>
      </c>
      <c r="F150" s="7">
        <v>-1</v>
      </c>
      <c r="G150" s="7">
        <v>-1</v>
      </c>
      <c r="H150" s="8">
        <v>0</v>
      </c>
    </row>
    <row r="151" spans="2:8">
      <c r="B151" s="6">
        <v>40508</v>
      </c>
      <c r="C151" s="7">
        <v>22</v>
      </c>
      <c r="D151" s="7">
        <v>0</v>
      </c>
      <c r="E151" s="7">
        <v>0</v>
      </c>
      <c r="F151" s="7">
        <v>-1</v>
      </c>
      <c r="G151" s="7">
        <v>-1</v>
      </c>
      <c r="H151" s="8">
        <v>0</v>
      </c>
    </row>
    <row r="152" spans="2:8">
      <c r="B152" s="6">
        <v>40509</v>
      </c>
      <c r="C152" s="7">
        <v>26</v>
      </c>
      <c r="D152" s="7">
        <v>0</v>
      </c>
      <c r="E152" s="7">
        <v>0</v>
      </c>
      <c r="F152" s="7">
        <v>-1</v>
      </c>
      <c r="G152" s="7">
        <v>-1</v>
      </c>
      <c r="H152" s="8">
        <v>0</v>
      </c>
    </row>
    <row r="153" spans="2:8">
      <c r="B153" s="6">
        <v>40510</v>
      </c>
      <c r="C153" s="7">
        <v>22</v>
      </c>
      <c r="D153" s="7">
        <v>0</v>
      </c>
      <c r="E153" s="7">
        <v>0</v>
      </c>
      <c r="F153" s="7">
        <v>-1</v>
      </c>
      <c r="G153" s="7">
        <v>-1</v>
      </c>
      <c r="H153" s="8">
        <v>0</v>
      </c>
    </row>
    <row r="154" spans="2:8">
      <c r="B154" s="6">
        <v>40511</v>
      </c>
      <c r="C154" s="7">
        <v>22</v>
      </c>
      <c r="D154" s="7">
        <v>0</v>
      </c>
      <c r="E154" s="7">
        <v>0</v>
      </c>
      <c r="F154" s="7">
        <v>-1</v>
      </c>
      <c r="G154" s="7">
        <v>-1</v>
      </c>
      <c r="H154" s="8">
        <v>0</v>
      </c>
    </row>
    <row r="155" spans="2:8">
      <c r="B155" s="6">
        <v>40512</v>
      </c>
      <c r="C155" s="7">
        <v>21</v>
      </c>
      <c r="D155" s="7">
        <v>0</v>
      </c>
      <c r="E155" s="7">
        <v>0</v>
      </c>
      <c r="F155" s="7">
        <v>-1</v>
      </c>
      <c r="G155" s="7">
        <v>-1</v>
      </c>
      <c r="H155" s="8">
        <v>0</v>
      </c>
    </row>
    <row r="156" spans="2:8">
      <c r="B156" s="6">
        <v>40513</v>
      </c>
      <c r="C156" s="7">
        <v>23</v>
      </c>
      <c r="D156" s="7">
        <v>0</v>
      </c>
      <c r="E156" s="7">
        <v>0</v>
      </c>
      <c r="F156" s="7">
        <v>-1</v>
      </c>
      <c r="G156" s="7">
        <v>-1</v>
      </c>
      <c r="H156" s="8">
        <v>0</v>
      </c>
    </row>
    <row r="157" spans="2:8">
      <c r="B157" s="6">
        <v>40514</v>
      </c>
      <c r="C157" s="7">
        <v>14</v>
      </c>
      <c r="D157" s="7">
        <v>0</v>
      </c>
      <c r="E157" s="7">
        <v>0</v>
      </c>
      <c r="F157" s="7">
        <v>-1</v>
      </c>
      <c r="G157" s="7">
        <v>-1</v>
      </c>
      <c r="H157" s="8">
        <v>0</v>
      </c>
    </row>
    <row r="158" spans="2:8">
      <c r="B158" s="6">
        <v>40515</v>
      </c>
      <c r="C158" s="7">
        <v>18</v>
      </c>
      <c r="D158" s="7">
        <v>0</v>
      </c>
      <c r="E158" s="7">
        <v>0</v>
      </c>
      <c r="F158" s="7">
        <v>-1</v>
      </c>
      <c r="G158" s="7">
        <v>-1</v>
      </c>
      <c r="H158" s="8">
        <v>0</v>
      </c>
    </row>
    <row r="159" spans="2:8">
      <c r="B159" s="6">
        <v>40516</v>
      </c>
      <c r="C159" s="7">
        <v>27</v>
      </c>
      <c r="D159" s="7">
        <v>0</v>
      </c>
      <c r="E159" s="7">
        <v>0</v>
      </c>
      <c r="F159" s="7">
        <v>-1</v>
      </c>
      <c r="G159" s="7">
        <v>-1</v>
      </c>
      <c r="H159" s="8">
        <v>0</v>
      </c>
    </row>
    <row r="160" spans="2:8">
      <c r="B160" s="6">
        <v>40517</v>
      </c>
      <c r="C160" s="7">
        <v>16</v>
      </c>
      <c r="D160" s="7">
        <v>0</v>
      </c>
      <c r="E160" s="7">
        <v>0</v>
      </c>
      <c r="F160" s="7">
        <v>-1</v>
      </c>
      <c r="G160" s="7">
        <v>-1</v>
      </c>
      <c r="H160" s="8">
        <v>0</v>
      </c>
    </row>
    <row r="161" spans="2:8">
      <c r="B161" s="6">
        <v>40518</v>
      </c>
      <c r="C161" s="7">
        <v>17</v>
      </c>
      <c r="D161" s="7">
        <v>0</v>
      </c>
      <c r="E161" s="7">
        <v>0</v>
      </c>
      <c r="F161" s="7">
        <v>-1</v>
      </c>
      <c r="G161" s="7">
        <v>-1</v>
      </c>
      <c r="H161" s="8">
        <v>0</v>
      </c>
    </row>
    <row r="162" spans="2:8">
      <c r="B162" s="6">
        <v>40519</v>
      </c>
      <c r="C162" s="7">
        <v>12</v>
      </c>
      <c r="D162" s="7">
        <v>0</v>
      </c>
      <c r="E162" s="7">
        <v>0</v>
      </c>
      <c r="F162" s="7">
        <v>-1</v>
      </c>
      <c r="G162" s="7">
        <v>-1</v>
      </c>
      <c r="H162" s="8">
        <v>0</v>
      </c>
    </row>
    <row r="163" spans="2:8">
      <c r="B163" s="6">
        <v>40520</v>
      </c>
      <c r="C163" s="7">
        <v>13</v>
      </c>
      <c r="D163" s="7">
        <v>0</v>
      </c>
      <c r="E163" s="7">
        <v>0</v>
      </c>
      <c r="F163" s="7">
        <v>-1</v>
      </c>
      <c r="G163" s="7">
        <v>-1</v>
      </c>
      <c r="H163" s="8">
        <v>0</v>
      </c>
    </row>
    <row r="164" spans="2:8">
      <c r="B164" s="6">
        <v>40521</v>
      </c>
      <c r="C164" s="7">
        <v>12</v>
      </c>
      <c r="D164" s="7">
        <v>0</v>
      </c>
      <c r="E164" s="7">
        <v>0</v>
      </c>
      <c r="F164" s="7">
        <v>-1</v>
      </c>
      <c r="G164" s="7">
        <v>-1</v>
      </c>
      <c r="H164" s="8">
        <v>0</v>
      </c>
    </row>
    <row r="165" spans="2:8">
      <c r="B165" s="6">
        <v>40522</v>
      </c>
      <c r="C165" s="7">
        <v>19</v>
      </c>
      <c r="D165" s="7">
        <v>0</v>
      </c>
      <c r="E165" s="7">
        <v>0</v>
      </c>
      <c r="F165" s="7">
        <v>-1</v>
      </c>
      <c r="G165" s="7">
        <v>-1</v>
      </c>
      <c r="H165" s="8">
        <v>0</v>
      </c>
    </row>
    <row r="166" spans="2:8">
      <c r="B166" s="6">
        <v>40523</v>
      </c>
      <c r="C166" s="7">
        <v>14</v>
      </c>
      <c r="D166" s="7">
        <v>0</v>
      </c>
      <c r="E166" s="7">
        <v>0</v>
      </c>
      <c r="F166" s="7">
        <v>-1</v>
      </c>
      <c r="G166" s="7">
        <v>-1</v>
      </c>
      <c r="H166" s="8">
        <v>0</v>
      </c>
    </row>
    <row r="167" spans="2:8">
      <c r="B167" s="6">
        <v>40524</v>
      </c>
      <c r="C167" s="7">
        <v>23</v>
      </c>
      <c r="D167" s="7">
        <v>0</v>
      </c>
      <c r="E167" s="7">
        <v>0</v>
      </c>
      <c r="F167" s="7">
        <v>-1</v>
      </c>
      <c r="G167" s="7">
        <v>-1</v>
      </c>
      <c r="H167" s="8">
        <v>0</v>
      </c>
    </row>
    <row r="168" spans="2:8">
      <c r="B168" s="6">
        <v>40525</v>
      </c>
      <c r="C168" s="7">
        <v>16</v>
      </c>
      <c r="D168" s="7">
        <v>0</v>
      </c>
      <c r="E168" s="7">
        <v>0</v>
      </c>
      <c r="F168" s="7">
        <v>-1</v>
      </c>
      <c r="G168" s="7">
        <v>-1</v>
      </c>
      <c r="H168" s="8">
        <v>0</v>
      </c>
    </row>
    <row r="169" spans="2:8">
      <c r="B169" s="6">
        <v>40526</v>
      </c>
      <c r="C169" s="7">
        <v>13</v>
      </c>
      <c r="D169" s="7">
        <v>0</v>
      </c>
      <c r="E169" s="7">
        <v>0</v>
      </c>
      <c r="F169" s="7">
        <v>-1</v>
      </c>
      <c r="G169" s="7">
        <v>-1</v>
      </c>
      <c r="H169" s="8">
        <v>0</v>
      </c>
    </row>
    <row r="170" spans="2:8">
      <c r="B170" s="6">
        <v>40527</v>
      </c>
      <c r="C170" s="7">
        <v>21</v>
      </c>
      <c r="D170" s="7">
        <v>0</v>
      </c>
      <c r="E170" s="7">
        <v>0</v>
      </c>
      <c r="F170" s="7">
        <v>-1</v>
      </c>
      <c r="G170" s="7">
        <v>-1</v>
      </c>
      <c r="H170" s="8">
        <v>0</v>
      </c>
    </row>
    <row r="171" spans="2:8">
      <c r="B171" s="6">
        <v>40528</v>
      </c>
      <c r="C171" s="7">
        <v>17</v>
      </c>
      <c r="D171" s="7">
        <v>0</v>
      </c>
      <c r="E171" s="7">
        <v>0</v>
      </c>
      <c r="F171" s="7">
        <v>-1</v>
      </c>
      <c r="G171" s="7">
        <v>-1</v>
      </c>
      <c r="H171" s="8">
        <v>0</v>
      </c>
    </row>
    <row r="172" spans="2:8">
      <c r="B172" s="6">
        <v>40529</v>
      </c>
      <c r="C172" s="7">
        <v>21</v>
      </c>
      <c r="D172" s="7">
        <v>0</v>
      </c>
      <c r="E172" s="7">
        <v>0</v>
      </c>
      <c r="F172" s="7">
        <v>-1</v>
      </c>
      <c r="G172" s="7">
        <v>-1</v>
      </c>
      <c r="H172" s="8">
        <v>0</v>
      </c>
    </row>
    <row r="173" spans="2:8">
      <c r="B173" s="6">
        <v>40530</v>
      </c>
      <c r="C173" s="7">
        <v>23</v>
      </c>
      <c r="D173" s="7">
        <v>0</v>
      </c>
      <c r="E173" s="7">
        <v>0</v>
      </c>
      <c r="F173" s="7">
        <v>-1</v>
      </c>
      <c r="G173" s="7">
        <v>-1</v>
      </c>
      <c r="H173" s="8">
        <v>0</v>
      </c>
    </row>
    <row r="174" spans="2:8">
      <c r="B174" s="6">
        <v>40531</v>
      </c>
      <c r="C174" s="7">
        <v>27</v>
      </c>
      <c r="D174" s="7">
        <v>0</v>
      </c>
      <c r="E174" s="7">
        <v>0</v>
      </c>
      <c r="F174" s="7">
        <v>-1</v>
      </c>
      <c r="G174" s="7">
        <v>-1</v>
      </c>
      <c r="H174" s="8">
        <v>0</v>
      </c>
    </row>
    <row r="175" spans="2:8">
      <c r="B175" s="6">
        <v>40532</v>
      </c>
      <c r="C175" s="7">
        <v>23</v>
      </c>
      <c r="D175" s="7">
        <v>0</v>
      </c>
      <c r="E175" s="7">
        <v>0</v>
      </c>
      <c r="F175" s="7">
        <v>-1</v>
      </c>
      <c r="G175" s="7">
        <v>-1</v>
      </c>
      <c r="H175" s="8">
        <v>0</v>
      </c>
    </row>
    <row r="176" spans="2:8">
      <c r="B176" s="6">
        <v>40533</v>
      </c>
      <c r="C176" s="7">
        <v>22</v>
      </c>
      <c r="D176" s="7">
        <v>0</v>
      </c>
      <c r="E176" s="7">
        <v>0</v>
      </c>
      <c r="F176" s="7">
        <v>-1</v>
      </c>
      <c r="G176" s="7">
        <v>-1</v>
      </c>
      <c r="H176" s="8">
        <v>0</v>
      </c>
    </row>
    <row r="177" spans="2:8">
      <c r="B177" s="6">
        <v>40534</v>
      </c>
      <c r="C177" s="7">
        <v>21</v>
      </c>
      <c r="D177" s="7">
        <v>0</v>
      </c>
      <c r="E177" s="7">
        <v>0</v>
      </c>
      <c r="F177" s="7">
        <v>-1</v>
      </c>
      <c r="G177" s="7">
        <v>-1</v>
      </c>
      <c r="H177" s="8">
        <v>0</v>
      </c>
    </row>
    <row r="178" spans="2:8">
      <c r="B178" s="6">
        <v>40535</v>
      </c>
      <c r="C178" s="7">
        <v>18</v>
      </c>
      <c r="D178" s="7">
        <v>0</v>
      </c>
      <c r="E178" s="7">
        <v>0</v>
      </c>
      <c r="F178" s="7">
        <v>-1</v>
      </c>
      <c r="G178" s="7">
        <v>-1</v>
      </c>
      <c r="H178" s="8">
        <v>0</v>
      </c>
    </row>
    <row r="179" spans="2:8">
      <c r="B179" s="6">
        <v>40536</v>
      </c>
      <c r="C179" s="7">
        <v>29</v>
      </c>
      <c r="D179" s="7">
        <v>0</v>
      </c>
      <c r="E179" s="7">
        <v>0</v>
      </c>
      <c r="F179" s="7">
        <v>-1</v>
      </c>
      <c r="G179" s="7">
        <v>-1</v>
      </c>
      <c r="H179" s="8">
        <v>0</v>
      </c>
    </row>
    <row r="180" spans="2:8">
      <c r="B180" s="6">
        <v>40537</v>
      </c>
      <c r="C180" s="7">
        <v>28</v>
      </c>
      <c r="D180" s="7">
        <v>0</v>
      </c>
      <c r="E180" s="7">
        <v>0</v>
      </c>
      <c r="F180" s="7">
        <v>-1</v>
      </c>
      <c r="G180" s="7">
        <v>-1</v>
      </c>
      <c r="H180" s="8">
        <v>0</v>
      </c>
    </row>
    <row r="181" spans="2:8">
      <c r="B181" s="6">
        <v>40538</v>
      </c>
      <c r="C181" s="7">
        <v>26</v>
      </c>
      <c r="D181" s="7">
        <v>0</v>
      </c>
      <c r="E181" s="7">
        <v>0</v>
      </c>
      <c r="F181" s="7">
        <v>-1</v>
      </c>
      <c r="G181" s="7">
        <v>-1</v>
      </c>
      <c r="H181" s="8">
        <v>0</v>
      </c>
    </row>
    <row r="182" spans="2:8">
      <c r="B182" s="6">
        <v>40539</v>
      </c>
      <c r="C182" s="7">
        <v>26</v>
      </c>
      <c r="D182" s="7">
        <v>0</v>
      </c>
      <c r="E182" s="7">
        <v>0</v>
      </c>
      <c r="F182" s="7">
        <v>-1</v>
      </c>
      <c r="G182" s="7">
        <v>-1</v>
      </c>
      <c r="H182" s="8">
        <v>0</v>
      </c>
    </row>
    <row r="183" spans="2:8">
      <c r="B183" s="6">
        <v>40540</v>
      </c>
      <c r="C183" s="7">
        <v>18</v>
      </c>
      <c r="D183" s="7">
        <v>0</v>
      </c>
      <c r="E183" s="7">
        <v>0</v>
      </c>
      <c r="F183" s="7">
        <v>-1</v>
      </c>
      <c r="G183" s="7">
        <v>-1</v>
      </c>
      <c r="H183" s="8">
        <v>0</v>
      </c>
    </row>
    <row r="184" spans="2:8">
      <c r="B184" s="6">
        <v>40541</v>
      </c>
      <c r="C184" s="7">
        <v>23</v>
      </c>
      <c r="D184" s="7">
        <v>0</v>
      </c>
      <c r="E184" s="7">
        <v>0</v>
      </c>
      <c r="F184" s="7">
        <v>-1</v>
      </c>
      <c r="G184" s="7">
        <v>-1</v>
      </c>
      <c r="H184" s="8">
        <v>0</v>
      </c>
    </row>
    <row r="185" spans="2:8">
      <c r="B185" s="6">
        <v>40542</v>
      </c>
      <c r="C185" s="7">
        <v>15</v>
      </c>
      <c r="D185" s="7">
        <v>0</v>
      </c>
      <c r="E185" s="7">
        <v>0</v>
      </c>
      <c r="F185" s="7">
        <v>-1</v>
      </c>
      <c r="G185" s="7">
        <v>-1</v>
      </c>
      <c r="H185" s="8">
        <v>0</v>
      </c>
    </row>
    <row r="186" spans="2:8">
      <c r="B186" s="6">
        <v>40543</v>
      </c>
      <c r="C186" s="7">
        <v>0</v>
      </c>
      <c r="D186" s="7">
        <v>0</v>
      </c>
      <c r="E186" s="7">
        <v>1</v>
      </c>
      <c r="F186" s="7">
        <v>-1</v>
      </c>
      <c r="G186" s="7">
        <v>-1</v>
      </c>
      <c r="H186" s="8">
        <v>0</v>
      </c>
    </row>
    <row r="187" spans="2:8">
      <c r="B187" s="6">
        <v>40544</v>
      </c>
      <c r="C187" s="7">
        <v>0</v>
      </c>
      <c r="D187" s="7">
        <v>0</v>
      </c>
      <c r="E187" s="7">
        <v>1</v>
      </c>
      <c r="F187" s="7">
        <v>-1</v>
      </c>
      <c r="G187" s="7">
        <v>-1</v>
      </c>
      <c r="H187" s="8">
        <v>0</v>
      </c>
    </row>
    <row r="188" spans="2:8">
      <c r="B188" s="6">
        <v>40545</v>
      </c>
      <c r="C188" s="7">
        <v>0</v>
      </c>
      <c r="D188" s="7">
        <v>0</v>
      </c>
      <c r="E188" s="7">
        <v>1</v>
      </c>
      <c r="F188" s="7">
        <v>-1</v>
      </c>
      <c r="G188" s="7">
        <v>-1</v>
      </c>
      <c r="H188" s="8">
        <v>0</v>
      </c>
    </row>
    <row r="189" spans="2:8">
      <c r="B189" s="6">
        <v>40546</v>
      </c>
      <c r="C189" s="7">
        <v>0</v>
      </c>
      <c r="D189" s="7">
        <v>0</v>
      </c>
      <c r="E189" s="7">
        <v>1</v>
      </c>
      <c r="F189" s="7">
        <v>-1</v>
      </c>
      <c r="G189" s="7">
        <v>-1</v>
      </c>
      <c r="H189" s="8">
        <v>0</v>
      </c>
    </row>
    <row r="190" spans="2:8">
      <c r="B190" s="6">
        <v>40547</v>
      </c>
      <c r="C190" s="7">
        <v>16</v>
      </c>
      <c r="D190" s="7">
        <v>0</v>
      </c>
      <c r="E190" s="7">
        <v>0</v>
      </c>
      <c r="F190" s="7">
        <v>0</v>
      </c>
      <c r="G190" s="7">
        <v>0</v>
      </c>
      <c r="H190" s="8">
        <v>1</v>
      </c>
    </row>
    <row r="191" spans="2:8">
      <c r="B191" s="6">
        <v>40548</v>
      </c>
      <c r="C191" s="7">
        <v>16</v>
      </c>
      <c r="D191" s="7">
        <v>0</v>
      </c>
      <c r="E191" s="7">
        <v>0</v>
      </c>
      <c r="F191" s="7">
        <v>0</v>
      </c>
      <c r="G191" s="7">
        <v>0</v>
      </c>
      <c r="H191" s="8">
        <v>1</v>
      </c>
    </row>
    <row r="192" spans="2:8">
      <c r="B192" s="6">
        <v>40549</v>
      </c>
      <c r="C192" s="7">
        <v>13</v>
      </c>
      <c r="D192" s="7">
        <v>0</v>
      </c>
      <c r="E192" s="7">
        <v>0</v>
      </c>
      <c r="F192" s="7">
        <v>0</v>
      </c>
      <c r="G192" s="7">
        <v>0</v>
      </c>
      <c r="H192" s="8">
        <v>1</v>
      </c>
    </row>
    <row r="193" spans="2:8">
      <c r="B193" s="6">
        <v>40550</v>
      </c>
      <c r="C193" s="7">
        <v>14</v>
      </c>
      <c r="D193" s="7">
        <v>0</v>
      </c>
      <c r="E193" s="7">
        <v>0</v>
      </c>
      <c r="F193" s="7">
        <v>0</v>
      </c>
      <c r="G193" s="7">
        <v>0</v>
      </c>
      <c r="H193" s="8">
        <v>1</v>
      </c>
    </row>
    <row r="194" spans="2:8">
      <c r="B194" s="6">
        <v>40551</v>
      </c>
      <c r="C194" s="7">
        <v>16</v>
      </c>
      <c r="D194" s="7">
        <v>0</v>
      </c>
      <c r="E194" s="7">
        <v>0</v>
      </c>
      <c r="F194" s="7">
        <v>0</v>
      </c>
      <c r="G194" s="7">
        <v>0</v>
      </c>
      <c r="H194" s="8">
        <v>1</v>
      </c>
    </row>
    <row r="195" spans="2:8">
      <c r="B195" s="6">
        <v>40552</v>
      </c>
      <c r="C195" s="7">
        <v>16</v>
      </c>
      <c r="D195" s="7">
        <v>0</v>
      </c>
      <c r="E195" s="7">
        <v>0</v>
      </c>
      <c r="F195" s="7">
        <v>0</v>
      </c>
      <c r="G195" s="7">
        <v>0</v>
      </c>
      <c r="H195" s="8">
        <v>1</v>
      </c>
    </row>
    <row r="196" spans="2:8">
      <c r="B196" s="6">
        <v>40553</v>
      </c>
      <c r="C196" s="7">
        <v>14</v>
      </c>
      <c r="D196" s="7">
        <v>0</v>
      </c>
      <c r="E196" s="7">
        <v>0</v>
      </c>
      <c r="F196" s="7">
        <v>0</v>
      </c>
      <c r="G196" s="7">
        <v>0</v>
      </c>
      <c r="H196" s="8">
        <v>1</v>
      </c>
    </row>
    <row r="197" spans="2:8">
      <c r="B197" s="6">
        <v>40554</v>
      </c>
      <c r="C197" s="7">
        <v>13</v>
      </c>
      <c r="D197" s="7">
        <v>0</v>
      </c>
      <c r="E197" s="7">
        <v>0</v>
      </c>
      <c r="F197" s="7">
        <v>0</v>
      </c>
      <c r="G197" s="7">
        <v>0</v>
      </c>
      <c r="H197" s="8">
        <v>1</v>
      </c>
    </row>
    <row r="198" spans="2:8">
      <c r="B198" s="6">
        <v>40555</v>
      </c>
      <c r="C198" s="7">
        <v>5</v>
      </c>
      <c r="D198" s="7">
        <v>0</v>
      </c>
      <c r="E198" s="7">
        <v>0</v>
      </c>
      <c r="F198" s="7">
        <v>0</v>
      </c>
      <c r="G198" s="7">
        <v>0</v>
      </c>
      <c r="H198" s="8">
        <v>1</v>
      </c>
    </row>
    <row r="199" spans="2:8">
      <c r="B199" s="6">
        <v>40556</v>
      </c>
      <c r="C199" s="7">
        <v>9</v>
      </c>
      <c r="D199" s="7">
        <v>0</v>
      </c>
      <c r="E199" s="7">
        <v>0</v>
      </c>
      <c r="F199" s="7">
        <v>0</v>
      </c>
      <c r="G199" s="7">
        <v>0</v>
      </c>
      <c r="H199" s="8">
        <v>1</v>
      </c>
    </row>
    <row r="200" spans="2:8">
      <c r="B200" s="6">
        <v>40557</v>
      </c>
      <c r="C200" s="7">
        <v>14</v>
      </c>
      <c r="D200" s="7">
        <v>0</v>
      </c>
      <c r="E200" s="7">
        <v>0</v>
      </c>
      <c r="F200" s="7">
        <v>0</v>
      </c>
      <c r="G200" s="7">
        <v>0</v>
      </c>
      <c r="H200" s="8">
        <v>1</v>
      </c>
    </row>
    <row r="201" spans="2:8">
      <c r="B201" s="6">
        <v>40558</v>
      </c>
      <c r="C201" s="7">
        <v>19</v>
      </c>
      <c r="D201" s="7">
        <v>0</v>
      </c>
      <c r="E201" s="7">
        <v>0</v>
      </c>
      <c r="F201" s="7">
        <v>0</v>
      </c>
      <c r="G201" s="7">
        <v>0</v>
      </c>
      <c r="H201" s="8">
        <v>1</v>
      </c>
    </row>
    <row r="202" spans="2:8">
      <c r="B202" s="6">
        <v>40559</v>
      </c>
      <c r="C202" s="7">
        <v>22</v>
      </c>
      <c r="D202" s="7">
        <v>0</v>
      </c>
      <c r="E202" s="7">
        <v>0</v>
      </c>
      <c r="F202" s="7">
        <v>0</v>
      </c>
      <c r="G202" s="7">
        <v>0</v>
      </c>
      <c r="H202" s="8">
        <v>1</v>
      </c>
    </row>
    <row r="203" spans="2:8">
      <c r="B203" s="6">
        <v>40560</v>
      </c>
      <c r="C203" s="7">
        <v>12</v>
      </c>
      <c r="D203" s="7">
        <v>0</v>
      </c>
      <c r="E203" s="7">
        <v>0</v>
      </c>
      <c r="F203" s="7">
        <v>0</v>
      </c>
      <c r="G203" s="7">
        <v>0</v>
      </c>
      <c r="H203" s="8">
        <v>1</v>
      </c>
    </row>
    <row r="204" spans="2:8">
      <c r="B204" s="6">
        <v>40561</v>
      </c>
      <c r="C204" s="7">
        <v>11</v>
      </c>
      <c r="D204" s="7">
        <v>0</v>
      </c>
      <c r="E204" s="7">
        <v>0</v>
      </c>
      <c r="F204" s="7">
        <v>0</v>
      </c>
      <c r="G204" s="7">
        <v>0</v>
      </c>
      <c r="H204" s="8">
        <v>1</v>
      </c>
    </row>
    <row r="205" spans="2:8">
      <c r="B205" s="6">
        <v>40562</v>
      </c>
      <c r="C205" s="7">
        <v>6</v>
      </c>
      <c r="D205" s="7">
        <v>0</v>
      </c>
      <c r="E205" s="7">
        <v>0</v>
      </c>
      <c r="F205" s="7">
        <v>0</v>
      </c>
      <c r="G205" s="7">
        <v>0</v>
      </c>
      <c r="H205" s="8">
        <v>1</v>
      </c>
    </row>
    <row r="206" spans="2:8">
      <c r="B206" s="6">
        <v>40563</v>
      </c>
      <c r="C206" s="7">
        <v>7</v>
      </c>
      <c r="D206" s="7">
        <v>0</v>
      </c>
      <c r="E206" s="7">
        <v>0</v>
      </c>
      <c r="F206" s="7">
        <v>0</v>
      </c>
      <c r="G206" s="7">
        <v>0</v>
      </c>
      <c r="H206" s="8">
        <v>1</v>
      </c>
    </row>
    <row r="207" spans="2:8">
      <c r="B207" s="6">
        <v>40564</v>
      </c>
      <c r="C207" s="7">
        <v>14</v>
      </c>
      <c r="D207" s="7">
        <v>0</v>
      </c>
      <c r="E207" s="7">
        <v>0</v>
      </c>
      <c r="F207" s="7">
        <v>0</v>
      </c>
      <c r="G207" s="7">
        <v>0</v>
      </c>
      <c r="H207" s="8">
        <v>1</v>
      </c>
    </row>
    <row r="208" spans="2:8">
      <c r="B208" s="6">
        <v>40565</v>
      </c>
      <c r="C208" s="7">
        <v>17</v>
      </c>
      <c r="D208" s="7">
        <v>0</v>
      </c>
      <c r="E208" s="7">
        <v>0</v>
      </c>
      <c r="F208" s="7">
        <v>1</v>
      </c>
      <c r="G208" s="7">
        <v>0</v>
      </c>
      <c r="H208" s="8">
        <v>2</v>
      </c>
    </row>
    <row r="209" spans="2:8">
      <c r="B209" s="6">
        <v>40566</v>
      </c>
      <c r="C209" s="7">
        <v>18</v>
      </c>
      <c r="D209" s="7">
        <v>0</v>
      </c>
      <c r="E209" s="7">
        <v>0</v>
      </c>
      <c r="F209" s="7">
        <v>0</v>
      </c>
      <c r="G209" s="7">
        <v>0</v>
      </c>
      <c r="H209" s="8">
        <v>1</v>
      </c>
    </row>
    <row r="210" spans="2:8">
      <c r="B210" s="6">
        <v>40567</v>
      </c>
      <c r="C210" s="7">
        <v>12</v>
      </c>
      <c r="D210" s="7">
        <v>0</v>
      </c>
      <c r="E210" s="7">
        <v>0</v>
      </c>
      <c r="F210" s="7">
        <v>0</v>
      </c>
      <c r="G210" s="7">
        <v>0</v>
      </c>
      <c r="H210" s="8">
        <v>1</v>
      </c>
    </row>
    <row r="211" spans="2:8">
      <c r="B211" s="6">
        <v>40568</v>
      </c>
      <c r="C211" s="7">
        <v>15</v>
      </c>
      <c r="D211" s="7">
        <v>0</v>
      </c>
      <c r="E211" s="7">
        <v>0</v>
      </c>
      <c r="F211" s="7">
        <v>0</v>
      </c>
      <c r="G211" s="7">
        <v>0</v>
      </c>
      <c r="H211" s="8">
        <v>1</v>
      </c>
    </row>
    <row r="212" spans="2:8">
      <c r="B212" s="6">
        <v>40569</v>
      </c>
      <c r="C212" s="7">
        <v>13</v>
      </c>
      <c r="D212" s="7">
        <v>0</v>
      </c>
      <c r="E212" s="7">
        <v>0</v>
      </c>
      <c r="F212" s="7">
        <v>0</v>
      </c>
      <c r="G212" s="7">
        <v>0</v>
      </c>
      <c r="H212" s="8">
        <v>1</v>
      </c>
    </row>
    <row r="213" spans="2:8">
      <c r="B213" s="6">
        <v>40570</v>
      </c>
      <c r="C213" s="7">
        <v>18</v>
      </c>
      <c r="D213" s="7">
        <v>0</v>
      </c>
      <c r="E213" s="7">
        <v>0</v>
      </c>
      <c r="F213" s="7">
        <v>1</v>
      </c>
      <c r="G213" s="7">
        <v>1</v>
      </c>
      <c r="H213" s="8">
        <v>4</v>
      </c>
    </row>
    <row r="214" spans="2:8">
      <c r="B214" s="6">
        <v>40571</v>
      </c>
      <c r="C214" s="7">
        <v>16</v>
      </c>
      <c r="D214" s="7">
        <v>0</v>
      </c>
      <c r="E214" s="7">
        <v>0</v>
      </c>
      <c r="F214" s="7">
        <v>1</v>
      </c>
      <c r="G214" s="7">
        <v>1</v>
      </c>
      <c r="H214" s="8">
        <v>4</v>
      </c>
    </row>
    <row r="215" spans="2:8">
      <c r="B215" s="6">
        <v>40572</v>
      </c>
      <c r="C215" s="7">
        <v>23</v>
      </c>
      <c r="D215" s="7">
        <v>0</v>
      </c>
      <c r="E215" s="7">
        <v>0</v>
      </c>
      <c r="F215" s="7">
        <v>2</v>
      </c>
      <c r="G215" s="7">
        <v>1</v>
      </c>
      <c r="H215" s="8">
        <v>6</v>
      </c>
    </row>
    <row r="216" spans="2:8">
      <c r="B216" s="6">
        <v>40573</v>
      </c>
      <c r="C216" s="7">
        <v>28</v>
      </c>
      <c r="D216" s="7">
        <v>0</v>
      </c>
      <c r="E216" s="7">
        <v>0</v>
      </c>
      <c r="F216" s="7">
        <v>2</v>
      </c>
      <c r="G216" s="7">
        <v>1</v>
      </c>
      <c r="H216" s="8">
        <v>6</v>
      </c>
    </row>
    <row r="217" spans="2:8">
      <c r="B217" s="6">
        <v>40574</v>
      </c>
      <c r="C217" s="7">
        <v>23</v>
      </c>
      <c r="D217" s="7">
        <v>0</v>
      </c>
      <c r="E217" s="7">
        <v>0</v>
      </c>
      <c r="F217" s="7">
        <v>1</v>
      </c>
      <c r="G217" s="7">
        <v>0</v>
      </c>
      <c r="H217" s="8">
        <v>2</v>
      </c>
    </row>
    <row r="218" spans="2:8">
      <c r="B218" s="6">
        <v>40575</v>
      </c>
      <c r="C218" s="7">
        <v>22</v>
      </c>
      <c r="D218" s="7">
        <v>0</v>
      </c>
      <c r="E218" s="7">
        <v>0</v>
      </c>
      <c r="F218" s="7">
        <v>1</v>
      </c>
      <c r="G218" s="7">
        <v>1</v>
      </c>
      <c r="H218" s="8">
        <v>4</v>
      </c>
    </row>
    <row r="219" spans="2:8">
      <c r="B219" s="6">
        <v>40576</v>
      </c>
      <c r="C219" s="7">
        <v>14</v>
      </c>
      <c r="D219" s="7">
        <v>0</v>
      </c>
      <c r="E219" s="7">
        <v>0</v>
      </c>
      <c r="F219" s="7">
        <v>1</v>
      </c>
      <c r="G219" s="7">
        <v>1</v>
      </c>
      <c r="H219" s="8">
        <v>4</v>
      </c>
    </row>
    <row r="220" spans="2:8">
      <c r="B220" s="6">
        <v>40577</v>
      </c>
      <c r="C220" s="7">
        <v>12</v>
      </c>
      <c r="D220" s="7">
        <v>0</v>
      </c>
      <c r="E220" s="7">
        <v>0</v>
      </c>
      <c r="F220" s="7">
        <v>0</v>
      </c>
      <c r="G220" s="7">
        <v>0</v>
      </c>
      <c r="H220" s="8">
        <v>1</v>
      </c>
    </row>
    <row r="221" spans="2:8">
      <c r="B221" s="6">
        <v>40578</v>
      </c>
      <c r="C221" s="7">
        <v>16</v>
      </c>
      <c r="D221" s="7">
        <v>0</v>
      </c>
      <c r="E221" s="7">
        <v>0</v>
      </c>
      <c r="F221" s="7">
        <v>0</v>
      </c>
      <c r="G221" s="7">
        <v>0</v>
      </c>
      <c r="H221" s="8">
        <v>1</v>
      </c>
    </row>
    <row r="222" spans="2:8">
      <c r="B222" s="6">
        <v>40579</v>
      </c>
      <c r="C222" s="7">
        <v>24</v>
      </c>
      <c r="D222" s="7">
        <v>0</v>
      </c>
      <c r="E222" s="7">
        <v>0</v>
      </c>
      <c r="F222" s="7">
        <v>1</v>
      </c>
      <c r="G222" s="7">
        <v>1</v>
      </c>
      <c r="H222" s="8">
        <v>4</v>
      </c>
    </row>
    <row r="223" spans="2:8">
      <c r="B223" s="6">
        <v>40580</v>
      </c>
      <c r="C223" s="7">
        <v>17</v>
      </c>
      <c r="D223" s="7">
        <v>0</v>
      </c>
      <c r="E223" s="7">
        <v>0</v>
      </c>
      <c r="F223" s="7">
        <v>1</v>
      </c>
      <c r="G223" s="7">
        <v>1</v>
      </c>
      <c r="H223" s="8">
        <v>4</v>
      </c>
    </row>
    <row r="224" spans="2:8">
      <c r="B224" s="6">
        <v>40581</v>
      </c>
      <c r="C224" s="7">
        <v>15</v>
      </c>
      <c r="D224" s="7">
        <v>0</v>
      </c>
      <c r="E224" s="7">
        <v>0</v>
      </c>
      <c r="F224" s="7">
        <v>0</v>
      </c>
      <c r="G224" s="7">
        <v>0</v>
      </c>
      <c r="H224" s="8">
        <v>1</v>
      </c>
    </row>
    <row r="225" spans="2:8">
      <c r="B225" s="6">
        <v>40582</v>
      </c>
      <c r="C225" s="7">
        <v>7</v>
      </c>
      <c r="D225" s="7">
        <v>0</v>
      </c>
      <c r="E225" s="7">
        <v>0</v>
      </c>
      <c r="F225" s="7">
        <v>0</v>
      </c>
      <c r="G225" s="7">
        <v>0</v>
      </c>
      <c r="H225" s="8">
        <v>1</v>
      </c>
    </row>
    <row r="226" spans="2:8">
      <c r="B226" s="6">
        <v>40583</v>
      </c>
      <c r="C226" s="7">
        <v>9</v>
      </c>
      <c r="D226" s="7">
        <v>0</v>
      </c>
      <c r="E226" s="7">
        <v>0</v>
      </c>
      <c r="F226" s="7">
        <v>0</v>
      </c>
      <c r="G226" s="7">
        <v>0</v>
      </c>
      <c r="H226" s="8">
        <v>1</v>
      </c>
    </row>
    <row r="227" spans="2:8">
      <c r="B227" s="6">
        <v>40584</v>
      </c>
      <c r="C227" s="7">
        <v>21</v>
      </c>
      <c r="D227" s="7">
        <v>0</v>
      </c>
      <c r="E227" s="7">
        <v>0</v>
      </c>
      <c r="F227" s="7">
        <v>0</v>
      </c>
      <c r="G227" s="7">
        <v>0</v>
      </c>
      <c r="H227" s="8">
        <v>1</v>
      </c>
    </row>
    <row r="228" spans="2:8">
      <c r="B228" s="6">
        <v>40585</v>
      </c>
      <c r="C228" s="7">
        <v>29</v>
      </c>
      <c r="D228" s="7">
        <v>0</v>
      </c>
      <c r="E228" s="7">
        <v>0</v>
      </c>
      <c r="F228" s="7">
        <v>2</v>
      </c>
      <c r="G228" s="7">
        <v>1</v>
      </c>
      <c r="H228" s="8">
        <v>6</v>
      </c>
    </row>
    <row r="229" spans="2:8">
      <c r="B229" s="6">
        <v>40586</v>
      </c>
      <c r="C229" s="7">
        <v>21</v>
      </c>
      <c r="D229" s="7">
        <v>0</v>
      </c>
      <c r="E229" s="7">
        <v>0</v>
      </c>
      <c r="F229" s="7">
        <v>2</v>
      </c>
      <c r="G229" s="7">
        <v>1</v>
      </c>
      <c r="H229" s="8">
        <v>6</v>
      </c>
    </row>
    <row r="230" spans="2:8">
      <c r="B230" s="6">
        <v>40587</v>
      </c>
      <c r="C230" s="7">
        <v>25</v>
      </c>
      <c r="D230" s="7">
        <v>0</v>
      </c>
      <c r="E230" s="7">
        <v>0</v>
      </c>
      <c r="F230" s="7">
        <v>1</v>
      </c>
      <c r="G230" s="7">
        <v>1</v>
      </c>
      <c r="H230" s="8">
        <v>4</v>
      </c>
    </row>
    <row r="231" spans="2:8">
      <c r="B231" s="6">
        <v>40588</v>
      </c>
      <c r="C231" s="7">
        <v>8</v>
      </c>
      <c r="D231" s="7">
        <v>0</v>
      </c>
      <c r="E231" s="7">
        <v>0</v>
      </c>
      <c r="F231" s="7">
        <v>0</v>
      </c>
      <c r="G231" s="7">
        <v>0</v>
      </c>
      <c r="H231" s="8">
        <v>1</v>
      </c>
    </row>
    <row r="232" spans="2:8">
      <c r="B232" s="6">
        <v>40589</v>
      </c>
      <c r="C232" s="7">
        <v>13</v>
      </c>
      <c r="D232" s="7">
        <v>0</v>
      </c>
      <c r="E232" s="7">
        <v>0</v>
      </c>
      <c r="F232" s="7">
        <v>0</v>
      </c>
      <c r="G232" s="7">
        <v>0</v>
      </c>
      <c r="H232" s="8">
        <v>1</v>
      </c>
    </row>
    <row r="233" spans="2:8">
      <c r="B233" s="6">
        <v>40590</v>
      </c>
      <c r="C233" s="7">
        <v>10</v>
      </c>
      <c r="D233" s="7">
        <v>0</v>
      </c>
      <c r="E233" s="7">
        <v>0</v>
      </c>
      <c r="F233" s="7">
        <v>0</v>
      </c>
      <c r="G233" s="7">
        <v>0</v>
      </c>
      <c r="H233" s="8">
        <v>1</v>
      </c>
    </row>
    <row r="234" spans="2:8">
      <c r="B234" s="6">
        <v>40591</v>
      </c>
      <c r="C234" s="7">
        <v>17</v>
      </c>
      <c r="D234" s="7">
        <v>0</v>
      </c>
      <c r="E234" s="7">
        <v>0</v>
      </c>
      <c r="F234" s="7">
        <v>0</v>
      </c>
      <c r="G234" s="7">
        <v>0</v>
      </c>
      <c r="H234" s="8">
        <v>1</v>
      </c>
    </row>
    <row r="235" spans="2:8">
      <c r="B235" s="6">
        <v>40592</v>
      </c>
      <c r="C235" s="7">
        <v>22</v>
      </c>
      <c r="D235" s="7">
        <v>0</v>
      </c>
      <c r="E235" s="7">
        <v>0</v>
      </c>
      <c r="F235" s="7">
        <v>1</v>
      </c>
      <c r="G235" s="7">
        <v>0</v>
      </c>
      <c r="H235" s="8">
        <v>2</v>
      </c>
    </row>
    <row r="236" spans="2:8">
      <c r="B236" s="6">
        <v>40593</v>
      </c>
      <c r="C236" s="7">
        <v>25</v>
      </c>
      <c r="D236" s="7">
        <v>0</v>
      </c>
      <c r="E236" s="7">
        <v>0</v>
      </c>
      <c r="F236" s="7">
        <v>2</v>
      </c>
      <c r="G236" s="7">
        <v>2</v>
      </c>
      <c r="H236" s="8">
        <v>9</v>
      </c>
    </row>
    <row r="237" spans="2:8">
      <c r="B237" s="6">
        <v>40594</v>
      </c>
      <c r="C237" s="7">
        <v>24</v>
      </c>
      <c r="D237" s="7">
        <v>0</v>
      </c>
      <c r="E237" s="7">
        <v>0</v>
      </c>
      <c r="F237" s="7">
        <v>2</v>
      </c>
      <c r="G237" s="7">
        <v>1</v>
      </c>
      <c r="H237" s="8">
        <v>6</v>
      </c>
    </row>
    <row r="238" spans="2:8">
      <c r="B238" s="6">
        <v>40595</v>
      </c>
      <c r="C238" s="7">
        <v>26</v>
      </c>
      <c r="D238" s="7">
        <v>0</v>
      </c>
      <c r="E238" s="7">
        <v>0</v>
      </c>
      <c r="F238" s="7">
        <v>0</v>
      </c>
      <c r="G238" s="7">
        <v>0</v>
      </c>
      <c r="H238" s="8">
        <v>1</v>
      </c>
    </row>
    <row r="239" spans="2:8">
      <c r="B239" s="6">
        <v>40596</v>
      </c>
      <c r="C239" s="7">
        <v>15</v>
      </c>
      <c r="D239" s="7">
        <v>0</v>
      </c>
      <c r="E239" s="7">
        <v>0</v>
      </c>
      <c r="F239" s="7">
        <v>1</v>
      </c>
      <c r="G239" s="7">
        <v>0</v>
      </c>
      <c r="H239" s="8">
        <v>2</v>
      </c>
    </row>
    <row r="240" spans="2:8">
      <c r="B240" s="6">
        <v>40597</v>
      </c>
      <c r="C240" s="7">
        <v>21</v>
      </c>
      <c r="D240" s="7">
        <v>0</v>
      </c>
      <c r="E240" s="7">
        <v>0</v>
      </c>
      <c r="F240" s="7">
        <v>1</v>
      </c>
      <c r="G240" s="7">
        <v>0</v>
      </c>
      <c r="H240" s="8">
        <v>2</v>
      </c>
    </row>
    <row r="241" spans="2:8">
      <c r="B241" s="6">
        <v>40598</v>
      </c>
      <c r="C241" s="7">
        <v>23</v>
      </c>
      <c r="D241" s="7">
        <v>0</v>
      </c>
      <c r="E241" s="7">
        <v>0</v>
      </c>
      <c r="F241" s="7">
        <v>1</v>
      </c>
      <c r="G241" s="7">
        <v>1</v>
      </c>
      <c r="H241" s="8">
        <v>4</v>
      </c>
    </row>
    <row r="242" spans="2:8">
      <c r="B242" s="6">
        <v>40599</v>
      </c>
      <c r="C242" s="7">
        <v>29</v>
      </c>
      <c r="D242" s="7">
        <v>0</v>
      </c>
      <c r="E242" s="7">
        <v>0</v>
      </c>
      <c r="F242" s="7">
        <v>2</v>
      </c>
      <c r="G242" s="7">
        <v>1</v>
      </c>
      <c r="H242" s="8">
        <v>6</v>
      </c>
    </row>
    <row r="243" spans="2:8">
      <c r="B243" s="6">
        <v>40600</v>
      </c>
      <c r="C243" s="7">
        <v>32</v>
      </c>
      <c r="D243" s="7">
        <v>0</v>
      </c>
      <c r="E243" s="7">
        <v>0</v>
      </c>
      <c r="F243" s="7">
        <v>3</v>
      </c>
      <c r="G243" s="7">
        <v>2</v>
      </c>
      <c r="H243" s="8">
        <v>12</v>
      </c>
    </row>
    <row r="244" spans="2:8">
      <c r="B244" s="6">
        <v>40601</v>
      </c>
      <c r="C244" s="7">
        <v>33</v>
      </c>
      <c r="D244" s="7">
        <v>0</v>
      </c>
      <c r="E244" s="7">
        <v>0</v>
      </c>
      <c r="F244" s="7">
        <v>2</v>
      </c>
      <c r="G244" s="7">
        <v>2</v>
      </c>
      <c r="H244" s="8">
        <v>9</v>
      </c>
    </row>
    <row r="245" spans="2:8">
      <c r="B245" s="6">
        <v>40602</v>
      </c>
      <c r="C245" s="7">
        <v>30</v>
      </c>
      <c r="D245" s="7">
        <v>0</v>
      </c>
      <c r="E245" s="7">
        <v>0</v>
      </c>
      <c r="F245" s="7">
        <v>2</v>
      </c>
      <c r="G245" s="7">
        <v>1</v>
      </c>
      <c r="H245" s="8">
        <v>6</v>
      </c>
    </row>
    <row r="246" spans="2:8">
      <c r="B246" s="6">
        <v>40603</v>
      </c>
      <c r="C246" s="7">
        <v>28</v>
      </c>
      <c r="D246" s="7">
        <v>0</v>
      </c>
      <c r="E246" s="7">
        <v>0</v>
      </c>
      <c r="F246" s="7">
        <v>1</v>
      </c>
      <c r="G246" s="7">
        <v>1</v>
      </c>
      <c r="H246" s="8">
        <v>4</v>
      </c>
    </row>
    <row r="247" spans="2:8">
      <c r="B247" s="6">
        <v>40604</v>
      </c>
      <c r="C247" s="7">
        <v>21</v>
      </c>
      <c r="D247" s="7">
        <v>0</v>
      </c>
      <c r="E247" s="7">
        <v>0</v>
      </c>
      <c r="F247" s="7">
        <v>0</v>
      </c>
      <c r="G247" s="7">
        <v>0</v>
      </c>
      <c r="H247" s="8">
        <v>1</v>
      </c>
    </row>
    <row r="248" spans="2:8">
      <c r="B248" s="6">
        <v>40605</v>
      </c>
      <c r="C248" s="7">
        <v>20</v>
      </c>
      <c r="D248" s="7">
        <v>0</v>
      </c>
      <c r="E248" s="7">
        <v>0</v>
      </c>
      <c r="F248" s="7">
        <v>0</v>
      </c>
      <c r="G248" s="7">
        <v>0</v>
      </c>
      <c r="H248" s="8">
        <v>1</v>
      </c>
    </row>
    <row r="249" spans="2:8">
      <c r="B249" s="6">
        <v>40606</v>
      </c>
      <c r="C249" s="7">
        <v>12</v>
      </c>
      <c r="D249" s="7">
        <v>0</v>
      </c>
      <c r="E249" s="7">
        <v>0</v>
      </c>
      <c r="F249" s="7">
        <v>1</v>
      </c>
      <c r="G249" s="7">
        <v>1</v>
      </c>
      <c r="H249" s="8">
        <v>4</v>
      </c>
    </row>
    <row r="250" spans="2:8">
      <c r="B250" s="6">
        <v>40607</v>
      </c>
      <c r="C250" s="7">
        <v>27</v>
      </c>
      <c r="D250" s="7">
        <v>0</v>
      </c>
      <c r="E250" s="7">
        <v>0</v>
      </c>
      <c r="F250" s="7">
        <v>2</v>
      </c>
      <c r="G250" s="7">
        <v>1</v>
      </c>
      <c r="H250" s="8">
        <v>6</v>
      </c>
    </row>
    <row r="251" spans="2:8">
      <c r="B251" s="6">
        <v>40608</v>
      </c>
      <c r="C251" s="7">
        <v>21</v>
      </c>
      <c r="D251" s="7">
        <v>0</v>
      </c>
      <c r="E251" s="7">
        <v>0</v>
      </c>
      <c r="F251" s="7">
        <v>1</v>
      </c>
      <c r="G251" s="7">
        <v>1</v>
      </c>
      <c r="H251" s="8">
        <v>4</v>
      </c>
    </row>
    <row r="252" spans="2:8">
      <c r="B252" s="6">
        <v>40609</v>
      </c>
      <c r="C252" s="7">
        <v>22</v>
      </c>
      <c r="D252" s="7">
        <v>0</v>
      </c>
      <c r="E252" s="7">
        <v>0</v>
      </c>
      <c r="F252" s="7">
        <v>0</v>
      </c>
      <c r="G252" s="7">
        <v>0</v>
      </c>
      <c r="H252" s="8">
        <v>1</v>
      </c>
    </row>
    <row r="253" spans="2:8">
      <c r="B253" s="6">
        <v>40610</v>
      </c>
      <c r="C253" s="7">
        <v>21</v>
      </c>
      <c r="D253" s="7">
        <v>0</v>
      </c>
      <c r="E253" s="7">
        <v>0</v>
      </c>
      <c r="F253" s="7">
        <v>0</v>
      </c>
      <c r="G253" s="7">
        <v>0</v>
      </c>
      <c r="H253" s="8">
        <v>1</v>
      </c>
    </row>
    <row r="254" spans="2:8">
      <c r="B254" s="6">
        <v>40611</v>
      </c>
      <c r="C254" s="7">
        <v>15</v>
      </c>
      <c r="D254" s="7">
        <v>0</v>
      </c>
      <c r="E254" s="7">
        <v>0</v>
      </c>
      <c r="F254" s="7">
        <v>0</v>
      </c>
      <c r="G254" s="7">
        <v>0</v>
      </c>
      <c r="H254" s="8">
        <v>1</v>
      </c>
    </row>
    <row r="255" spans="2:8">
      <c r="B255" s="6">
        <v>40612</v>
      </c>
      <c r="C255" s="7">
        <v>21</v>
      </c>
      <c r="D255" s="7">
        <v>0</v>
      </c>
      <c r="E255" s="7">
        <v>0</v>
      </c>
      <c r="F255" s="7">
        <v>0</v>
      </c>
      <c r="G255" s="7">
        <v>0</v>
      </c>
      <c r="H255" s="8">
        <v>1</v>
      </c>
    </row>
    <row r="256" spans="2:8">
      <c r="B256" s="6">
        <v>40613</v>
      </c>
      <c r="C256" s="7">
        <v>17</v>
      </c>
      <c r="D256" s="7">
        <v>0</v>
      </c>
      <c r="E256" s="7">
        <v>0</v>
      </c>
      <c r="F256" s="7">
        <v>0</v>
      </c>
      <c r="G256" s="7">
        <v>0</v>
      </c>
      <c r="H256" s="8">
        <v>1</v>
      </c>
    </row>
    <row r="257" spans="2:8">
      <c r="B257" s="6">
        <v>40614</v>
      </c>
      <c r="C257" s="7">
        <v>25</v>
      </c>
      <c r="D257" s="7">
        <v>0</v>
      </c>
      <c r="E257" s="7">
        <v>0</v>
      </c>
      <c r="F257" s="7">
        <v>2</v>
      </c>
      <c r="G257" s="7">
        <v>2</v>
      </c>
      <c r="H257" s="8">
        <v>9</v>
      </c>
    </row>
    <row r="258" spans="2:8">
      <c r="B258" s="6">
        <v>40615</v>
      </c>
      <c r="C258" s="7">
        <v>17</v>
      </c>
      <c r="D258" s="7">
        <v>0</v>
      </c>
      <c r="E258" s="7">
        <v>0</v>
      </c>
      <c r="F258" s="7">
        <v>2</v>
      </c>
      <c r="G258" s="7">
        <v>1</v>
      </c>
      <c r="H258" s="8">
        <v>6</v>
      </c>
    </row>
    <row r="259" spans="2:8">
      <c r="B259" s="6">
        <v>40616</v>
      </c>
      <c r="C259" s="7">
        <v>27</v>
      </c>
      <c r="D259" s="7">
        <v>0</v>
      </c>
      <c r="E259" s="7">
        <v>0</v>
      </c>
      <c r="F259" s="7">
        <v>1</v>
      </c>
      <c r="G259" s="7">
        <v>1</v>
      </c>
      <c r="H259" s="8">
        <v>4</v>
      </c>
    </row>
    <row r="260" spans="2:8">
      <c r="B260" s="6">
        <v>40617</v>
      </c>
      <c r="C260" s="7">
        <v>31</v>
      </c>
      <c r="D260" s="7">
        <v>0</v>
      </c>
      <c r="E260" s="7">
        <v>0</v>
      </c>
      <c r="F260" s="7">
        <v>1</v>
      </c>
      <c r="G260" s="7">
        <v>1</v>
      </c>
      <c r="H260" s="8">
        <v>4</v>
      </c>
    </row>
    <row r="261" spans="2:8">
      <c r="B261" s="6">
        <v>40618</v>
      </c>
      <c r="C261" s="7">
        <v>34</v>
      </c>
      <c r="D261" s="7">
        <v>0</v>
      </c>
      <c r="E261" s="7">
        <v>0</v>
      </c>
      <c r="F261" s="7">
        <v>2</v>
      </c>
      <c r="G261" s="7">
        <v>2</v>
      </c>
      <c r="H261" s="8">
        <v>9</v>
      </c>
    </row>
    <row r="262" spans="2:8">
      <c r="B262" s="6">
        <v>40619</v>
      </c>
      <c r="C262" s="7">
        <v>34</v>
      </c>
      <c r="D262" s="7">
        <v>0</v>
      </c>
      <c r="E262" s="7">
        <v>0</v>
      </c>
      <c r="F262" s="7">
        <v>2</v>
      </c>
      <c r="G262" s="7">
        <v>2</v>
      </c>
      <c r="H262" s="8">
        <v>9</v>
      </c>
    </row>
    <row r="263" spans="2:8">
      <c r="B263" s="6">
        <v>40620</v>
      </c>
      <c r="C263" s="7">
        <v>42</v>
      </c>
      <c r="D263" s="7">
        <v>0</v>
      </c>
      <c r="E263" s="7">
        <v>0</v>
      </c>
      <c r="F263" s="7">
        <v>2</v>
      </c>
      <c r="G263" s="7">
        <v>2</v>
      </c>
      <c r="H263" s="8">
        <v>9</v>
      </c>
    </row>
    <row r="264" spans="2:8">
      <c r="B264" s="6">
        <v>40621</v>
      </c>
      <c r="C264" s="7">
        <v>40</v>
      </c>
      <c r="D264" s="7">
        <v>0</v>
      </c>
      <c r="E264" s="7">
        <v>0</v>
      </c>
      <c r="F264" s="7">
        <v>3</v>
      </c>
      <c r="G264" s="7">
        <v>3</v>
      </c>
      <c r="H264" s="8">
        <v>16</v>
      </c>
    </row>
    <row r="265" spans="2:8">
      <c r="B265" s="6">
        <v>40622</v>
      </c>
      <c r="C265" s="7">
        <v>41</v>
      </c>
      <c r="D265" s="7">
        <v>0</v>
      </c>
      <c r="E265" s="7">
        <v>0</v>
      </c>
      <c r="F265" s="7">
        <v>5</v>
      </c>
      <c r="G265" s="7">
        <v>3</v>
      </c>
      <c r="H265" s="8">
        <v>24</v>
      </c>
    </row>
    <row r="266" spans="2:8">
      <c r="B266" s="6">
        <v>40623</v>
      </c>
      <c r="C266" s="7">
        <v>39</v>
      </c>
      <c r="D266" s="7">
        <v>0</v>
      </c>
      <c r="E266" s="7">
        <v>0</v>
      </c>
      <c r="F266" s="7">
        <v>3</v>
      </c>
      <c r="G266" s="7">
        <v>2</v>
      </c>
      <c r="H266" s="8">
        <v>12</v>
      </c>
    </row>
    <row r="267" spans="2:8">
      <c r="B267" s="6">
        <v>40624</v>
      </c>
      <c r="C267" s="7">
        <v>39</v>
      </c>
      <c r="D267" s="7">
        <v>0</v>
      </c>
      <c r="E267" s="7">
        <v>0</v>
      </c>
      <c r="F267" s="7">
        <v>3</v>
      </c>
      <c r="G267" s="7">
        <v>3</v>
      </c>
      <c r="H267" s="8">
        <v>16</v>
      </c>
    </row>
    <row r="268" spans="2:8">
      <c r="B268" s="6">
        <v>40625</v>
      </c>
      <c r="C268" s="7">
        <v>37</v>
      </c>
      <c r="D268" s="7">
        <v>0</v>
      </c>
      <c r="E268" s="7">
        <v>0</v>
      </c>
      <c r="F268" s="7">
        <v>5</v>
      </c>
      <c r="G268" s="7">
        <v>4</v>
      </c>
      <c r="H268" s="8">
        <v>30</v>
      </c>
    </row>
    <row r="269" spans="2:8">
      <c r="B269" s="6">
        <v>40626</v>
      </c>
      <c r="C269" s="7">
        <v>36</v>
      </c>
      <c r="D269" s="7">
        <v>0</v>
      </c>
      <c r="E269" s="7">
        <v>0</v>
      </c>
      <c r="F269" s="7">
        <v>5</v>
      </c>
      <c r="G269" s="7">
        <v>3</v>
      </c>
      <c r="H269" s="8">
        <v>24</v>
      </c>
    </row>
    <row r="270" spans="2:8">
      <c r="B270" s="6">
        <v>40627</v>
      </c>
      <c r="C270" s="7">
        <v>35</v>
      </c>
      <c r="D270" s="7">
        <v>0</v>
      </c>
      <c r="E270" s="7">
        <v>0</v>
      </c>
      <c r="F270" s="7">
        <v>4</v>
      </c>
      <c r="G270" s="7">
        <v>5</v>
      </c>
      <c r="H270" s="8">
        <v>30</v>
      </c>
    </row>
    <row r="271" spans="2:8">
      <c r="B271" s="6">
        <v>40628</v>
      </c>
      <c r="C271" s="7">
        <v>40</v>
      </c>
      <c r="D271" s="7">
        <v>0</v>
      </c>
      <c r="E271" s="7">
        <v>0</v>
      </c>
      <c r="F271" s="7">
        <v>5</v>
      </c>
      <c r="G271" s="7">
        <v>5</v>
      </c>
      <c r="H271" s="8">
        <v>36</v>
      </c>
    </row>
    <row r="272" spans="2:8">
      <c r="B272" s="6">
        <v>40629</v>
      </c>
      <c r="C272" s="7">
        <v>35</v>
      </c>
      <c r="D272" s="7">
        <v>0</v>
      </c>
      <c r="E272" s="7">
        <v>0</v>
      </c>
      <c r="F272" s="7">
        <v>5</v>
      </c>
      <c r="G272" s="7">
        <v>4</v>
      </c>
      <c r="H272" s="8">
        <v>30</v>
      </c>
    </row>
    <row r="273" spans="2:8">
      <c r="B273" s="6">
        <v>40630</v>
      </c>
      <c r="C273" s="7">
        <v>49</v>
      </c>
      <c r="D273" s="7">
        <v>0</v>
      </c>
      <c r="E273" s="7">
        <v>0</v>
      </c>
      <c r="F273" s="7">
        <v>3</v>
      </c>
      <c r="G273" s="7">
        <v>2</v>
      </c>
      <c r="H273" s="8">
        <v>12</v>
      </c>
    </row>
    <row r="274" spans="2:8">
      <c r="B274" s="6">
        <v>40631</v>
      </c>
      <c r="C274" s="7">
        <v>37</v>
      </c>
      <c r="D274" s="7">
        <v>0</v>
      </c>
      <c r="E274" s="7">
        <v>0</v>
      </c>
      <c r="F274" s="7">
        <v>3</v>
      </c>
      <c r="G274" s="7">
        <v>2</v>
      </c>
      <c r="H274" s="8">
        <v>12</v>
      </c>
    </row>
    <row r="275" spans="2:8">
      <c r="B275" s="6">
        <v>40632</v>
      </c>
      <c r="C275" s="7">
        <v>38</v>
      </c>
      <c r="D275" s="7">
        <v>0</v>
      </c>
      <c r="E275" s="7">
        <v>0</v>
      </c>
      <c r="F275" s="7">
        <v>4</v>
      </c>
      <c r="G275" s="7">
        <v>3</v>
      </c>
      <c r="H275" s="8">
        <v>20</v>
      </c>
    </row>
    <row r="276" spans="2:8">
      <c r="B276" s="6">
        <v>40633</v>
      </c>
      <c r="C276" s="7">
        <v>34</v>
      </c>
      <c r="D276" s="7">
        <v>0</v>
      </c>
      <c r="E276" s="7">
        <v>0</v>
      </c>
      <c r="F276" s="7">
        <v>4</v>
      </c>
      <c r="G276" s="7">
        <v>4</v>
      </c>
      <c r="H276" s="8">
        <v>25</v>
      </c>
    </row>
    <row r="277" spans="2:8">
      <c r="B277" s="6">
        <v>40634</v>
      </c>
      <c r="C277" s="7">
        <v>48</v>
      </c>
      <c r="D277" s="7">
        <v>0</v>
      </c>
      <c r="E277" s="7">
        <v>0</v>
      </c>
      <c r="F277" s="7">
        <v>4</v>
      </c>
      <c r="G277" s="7">
        <v>2</v>
      </c>
      <c r="H277" s="8">
        <v>15</v>
      </c>
    </row>
    <row r="278" spans="2:8">
      <c r="B278" s="6">
        <v>40635</v>
      </c>
      <c r="C278" s="7">
        <v>29</v>
      </c>
      <c r="D278" s="7">
        <v>0</v>
      </c>
      <c r="E278" s="7">
        <v>0</v>
      </c>
      <c r="F278" s="7">
        <v>5</v>
      </c>
      <c r="G278" s="7">
        <v>4</v>
      </c>
      <c r="H278" s="8">
        <v>30</v>
      </c>
    </row>
    <row r="279" spans="2:8">
      <c r="B279" s="6">
        <v>40636</v>
      </c>
      <c r="C279" s="7">
        <v>28</v>
      </c>
      <c r="D279" s="7">
        <v>0</v>
      </c>
      <c r="E279" s="7">
        <v>0</v>
      </c>
      <c r="F279" s="7">
        <v>3</v>
      </c>
      <c r="G279" s="7">
        <v>3</v>
      </c>
      <c r="H279" s="8">
        <v>16</v>
      </c>
    </row>
    <row r="280" spans="2:8">
      <c r="B280" s="6">
        <v>40637</v>
      </c>
      <c r="C280" s="7">
        <v>23</v>
      </c>
      <c r="D280" s="7">
        <v>0</v>
      </c>
      <c r="E280" s="7">
        <v>0</v>
      </c>
      <c r="F280" s="7">
        <v>2</v>
      </c>
      <c r="G280" s="7">
        <v>1</v>
      </c>
      <c r="H280" s="8">
        <v>6</v>
      </c>
    </row>
    <row r="281" spans="2:8">
      <c r="B281" s="6">
        <v>40638</v>
      </c>
      <c r="C281" s="7">
        <v>25</v>
      </c>
      <c r="D281" s="7">
        <v>0</v>
      </c>
      <c r="E281" s="7">
        <v>0</v>
      </c>
      <c r="F281" s="7">
        <v>1</v>
      </c>
      <c r="G281" s="7">
        <v>1</v>
      </c>
      <c r="H281" s="8">
        <v>4</v>
      </c>
    </row>
    <row r="282" spans="2:8">
      <c r="B282" s="6">
        <v>40639</v>
      </c>
      <c r="C282" s="7">
        <v>31</v>
      </c>
      <c r="D282" s="7">
        <v>0</v>
      </c>
      <c r="E282" s="7">
        <v>0</v>
      </c>
      <c r="F282" s="7">
        <v>0</v>
      </c>
      <c r="G282" s="7">
        <v>0</v>
      </c>
      <c r="H282" s="8">
        <v>1</v>
      </c>
    </row>
    <row r="283" spans="2:8">
      <c r="B283" s="6">
        <v>40640</v>
      </c>
      <c r="C283" s="7">
        <v>28</v>
      </c>
      <c r="D283" s="7">
        <v>0</v>
      </c>
      <c r="E283" s="7">
        <v>0</v>
      </c>
      <c r="F283" s="7">
        <v>0</v>
      </c>
      <c r="G283" s="7">
        <v>0</v>
      </c>
      <c r="H283" s="8">
        <v>1</v>
      </c>
    </row>
    <row r="284" spans="2:8">
      <c r="B284" s="6">
        <v>40641</v>
      </c>
      <c r="C284" s="7">
        <v>37</v>
      </c>
      <c r="D284" s="7">
        <v>0</v>
      </c>
      <c r="E284" s="7">
        <v>0</v>
      </c>
      <c r="F284" s="7">
        <v>0</v>
      </c>
      <c r="G284" s="7">
        <v>0</v>
      </c>
      <c r="H284" s="8">
        <v>1</v>
      </c>
    </row>
    <row r="285" spans="2:8">
      <c r="B285" s="6">
        <v>40642</v>
      </c>
      <c r="C285" s="7">
        <v>39</v>
      </c>
      <c r="D285" s="7">
        <v>0</v>
      </c>
      <c r="E285" s="7">
        <v>0</v>
      </c>
      <c r="F285" s="7">
        <v>3</v>
      </c>
      <c r="G285" s="7">
        <v>2</v>
      </c>
      <c r="H285" s="8">
        <v>12</v>
      </c>
    </row>
    <row r="286" spans="2:8">
      <c r="B286" s="6">
        <v>40643</v>
      </c>
      <c r="C286" s="7">
        <v>29</v>
      </c>
      <c r="D286" s="7">
        <v>0</v>
      </c>
      <c r="E286" s="7">
        <v>0</v>
      </c>
      <c r="F286" s="7">
        <v>2</v>
      </c>
      <c r="G286" s="7">
        <v>1</v>
      </c>
      <c r="H286" s="8">
        <v>6</v>
      </c>
    </row>
    <row r="287" spans="2:8">
      <c r="B287" s="6">
        <v>40644</v>
      </c>
      <c r="C287" s="7">
        <v>14</v>
      </c>
      <c r="D287" s="7">
        <v>0</v>
      </c>
      <c r="E287" s="7">
        <v>0</v>
      </c>
      <c r="F287" s="7">
        <v>0</v>
      </c>
      <c r="G287" s="7">
        <v>0</v>
      </c>
      <c r="H287" s="8">
        <v>1</v>
      </c>
    </row>
    <row r="288" spans="2:8">
      <c r="B288" s="6">
        <v>40645</v>
      </c>
      <c r="C288" s="7">
        <v>13</v>
      </c>
      <c r="D288" s="7">
        <v>0</v>
      </c>
      <c r="E288" s="7">
        <v>0</v>
      </c>
      <c r="F288" s="7">
        <v>0</v>
      </c>
      <c r="G288" s="7">
        <v>0</v>
      </c>
      <c r="H288" s="8">
        <v>1</v>
      </c>
    </row>
    <row r="289" spans="2:8">
      <c r="B289" s="6">
        <v>40646</v>
      </c>
      <c r="C289" s="7">
        <v>10</v>
      </c>
      <c r="D289" s="7">
        <v>0</v>
      </c>
      <c r="E289" s="7">
        <v>0</v>
      </c>
      <c r="F289" s="7">
        <v>0</v>
      </c>
      <c r="G289" s="7">
        <v>0</v>
      </c>
      <c r="H289" s="8">
        <v>1</v>
      </c>
    </row>
    <row r="290" spans="2:8">
      <c r="B290" s="6">
        <v>40647</v>
      </c>
      <c r="C290" s="7">
        <v>16</v>
      </c>
      <c r="D290" s="7">
        <v>0</v>
      </c>
      <c r="E290" s="7">
        <v>0</v>
      </c>
      <c r="F290" s="7">
        <v>0</v>
      </c>
      <c r="G290" s="7">
        <v>0</v>
      </c>
      <c r="H290" s="8">
        <v>1</v>
      </c>
    </row>
    <row r="291" spans="2:8">
      <c r="B291" s="6">
        <v>40648</v>
      </c>
      <c r="C291" s="7">
        <v>32</v>
      </c>
      <c r="D291" s="7">
        <v>0</v>
      </c>
      <c r="E291" s="7">
        <v>0</v>
      </c>
      <c r="F291" s="7">
        <v>0</v>
      </c>
      <c r="G291" s="7">
        <v>0</v>
      </c>
      <c r="H291" s="8">
        <v>1</v>
      </c>
    </row>
    <row r="292" spans="2:8">
      <c r="B292" s="6">
        <v>40649</v>
      </c>
      <c r="C292" s="7">
        <v>25</v>
      </c>
      <c r="D292" s="7">
        <v>0</v>
      </c>
      <c r="E292" s="7">
        <v>0</v>
      </c>
      <c r="F292" s="7">
        <v>2</v>
      </c>
      <c r="G292" s="7">
        <v>2</v>
      </c>
      <c r="H292" s="8">
        <v>9</v>
      </c>
    </row>
    <row r="293" spans="2:8">
      <c r="B293" s="6">
        <v>40650</v>
      </c>
      <c r="C293" s="7">
        <v>24</v>
      </c>
      <c r="D293" s="7">
        <v>0</v>
      </c>
      <c r="E293" s="7">
        <v>0</v>
      </c>
      <c r="F293" s="7">
        <v>2</v>
      </c>
      <c r="G293" s="7">
        <v>1</v>
      </c>
      <c r="H293" s="8">
        <v>6</v>
      </c>
    </row>
    <row r="294" spans="2:8">
      <c r="B294" s="6">
        <v>40651</v>
      </c>
      <c r="C294" s="7">
        <v>16</v>
      </c>
      <c r="D294" s="7">
        <v>0</v>
      </c>
      <c r="E294" s="7">
        <v>0</v>
      </c>
      <c r="F294" s="7">
        <v>0</v>
      </c>
      <c r="G294" s="7">
        <v>0</v>
      </c>
      <c r="H294" s="8">
        <v>1</v>
      </c>
    </row>
    <row r="295" spans="2:8">
      <c r="B295" s="6">
        <v>40652</v>
      </c>
      <c r="C295" s="7">
        <v>16</v>
      </c>
      <c r="D295" s="7">
        <v>0</v>
      </c>
      <c r="E295" s="7">
        <v>0</v>
      </c>
      <c r="F295" s="7">
        <v>0</v>
      </c>
      <c r="G295" s="7">
        <v>0</v>
      </c>
      <c r="H295" s="8">
        <v>1</v>
      </c>
    </row>
    <row r="296" spans="2:8">
      <c r="B296" s="6">
        <v>40653</v>
      </c>
      <c r="C296" s="7">
        <v>11</v>
      </c>
      <c r="D296" s="7">
        <v>0</v>
      </c>
      <c r="E296" s="7">
        <v>0</v>
      </c>
      <c r="F296" s="7">
        <v>0</v>
      </c>
      <c r="G296" s="7">
        <v>0</v>
      </c>
      <c r="H296" s="8">
        <v>1</v>
      </c>
    </row>
    <row r="297" spans="2:8">
      <c r="B297" s="6">
        <v>40654</v>
      </c>
      <c r="C297" s="7">
        <v>7</v>
      </c>
      <c r="D297" s="7">
        <v>0</v>
      </c>
      <c r="E297" s="7">
        <v>0</v>
      </c>
      <c r="F297" s="7">
        <v>0</v>
      </c>
      <c r="G297" s="7">
        <v>0</v>
      </c>
      <c r="H297" s="8">
        <v>1</v>
      </c>
    </row>
    <row r="298" spans="2:8">
      <c r="B298" s="6">
        <v>40655</v>
      </c>
      <c r="C298" s="7">
        <v>25</v>
      </c>
      <c r="D298" s="7">
        <v>0</v>
      </c>
      <c r="E298" s="7">
        <v>0</v>
      </c>
      <c r="F298" s="7">
        <v>1</v>
      </c>
      <c r="G298" s="7">
        <v>1</v>
      </c>
      <c r="H298" s="8">
        <v>4</v>
      </c>
    </row>
    <row r="299" spans="2:8">
      <c r="B299" s="6">
        <v>40656</v>
      </c>
      <c r="C299" s="7">
        <v>26</v>
      </c>
      <c r="D299" s="7">
        <v>0</v>
      </c>
      <c r="E299" s="7">
        <v>0</v>
      </c>
      <c r="F299" s="7">
        <v>3</v>
      </c>
      <c r="G299" s="7">
        <v>2</v>
      </c>
      <c r="H299" s="8">
        <v>12</v>
      </c>
    </row>
    <row r="300" spans="2:8">
      <c r="B300" s="6">
        <v>40657</v>
      </c>
      <c r="C300" s="7">
        <v>24</v>
      </c>
      <c r="D300" s="7">
        <v>0</v>
      </c>
      <c r="E300" s="7">
        <v>0</v>
      </c>
      <c r="F300" s="7">
        <v>2</v>
      </c>
      <c r="G300" s="7">
        <v>1</v>
      </c>
      <c r="H300" s="8">
        <v>6</v>
      </c>
    </row>
    <row r="301" spans="2:8">
      <c r="B301" s="6">
        <v>40658</v>
      </c>
      <c r="C301" s="7">
        <v>19</v>
      </c>
      <c r="D301" s="7">
        <v>0</v>
      </c>
      <c r="E301" s="7">
        <v>0</v>
      </c>
      <c r="F301" s="7">
        <v>1</v>
      </c>
      <c r="G301" s="7">
        <v>1</v>
      </c>
      <c r="H301" s="8">
        <v>4</v>
      </c>
    </row>
    <row r="302" spans="2:8">
      <c r="B302" s="6">
        <v>40659</v>
      </c>
      <c r="C302" s="7">
        <v>29</v>
      </c>
      <c r="D302" s="7">
        <v>0</v>
      </c>
      <c r="E302" s="7">
        <v>0</v>
      </c>
      <c r="F302" s="7">
        <v>1</v>
      </c>
      <c r="G302" s="7">
        <v>1</v>
      </c>
      <c r="H302" s="8">
        <v>4</v>
      </c>
    </row>
    <row r="303" spans="2:8">
      <c r="B303" s="6">
        <v>40660</v>
      </c>
      <c r="C303" s="7">
        <v>20</v>
      </c>
      <c r="D303" s="7">
        <v>0</v>
      </c>
      <c r="E303" s="7">
        <v>0</v>
      </c>
      <c r="F303" s="7">
        <v>1</v>
      </c>
      <c r="G303" s="7">
        <v>1</v>
      </c>
      <c r="H303" s="8">
        <v>4</v>
      </c>
    </row>
    <row r="304" spans="2:8">
      <c r="B304" s="6">
        <v>40661</v>
      </c>
      <c r="C304" s="7">
        <v>23</v>
      </c>
      <c r="D304" s="7">
        <v>0</v>
      </c>
      <c r="E304" s="7">
        <v>0</v>
      </c>
      <c r="F304" s="7">
        <v>1</v>
      </c>
      <c r="G304" s="7">
        <v>1</v>
      </c>
      <c r="H304" s="8">
        <v>4</v>
      </c>
    </row>
    <row r="305" spans="2:8">
      <c r="B305" s="6">
        <v>40662</v>
      </c>
      <c r="C305" s="7">
        <v>22</v>
      </c>
      <c r="D305" s="7">
        <v>0</v>
      </c>
      <c r="E305" s="7">
        <v>0</v>
      </c>
      <c r="F305" s="7">
        <v>2</v>
      </c>
      <c r="G305" s="7">
        <v>1</v>
      </c>
      <c r="H305" s="8">
        <v>6</v>
      </c>
    </row>
    <row r="306" spans="2:8">
      <c r="B306" s="6">
        <v>40663</v>
      </c>
      <c r="C306" s="7">
        <v>21</v>
      </c>
      <c r="D306" s="7">
        <v>0</v>
      </c>
      <c r="E306" s="7">
        <v>0</v>
      </c>
      <c r="F306" s="7">
        <v>3</v>
      </c>
      <c r="G306" s="7">
        <v>3</v>
      </c>
      <c r="H306" s="8">
        <v>16</v>
      </c>
    </row>
    <row r="307" spans="2:8">
      <c r="B307" s="6">
        <v>40664</v>
      </c>
      <c r="C307" s="7">
        <v>19</v>
      </c>
      <c r="D307" s="7">
        <v>0</v>
      </c>
      <c r="E307" s="7">
        <v>0</v>
      </c>
      <c r="F307" s="7">
        <v>1</v>
      </c>
      <c r="G307" s="7">
        <v>1</v>
      </c>
      <c r="H307" s="8">
        <v>4</v>
      </c>
    </row>
    <row r="308" spans="2:8">
      <c r="B308" s="6">
        <v>40665</v>
      </c>
      <c r="C308" s="7">
        <v>21</v>
      </c>
      <c r="D308" s="7">
        <v>0</v>
      </c>
      <c r="E308" s="7">
        <v>0</v>
      </c>
      <c r="F308" s="7">
        <v>1</v>
      </c>
      <c r="G308" s="7">
        <v>0</v>
      </c>
      <c r="H308" s="8">
        <v>2</v>
      </c>
    </row>
    <row r="309" spans="2:8">
      <c r="B309" s="6">
        <v>40666</v>
      </c>
      <c r="C309" s="7">
        <v>15</v>
      </c>
      <c r="D309" s="7">
        <v>0</v>
      </c>
      <c r="E309" s="7">
        <v>0</v>
      </c>
      <c r="F309" s="7">
        <v>2</v>
      </c>
      <c r="G309" s="7">
        <v>1</v>
      </c>
      <c r="H309" s="8">
        <v>6</v>
      </c>
    </row>
    <row r="310" spans="2:8">
      <c r="B310" s="6">
        <v>40667</v>
      </c>
      <c r="C310" s="7">
        <v>18</v>
      </c>
      <c r="D310" s="7">
        <v>0</v>
      </c>
      <c r="E310" s="7">
        <v>0</v>
      </c>
      <c r="F310" s="7">
        <v>1</v>
      </c>
      <c r="G310" s="7">
        <v>0</v>
      </c>
      <c r="H310" s="8">
        <v>2</v>
      </c>
    </row>
    <row r="311" spans="2:8">
      <c r="B311" s="6">
        <v>40668</v>
      </c>
      <c r="C311" s="7">
        <v>15</v>
      </c>
      <c r="D311" s="7">
        <v>0</v>
      </c>
      <c r="E311" s="7">
        <v>0</v>
      </c>
      <c r="F311" s="7">
        <v>1</v>
      </c>
      <c r="G311" s="7">
        <v>0</v>
      </c>
      <c r="H311" s="8">
        <v>2</v>
      </c>
    </row>
    <row r="312" spans="2:8">
      <c r="B312" s="6">
        <v>40669</v>
      </c>
      <c r="C312" s="7">
        <v>18</v>
      </c>
      <c r="D312" s="7">
        <v>0</v>
      </c>
      <c r="E312" s="7">
        <v>0</v>
      </c>
      <c r="F312" s="7">
        <v>0</v>
      </c>
      <c r="G312" s="7">
        <v>0</v>
      </c>
      <c r="H312" s="8">
        <v>1</v>
      </c>
    </row>
    <row r="313" spans="2:8">
      <c r="B313" s="6">
        <v>40670</v>
      </c>
      <c r="C313" s="7">
        <v>14</v>
      </c>
      <c r="D313" s="7">
        <v>0</v>
      </c>
      <c r="E313" s="7">
        <v>0</v>
      </c>
      <c r="F313" s="7">
        <v>1</v>
      </c>
      <c r="G313" s="7">
        <v>0</v>
      </c>
      <c r="H313" s="8">
        <v>2</v>
      </c>
    </row>
    <row r="314" spans="2:8">
      <c r="B314" s="6">
        <v>40671</v>
      </c>
      <c r="C314" s="7">
        <v>6</v>
      </c>
      <c r="D314" s="7">
        <v>0</v>
      </c>
      <c r="E314" s="7">
        <v>0</v>
      </c>
      <c r="F314" s="7">
        <v>0</v>
      </c>
      <c r="G314" s="7">
        <v>0</v>
      </c>
      <c r="H314" s="8">
        <v>1</v>
      </c>
    </row>
    <row r="315" spans="2:8">
      <c r="B315" s="6">
        <v>40672</v>
      </c>
      <c r="C315" s="7">
        <v>11</v>
      </c>
      <c r="D315" s="7">
        <v>0</v>
      </c>
      <c r="E315" s="7">
        <v>0</v>
      </c>
      <c r="F315" s="7">
        <v>0</v>
      </c>
      <c r="G315" s="7">
        <v>0</v>
      </c>
      <c r="H315" s="8">
        <v>1</v>
      </c>
    </row>
    <row r="316" spans="2:8">
      <c r="B316" s="6">
        <v>40673</v>
      </c>
      <c r="C316" s="7">
        <v>7</v>
      </c>
      <c r="D316" s="7">
        <v>0</v>
      </c>
      <c r="E316" s="7">
        <v>0</v>
      </c>
      <c r="F316" s="7">
        <v>0</v>
      </c>
      <c r="G316" s="7">
        <v>0</v>
      </c>
      <c r="H316" s="8">
        <v>1</v>
      </c>
    </row>
    <row r="317" spans="2:8">
      <c r="B317" s="6">
        <v>40674</v>
      </c>
      <c r="C317" s="7">
        <v>6</v>
      </c>
      <c r="D317" s="7">
        <v>0</v>
      </c>
      <c r="E317" s="7">
        <v>0</v>
      </c>
      <c r="F317" s="7">
        <v>0</v>
      </c>
      <c r="G317" s="7">
        <v>0</v>
      </c>
      <c r="H317" s="8">
        <v>1</v>
      </c>
    </row>
    <row r="318" spans="2:8">
      <c r="B318" s="6">
        <v>40675</v>
      </c>
      <c r="C318" s="7">
        <v>11</v>
      </c>
      <c r="D318" s="7">
        <v>0</v>
      </c>
      <c r="E318" s="7">
        <v>0</v>
      </c>
      <c r="F318" s="7">
        <v>0</v>
      </c>
      <c r="G318" s="7">
        <v>0</v>
      </c>
      <c r="H318" s="8">
        <v>1</v>
      </c>
    </row>
    <row r="319" spans="2:8">
      <c r="B319" s="6">
        <v>40676</v>
      </c>
      <c r="C319" s="7">
        <v>5</v>
      </c>
      <c r="D319" s="7">
        <v>0</v>
      </c>
      <c r="E319" s="7">
        <v>0</v>
      </c>
      <c r="F319" s="7">
        <v>0</v>
      </c>
      <c r="G319" s="7">
        <v>0</v>
      </c>
      <c r="H319" s="8">
        <v>1</v>
      </c>
    </row>
    <row r="320" spans="2:8">
      <c r="B320" s="6">
        <v>40677</v>
      </c>
      <c r="C320" s="7">
        <v>21</v>
      </c>
      <c r="D320" s="7">
        <v>0</v>
      </c>
      <c r="E320" s="7">
        <v>0</v>
      </c>
      <c r="F320" s="7">
        <v>1</v>
      </c>
      <c r="G320" s="7">
        <v>1</v>
      </c>
      <c r="H320" s="8">
        <v>4</v>
      </c>
    </row>
    <row r="321" spans="2:8">
      <c r="B321" s="6">
        <v>40678</v>
      </c>
      <c r="C321" s="7">
        <v>20</v>
      </c>
      <c r="D321" s="7">
        <v>0</v>
      </c>
      <c r="E321" s="7">
        <v>0</v>
      </c>
      <c r="F321" s="7">
        <v>1</v>
      </c>
      <c r="G321" s="7">
        <v>0</v>
      </c>
      <c r="H321" s="8">
        <v>2</v>
      </c>
    </row>
    <row r="322" spans="2:8">
      <c r="B322" s="6">
        <v>40679</v>
      </c>
      <c r="C322" s="7">
        <v>17</v>
      </c>
      <c r="D322" s="7">
        <v>0</v>
      </c>
      <c r="E322" s="7">
        <v>0</v>
      </c>
      <c r="F322" s="7">
        <v>0</v>
      </c>
      <c r="G322" s="7">
        <v>0</v>
      </c>
      <c r="H322" s="8">
        <v>1</v>
      </c>
    </row>
    <row r="323" spans="2:8">
      <c r="B323" s="6">
        <v>40680</v>
      </c>
      <c r="C323" s="7">
        <v>7</v>
      </c>
      <c r="D323" s="7">
        <v>0</v>
      </c>
      <c r="E323" s="7">
        <v>0</v>
      </c>
      <c r="F323" s="7">
        <v>0</v>
      </c>
      <c r="G323" s="7">
        <v>0</v>
      </c>
      <c r="H323" s="8">
        <v>1</v>
      </c>
    </row>
    <row r="324" spans="2:8">
      <c r="B324" s="6">
        <v>40681</v>
      </c>
      <c r="C324" s="7">
        <v>11</v>
      </c>
      <c r="D324" s="7">
        <v>0</v>
      </c>
      <c r="E324" s="7">
        <v>0</v>
      </c>
      <c r="F324" s="7">
        <v>0</v>
      </c>
      <c r="G324" s="7">
        <v>0</v>
      </c>
      <c r="H324" s="8">
        <v>1</v>
      </c>
    </row>
    <row r="325" spans="2:8">
      <c r="B325" s="6">
        <v>40682</v>
      </c>
      <c r="C325" s="7">
        <v>10</v>
      </c>
      <c r="D325" s="7">
        <v>0</v>
      </c>
      <c r="E325" s="7">
        <v>0</v>
      </c>
      <c r="F325" s="7">
        <v>0</v>
      </c>
      <c r="G325" s="7">
        <v>0</v>
      </c>
      <c r="H325" s="8">
        <v>1</v>
      </c>
    </row>
    <row r="326" spans="2:8">
      <c r="B326" s="6">
        <v>40683</v>
      </c>
      <c r="C326" s="7">
        <v>16</v>
      </c>
      <c r="D326" s="7">
        <v>0</v>
      </c>
      <c r="E326" s="7">
        <v>0</v>
      </c>
      <c r="F326" s="7">
        <v>1</v>
      </c>
      <c r="G326" s="7">
        <v>0</v>
      </c>
      <c r="H326" s="8">
        <v>2</v>
      </c>
    </row>
    <row r="327" spans="2:8">
      <c r="B327" s="6">
        <v>40684</v>
      </c>
      <c r="C327" s="7">
        <v>22</v>
      </c>
      <c r="D327" s="7">
        <v>0</v>
      </c>
      <c r="E327" s="7">
        <v>0</v>
      </c>
      <c r="F327" s="7">
        <v>1</v>
      </c>
      <c r="G327" s="7">
        <v>1</v>
      </c>
      <c r="H327" s="8">
        <v>4</v>
      </c>
    </row>
    <row r="328" spans="2:8">
      <c r="B328" s="6">
        <v>40685</v>
      </c>
      <c r="C328" s="7">
        <v>21</v>
      </c>
      <c r="D328" s="7">
        <v>0</v>
      </c>
      <c r="E328" s="7">
        <v>0</v>
      </c>
      <c r="F328" s="7">
        <v>1</v>
      </c>
      <c r="G328" s="7">
        <v>1</v>
      </c>
      <c r="H328" s="8">
        <v>4</v>
      </c>
    </row>
    <row r="329" spans="2:8">
      <c r="B329" s="6">
        <v>40686</v>
      </c>
      <c r="C329" s="7">
        <v>13</v>
      </c>
      <c r="D329" s="7">
        <v>0</v>
      </c>
      <c r="E329" s="7">
        <v>0</v>
      </c>
      <c r="F329" s="7">
        <v>0</v>
      </c>
      <c r="G329" s="7">
        <v>0</v>
      </c>
      <c r="H329" s="8">
        <v>1</v>
      </c>
    </row>
    <row r="330" spans="2:8">
      <c r="B330" s="6">
        <v>40687</v>
      </c>
      <c r="C330" s="7">
        <v>10</v>
      </c>
      <c r="D330" s="7">
        <v>0</v>
      </c>
      <c r="E330" s="7">
        <v>0</v>
      </c>
      <c r="F330" s="7">
        <v>0</v>
      </c>
      <c r="G330" s="7">
        <v>0</v>
      </c>
      <c r="H330" s="8">
        <v>1</v>
      </c>
    </row>
    <row r="331" spans="2:8">
      <c r="B331" s="6">
        <v>40688</v>
      </c>
      <c r="C331" s="7">
        <v>14</v>
      </c>
      <c r="D331" s="7">
        <v>0</v>
      </c>
      <c r="E331" s="7">
        <v>0</v>
      </c>
      <c r="F331" s="7">
        <v>0</v>
      </c>
      <c r="G331" s="7">
        <v>0</v>
      </c>
      <c r="H331" s="8">
        <v>1</v>
      </c>
    </row>
    <row r="332" spans="2:8">
      <c r="B332" s="6">
        <v>40689</v>
      </c>
      <c r="C332" s="7">
        <v>18</v>
      </c>
      <c r="D332" s="7">
        <v>0</v>
      </c>
      <c r="E332" s="7">
        <v>0</v>
      </c>
      <c r="F332" s="7">
        <v>0</v>
      </c>
      <c r="G332" s="7">
        <v>0</v>
      </c>
      <c r="H332" s="8">
        <v>1</v>
      </c>
    </row>
    <row r="333" spans="2:8">
      <c r="B333" s="6">
        <v>40690</v>
      </c>
      <c r="C333" s="7">
        <v>17</v>
      </c>
      <c r="D333" s="7">
        <v>0</v>
      </c>
      <c r="E333" s="7">
        <v>0</v>
      </c>
      <c r="F333" s="7">
        <v>1</v>
      </c>
      <c r="G333" s="7">
        <v>1</v>
      </c>
      <c r="H333" s="8">
        <v>4</v>
      </c>
    </row>
    <row r="334" spans="2:8">
      <c r="B334" s="6">
        <v>40691</v>
      </c>
      <c r="C334" s="7">
        <v>31</v>
      </c>
      <c r="D334" s="7">
        <v>0</v>
      </c>
      <c r="E334" s="7">
        <v>0</v>
      </c>
      <c r="F334" s="7">
        <v>2</v>
      </c>
      <c r="G334" s="7">
        <v>1</v>
      </c>
      <c r="H334" s="8">
        <v>6</v>
      </c>
    </row>
    <row r="335" spans="2:8">
      <c r="B335" s="6">
        <v>40692</v>
      </c>
      <c r="C335" s="7">
        <v>24</v>
      </c>
      <c r="D335" s="7">
        <v>0</v>
      </c>
      <c r="E335" s="7">
        <v>0</v>
      </c>
      <c r="F335" s="7">
        <v>1</v>
      </c>
      <c r="G335" s="7">
        <v>1</v>
      </c>
      <c r="H335" s="8">
        <v>4</v>
      </c>
    </row>
    <row r="336" spans="2:8">
      <c r="B336" s="6">
        <v>40693</v>
      </c>
      <c r="C336" s="7">
        <v>24</v>
      </c>
      <c r="D336" s="7">
        <v>0</v>
      </c>
      <c r="E336" s="7">
        <v>0</v>
      </c>
      <c r="F336" s="7">
        <v>1</v>
      </c>
      <c r="G336" s="7">
        <v>0</v>
      </c>
      <c r="H336" s="8">
        <v>2</v>
      </c>
    </row>
    <row r="337" spans="2:8">
      <c r="B337" s="6">
        <v>40694</v>
      </c>
      <c r="C337" s="7">
        <v>25</v>
      </c>
      <c r="D337" s="7">
        <v>0</v>
      </c>
      <c r="E337" s="7">
        <v>0</v>
      </c>
      <c r="F337" s="7">
        <v>1</v>
      </c>
      <c r="G337" s="7">
        <v>0</v>
      </c>
      <c r="H337" s="8">
        <v>2</v>
      </c>
    </row>
    <row r="338" spans="2:8">
      <c r="B338" s="6">
        <v>40695</v>
      </c>
      <c r="C338" s="7">
        <v>14</v>
      </c>
      <c r="D338" s="7">
        <v>0</v>
      </c>
      <c r="E338" s="7">
        <v>0</v>
      </c>
      <c r="F338" s="7">
        <v>1</v>
      </c>
      <c r="G338" s="7">
        <v>0</v>
      </c>
      <c r="H338" s="8">
        <v>2</v>
      </c>
    </row>
    <row r="339" spans="2:8">
      <c r="B339" s="6">
        <v>40696</v>
      </c>
      <c r="C339" s="7">
        <v>15</v>
      </c>
      <c r="D339" s="7">
        <v>0</v>
      </c>
      <c r="E339" s="7">
        <v>0</v>
      </c>
      <c r="F339" s="7">
        <v>1</v>
      </c>
      <c r="G339" s="7">
        <v>0</v>
      </c>
      <c r="H339" s="8">
        <v>2</v>
      </c>
    </row>
    <row r="340" spans="2:8">
      <c r="B340" s="6">
        <v>40697</v>
      </c>
      <c r="C340" s="7">
        <v>13</v>
      </c>
      <c r="D340" s="7">
        <v>0</v>
      </c>
      <c r="E340" s="7">
        <v>0</v>
      </c>
      <c r="F340" s="7">
        <v>1</v>
      </c>
      <c r="G340" s="7">
        <v>0</v>
      </c>
      <c r="H340" s="8">
        <v>2</v>
      </c>
    </row>
    <row r="341" spans="2:8">
      <c r="B341" s="6">
        <v>40698</v>
      </c>
      <c r="C341" s="7">
        <v>25</v>
      </c>
      <c r="D341" s="7">
        <v>0</v>
      </c>
      <c r="E341" s="7">
        <v>0</v>
      </c>
      <c r="F341" s="7">
        <v>1</v>
      </c>
      <c r="G341" s="7">
        <v>1</v>
      </c>
      <c r="H341" s="8">
        <v>4</v>
      </c>
    </row>
    <row r="342" spans="2:8">
      <c r="B342" s="6">
        <v>40699</v>
      </c>
      <c r="C342" s="7">
        <v>23</v>
      </c>
      <c r="D342" s="7">
        <v>0</v>
      </c>
      <c r="E342" s="7">
        <v>0</v>
      </c>
      <c r="F342" s="7">
        <v>1</v>
      </c>
      <c r="G342" s="7">
        <v>0</v>
      </c>
      <c r="H342" s="8">
        <v>2</v>
      </c>
    </row>
    <row r="343" spans="2:8">
      <c r="B343" s="6">
        <v>40700</v>
      </c>
      <c r="C343" s="7">
        <v>7</v>
      </c>
      <c r="D343" s="7">
        <v>0</v>
      </c>
      <c r="E343" s="7">
        <v>0</v>
      </c>
      <c r="F343" s="7">
        <v>0</v>
      </c>
      <c r="G343" s="7">
        <v>0</v>
      </c>
      <c r="H343" s="8">
        <v>1</v>
      </c>
    </row>
    <row r="344" spans="2:8">
      <c r="B344" s="6">
        <v>40701</v>
      </c>
      <c r="C344" s="7">
        <v>4</v>
      </c>
      <c r="D344" s="7">
        <v>0</v>
      </c>
      <c r="E344" s="7">
        <v>0</v>
      </c>
      <c r="F344" s="7">
        <v>0</v>
      </c>
      <c r="G344" s="7">
        <v>0</v>
      </c>
      <c r="H344" s="8">
        <v>1</v>
      </c>
    </row>
    <row r="345" spans="2:8">
      <c r="B345" s="6">
        <v>40702</v>
      </c>
      <c r="C345" s="7">
        <v>13</v>
      </c>
      <c r="D345" s="7">
        <v>0</v>
      </c>
      <c r="E345" s="7">
        <v>0</v>
      </c>
      <c r="F345" s="7">
        <v>0</v>
      </c>
      <c r="G345" s="7">
        <v>0</v>
      </c>
      <c r="H345" s="8">
        <v>1</v>
      </c>
    </row>
    <row r="346" spans="2:8">
      <c r="B346" s="6">
        <v>40703</v>
      </c>
      <c r="C346" s="7">
        <v>14</v>
      </c>
      <c r="D346" s="7">
        <v>0</v>
      </c>
      <c r="E346" s="7">
        <v>0</v>
      </c>
      <c r="F346" s="7">
        <v>0</v>
      </c>
      <c r="G346" s="7">
        <v>0</v>
      </c>
      <c r="H346" s="8">
        <v>1</v>
      </c>
    </row>
    <row r="347" spans="2:8">
      <c r="B347" s="6">
        <v>40704</v>
      </c>
      <c r="C347" s="7">
        <v>18</v>
      </c>
      <c r="D347" s="7">
        <v>0</v>
      </c>
      <c r="E347" s="7">
        <v>0</v>
      </c>
      <c r="F347" s="7">
        <v>0</v>
      </c>
      <c r="G347" s="7">
        <v>0</v>
      </c>
      <c r="H347" s="8">
        <v>1</v>
      </c>
    </row>
    <row r="348" spans="2:8">
      <c r="B348" s="6">
        <v>40705</v>
      </c>
      <c r="C348" s="7">
        <v>20</v>
      </c>
      <c r="D348" s="7">
        <v>0</v>
      </c>
      <c r="E348" s="7">
        <v>0</v>
      </c>
      <c r="F348" s="7">
        <v>1</v>
      </c>
      <c r="G348" s="7">
        <v>1</v>
      </c>
      <c r="H348" s="8">
        <v>4</v>
      </c>
    </row>
    <row r="349" spans="2:8">
      <c r="B349" s="6">
        <v>40706</v>
      </c>
      <c r="C349" s="7">
        <v>11</v>
      </c>
      <c r="D349" s="7">
        <v>0</v>
      </c>
      <c r="E349" s="7">
        <v>0</v>
      </c>
      <c r="F349" s="7">
        <v>1</v>
      </c>
      <c r="G349" s="7">
        <v>0</v>
      </c>
      <c r="H349" s="8">
        <v>2</v>
      </c>
    </row>
    <row r="350" spans="2:8">
      <c r="B350" s="6">
        <v>40707</v>
      </c>
      <c r="C350" s="7">
        <v>8</v>
      </c>
      <c r="D350" s="7">
        <v>0</v>
      </c>
      <c r="E350" s="7">
        <v>0</v>
      </c>
      <c r="F350" s="7">
        <v>0</v>
      </c>
      <c r="G350" s="7">
        <v>0</v>
      </c>
      <c r="H350" s="8">
        <v>1</v>
      </c>
    </row>
    <row r="351" spans="2:8">
      <c r="B351" s="6">
        <v>40708</v>
      </c>
      <c r="C351" s="7">
        <v>9</v>
      </c>
      <c r="D351" s="7">
        <v>0</v>
      </c>
      <c r="E351" s="7">
        <v>0</v>
      </c>
      <c r="F351" s="7">
        <v>0</v>
      </c>
      <c r="G351" s="7">
        <v>0</v>
      </c>
      <c r="H351" s="8">
        <v>1</v>
      </c>
    </row>
    <row r="352" spans="2:8">
      <c r="B352" s="6">
        <v>40709</v>
      </c>
      <c r="C352" s="7">
        <v>11</v>
      </c>
      <c r="D352" s="7">
        <v>0</v>
      </c>
      <c r="E352" s="7">
        <v>0</v>
      </c>
      <c r="F352" s="7">
        <v>0</v>
      </c>
      <c r="G352" s="7">
        <v>0</v>
      </c>
      <c r="H352" s="8">
        <v>1</v>
      </c>
    </row>
    <row r="353" spans="2:8">
      <c r="B353" s="6">
        <v>40710</v>
      </c>
      <c r="C353" s="7">
        <v>15</v>
      </c>
      <c r="D353" s="7">
        <v>0</v>
      </c>
      <c r="E353" s="7">
        <v>0</v>
      </c>
      <c r="F353" s="7">
        <v>0</v>
      </c>
      <c r="G353" s="7">
        <v>0</v>
      </c>
      <c r="H353" s="8">
        <v>1</v>
      </c>
    </row>
    <row r="354" spans="2:8">
      <c r="B354" s="6">
        <v>40711</v>
      </c>
      <c r="C354" s="7">
        <v>13</v>
      </c>
      <c r="D354" s="7">
        <v>0</v>
      </c>
      <c r="E354" s="7">
        <v>0</v>
      </c>
      <c r="F354" s="7">
        <v>0</v>
      </c>
      <c r="G354" s="7">
        <v>0</v>
      </c>
      <c r="H354" s="8">
        <v>1</v>
      </c>
    </row>
    <row r="355" spans="2:8">
      <c r="B355" s="6">
        <v>40712</v>
      </c>
      <c r="C355" s="7">
        <v>20</v>
      </c>
      <c r="D355" s="7">
        <v>0</v>
      </c>
      <c r="E355" s="7">
        <v>0</v>
      </c>
      <c r="F355" s="7">
        <v>1</v>
      </c>
      <c r="G355" s="7">
        <v>1</v>
      </c>
      <c r="H355" s="8">
        <v>4</v>
      </c>
    </row>
    <row r="356" spans="2:8">
      <c r="B356" s="6">
        <v>40713</v>
      </c>
      <c r="C356" s="7">
        <v>16</v>
      </c>
      <c r="D356" s="7">
        <v>0</v>
      </c>
      <c r="E356" s="7">
        <v>0</v>
      </c>
      <c r="F356" s="7">
        <v>1</v>
      </c>
      <c r="G356" s="7">
        <v>1</v>
      </c>
      <c r="H356" s="8">
        <v>4</v>
      </c>
    </row>
    <row r="357" spans="2:8">
      <c r="B357" s="6">
        <v>40714</v>
      </c>
      <c r="C357" s="7">
        <v>18</v>
      </c>
      <c r="D357" s="7">
        <v>0</v>
      </c>
      <c r="E357" s="7">
        <v>0</v>
      </c>
      <c r="F357" s="7">
        <v>0</v>
      </c>
      <c r="G357" s="7">
        <v>0</v>
      </c>
      <c r="H357" s="8">
        <v>1</v>
      </c>
    </row>
    <row r="358" spans="2:8">
      <c r="B358" s="6">
        <v>40715</v>
      </c>
      <c r="C358" s="7">
        <v>11</v>
      </c>
      <c r="D358" s="7">
        <v>0</v>
      </c>
      <c r="E358" s="7">
        <v>0</v>
      </c>
      <c r="F358" s="7">
        <v>0</v>
      </c>
      <c r="G358" s="7">
        <v>0</v>
      </c>
      <c r="H358" s="8">
        <v>1</v>
      </c>
    </row>
    <row r="359" spans="2:8">
      <c r="B359" s="6">
        <v>40716</v>
      </c>
      <c r="C359" s="7">
        <v>7</v>
      </c>
      <c r="D359" s="7">
        <v>0</v>
      </c>
      <c r="E359" s="7">
        <v>0</v>
      </c>
      <c r="F359" s="7">
        <v>0</v>
      </c>
      <c r="G359" s="7">
        <v>0</v>
      </c>
      <c r="H359" s="8">
        <v>1</v>
      </c>
    </row>
    <row r="360" spans="2:8">
      <c r="B360" s="6">
        <v>40717</v>
      </c>
      <c r="C360" s="7">
        <v>12</v>
      </c>
      <c r="D360" s="7">
        <v>0</v>
      </c>
      <c r="E360" s="7">
        <v>0</v>
      </c>
      <c r="F360" s="7">
        <v>0</v>
      </c>
      <c r="G360" s="7">
        <v>0</v>
      </c>
      <c r="H360" s="8">
        <v>1</v>
      </c>
    </row>
    <row r="361" spans="2:8">
      <c r="B361" s="6">
        <v>40718</v>
      </c>
      <c r="C361" s="7">
        <v>20</v>
      </c>
      <c r="D361" s="7">
        <v>0</v>
      </c>
      <c r="E361" s="7">
        <v>0</v>
      </c>
      <c r="F361" s="7">
        <v>1</v>
      </c>
      <c r="G361" s="7">
        <v>0</v>
      </c>
      <c r="H361" s="8">
        <v>2</v>
      </c>
    </row>
    <row r="362" spans="2:8">
      <c r="B362" s="6">
        <v>40719</v>
      </c>
      <c r="C362" s="7">
        <v>23</v>
      </c>
      <c r="D362" s="7">
        <v>0</v>
      </c>
      <c r="E362" s="7">
        <v>0</v>
      </c>
      <c r="F362" s="7">
        <v>2</v>
      </c>
      <c r="G362" s="7">
        <v>1</v>
      </c>
      <c r="H362" s="8">
        <v>6</v>
      </c>
    </row>
    <row r="363" spans="2:8">
      <c r="B363" s="6">
        <v>40720</v>
      </c>
      <c r="C363" s="7">
        <v>23</v>
      </c>
      <c r="D363" s="7">
        <v>0</v>
      </c>
      <c r="E363" s="7">
        <v>0</v>
      </c>
      <c r="F363" s="7">
        <v>2</v>
      </c>
      <c r="G363" s="7">
        <v>1</v>
      </c>
      <c r="H363" s="8">
        <v>6</v>
      </c>
    </row>
    <row r="364" spans="2:8">
      <c r="B364" s="6">
        <v>40721</v>
      </c>
      <c r="C364" s="7">
        <v>18</v>
      </c>
      <c r="D364" s="7">
        <v>0</v>
      </c>
      <c r="E364" s="7">
        <v>0</v>
      </c>
      <c r="F364" s="7">
        <v>1</v>
      </c>
      <c r="G364" s="7">
        <v>0</v>
      </c>
      <c r="H364" s="8">
        <v>2</v>
      </c>
    </row>
    <row r="365" spans="2:8">
      <c r="B365" s="6">
        <v>40722</v>
      </c>
      <c r="C365" s="7">
        <v>21</v>
      </c>
      <c r="D365" s="7">
        <v>0</v>
      </c>
      <c r="E365" s="7">
        <v>0</v>
      </c>
      <c r="F365" s="7">
        <v>0</v>
      </c>
      <c r="G365" s="7">
        <v>0</v>
      </c>
      <c r="H365" s="8">
        <v>1</v>
      </c>
    </row>
    <row r="366" spans="2:8">
      <c r="B366" s="6">
        <v>40723</v>
      </c>
      <c r="C366" s="7">
        <v>25</v>
      </c>
      <c r="D366" s="7">
        <v>0</v>
      </c>
      <c r="E366" s="7">
        <v>0</v>
      </c>
      <c r="F366" s="7">
        <v>1</v>
      </c>
      <c r="G366" s="7">
        <v>0</v>
      </c>
      <c r="H366" s="8">
        <v>2</v>
      </c>
    </row>
    <row r="367" spans="2:8">
      <c r="B367" s="6">
        <v>40724</v>
      </c>
      <c r="C367" s="7">
        <v>24</v>
      </c>
      <c r="D367" s="7">
        <v>0</v>
      </c>
      <c r="E367" s="7">
        <v>0</v>
      </c>
      <c r="F367" s="7">
        <v>1</v>
      </c>
      <c r="G367" s="7">
        <v>2</v>
      </c>
      <c r="H367" s="8">
        <v>6</v>
      </c>
    </row>
    <row r="368" spans="2:8">
      <c r="B368" s="6">
        <v>40725</v>
      </c>
      <c r="C368" s="7">
        <v>16</v>
      </c>
      <c r="D368" s="7">
        <v>0</v>
      </c>
      <c r="E368" s="7">
        <v>0</v>
      </c>
      <c r="F368" s="7">
        <v>-1</v>
      </c>
      <c r="G368" s="7">
        <v>-1</v>
      </c>
      <c r="H368" s="8">
        <v>0</v>
      </c>
    </row>
    <row r="369" spans="2:8">
      <c r="B369" s="6">
        <v>40726</v>
      </c>
      <c r="C369" s="7">
        <v>25</v>
      </c>
      <c r="D369" s="7">
        <v>0</v>
      </c>
      <c r="E369" s="7">
        <v>0</v>
      </c>
      <c r="F369" s="7">
        <v>2</v>
      </c>
      <c r="G369" s="7">
        <v>1</v>
      </c>
      <c r="H369" s="8">
        <v>6</v>
      </c>
    </row>
    <row r="370" spans="2:8">
      <c r="B370" s="6">
        <v>40727</v>
      </c>
      <c r="C370" s="7">
        <v>17</v>
      </c>
      <c r="D370" s="7">
        <v>0</v>
      </c>
      <c r="E370" s="7">
        <v>0</v>
      </c>
      <c r="F370" s="7">
        <v>1</v>
      </c>
      <c r="G370" s="7">
        <v>1</v>
      </c>
      <c r="H370" s="8">
        <v>4</v>
      </c>
    </row>
    <row r="371" spans="2:8">
      <c r="B371" s="6">
        <v>40728</v>
      </c>
      <c r="C371" s="7">
        <v>11</v>
      </c>
      <c r="D371" s="7">
        <v>0</v>
      </c>
      <c r="E371" s="7">
        <v>0</v>
      </c>
      <c r="F371" s="7">
        <v>0</v>
      </c>
      <c r="G371" s="7">
        <v>0</v>
      </c>
      <c r="H371" s="8">
        <v>1</v>
      </c>
    </row>
    <row r="372" spans="2:8">
      <c r="B372" s="6">
        <v>40729</v>
      </c>
      <c r="C372" s="7">
        <v>8</v>
      </c>
      <c r="D372" s="7">
        <v>0</v>
      </c>
      <c r="E372" s="7">
        <v>0</v>
      </c>
      <c r="F372" s="7">
        <v>0</v>
      </c>
      <c r="G372" s="7">
        <v>0</v>
      </c>
      <c r="H372" s="8">
        <v>1</v>
      </c>
    </row>
    <row r="373" spans="2:8">
      <c r="B373" s="6">
        <v>40730</v>
      </c>
      <c r="C373" s="7">
        <v>11</v>
      </c>
      <c r="D373" s="7">
        <v>0</v>
      </c>
      <c r="E373" s="7">
        <v>0</v>
      </c>
      <c r="F373" s="7">
        <v>0</v>
      </c>
      <c r="G373" s="7">
        <v>0</v>
      </c>
      <c r="H373" s="8">
        <v>1</v>
      </c>
    </row>
    <row r="374" spans="2:8">
      <c r="B374" s="6">
        <v>40731</v>
      </c>
      <c r="C374" s="7">
        <v>10</v>
      </c>
      <c r="D374" s="7">
        <v>0</v>
      </c>
      <c r="E374" s="7">
        <v>0</v>
      </c>
      <c r="F374" s="7">
        <v>0</v>
      </c>
      <c r="G374" s="7">
        <v>0</v>
      </c>
      <c r="H374" s="8">
        <v>1</v>
      </c>
    </row>
    <row r="375" spans="2:8">
      <c r="B375" s="6">
        <v>40732</v>
      </c>
      <c r="C375" s="7">
        <v>16</v>
      </c>
      <c r="D375" s="7">
        <v>0</v>
      </c>
      <c r="E375" s="7">
        <v>0</v>
      </c>
      <c r="F375" s="7">
        <v>0</v>
      </c>
      <c r="G375" s="7">
        <v>0</v>
      </c>
      <c r="H375" s="8">
        <v>1</v>
      </c>
    </row>
    <row r="376" spans="2:8">
      <c r="B376" s="6">
        <v>40733</v>
      </c>
      <c r="C376" s="7">
        <v>19</v>
      </c>
      <c r="D376" s="7">
        <v>0</v>
      </c>
      <c r="E376" s="7">
        <v>0</v>
      </c>
      <c r="F376" s="7">
        <v>1</v>
      </c>
      <c r="G376" s="7">
        <v>1</v>
      </c>
      <c r="H376" s="8">
        <v>4</v>
      </c>
    </row>
    <row r="377" spans="2:8">
      <c r="B377" s="6">
        <v>40734</v>
      </c>
      <c r="C377" s="7">
        <v>20</v>
      </c>
      <c r="D377" s="7">
        <v>0</v>
      </c>
      <c r="E377" s="7">
        <v>0</v>
      </c>
      <c r="F377" s="7">
        <v>1</v>
      </c>
      <c r="G377" s="7">
        <v>1</v>
      </c>
      <c r="H377" s="8">
        <v>4</v>
      </c>
    </row>
    <row r="378" spans="2:8">
      <c r="B378" s="6">
        <v>40735</v>
      </c>
      <c r="C378" s="7">
        <v>17</v>
      </c>
      <c r="D378" s="7">
        <v>0</v>
      </c>
      <c r="E378" s="7">
        <v>0</v>
      </c>
      <c r="F378" s="7">
        <v>0</v>
      </c>
      <c r="G378" s="7">
        <v>0</v>
      </c>
      <c r="H378" s="8">
        <v>1</v>
      </c>
    </row>
    <row r="379" spans="2:8">
      <c r="B379" s="6">
        <v>40736</v>
      </c>
      <c r="C379" s="7">
        <v>10</v>
      </c>
      <c r="D379" s="7">
        <v>0</v>
      </c>
      <c r="E379" s="7">
        <v>0</v>
      </c>
      <c r="F379" s="7">
        <v>0</v>
      </c>
      <c r="G379" s="7">
        <v>0</v>
      </c>
      <c r="H379" s="8">
        <v>1</v>
      </c>
    </row>
    <row r="380" spans="2:8">
      <c r="B380" s="6">
        <v>40737</v>
      </c>
      <c r="C380" s="7">
        <v>9</v>
      </c>
      <c r="D380" s="7">
        <v>0</v>
      </c>
      <c r="E380" s="7">
        <v>0</v>
      </c>
      <c r="F380" s="7">
        <v>0</v>
      </c>
      <c r="G380" s="7">
        <v>0</v>
      </c>
      <c r="H380" s="8">
        <v>1</v>
      </c>
    </row>
    <row r="381" spans="2:8">
      <c r="B381" s="6">
        <v>40738</v>
      </c>
      <c r="C381" s="7">
        <v>16</v>
      </c>
      <c r="D381" s="7">
        <v>0</v>
      </c>
      <c r="E381" s="7">
        <v>0</v>
      </c>
      <c r="F381" s="7">
        <v>0</v>
      </c>
      <c r="G381" s="7">
        <v>0</v>
      </c>
      <c r="H381" s="8">
        <v>1</v>
      </c>
    </row>
    <row r="382" spans="2:8">
      <c r="B382" s="6">
        <v>40739</v>
      </c>
      <c r="C382" s="7">
        <v>19</v>
      </c>
      <c r="D382" s="7">
        <v>0</v>
      </c>
      <c r="E382" s="7">
        <v>0</v>
      </c>
      <c r="F382" s="7">
        <v>0</v>
      </c>
      <c r="G382" s="7">
        <v>0</v>
      </c>
      <c r="H382" s="8">
        <v>1</v>
      </c>
    </row>
    <row r="383" spans="2:8">
      <c r="B383" s="6">
        <v>40740</v>
      </c>
      <c r="C383" s="7">
        <v>17</v>
      </c>
      <c r="D383" s="7">
        <v>0</v>
      </c>
      <c r="E383" s="7">
        <v>0</v>
      </c>
      <c r="F383" s="7">
        <v>2</v>
      </c>
      <c r="G383" s="7">
        <v>1</v>
      </c>
      <c r="H383" s="8">
        <v>6</v>
      </c>
    </row>
    <row r="384" spans="2:8">
      <c r="B384" s="6">
        <v>40741</v>
      </c>
      <c r="C384" s="7">
        <v>23</v>
      </c>
      <c r="D384" s="7">
        <v>0</v>
      </c>
      <c r="E384" s="7">
        <v>0</v>
      </c>
      <c r="F384" s="7">
        <v>2</v>
      </c>
      <c r="G384" s="7">
        <v>1</v>
      </c>
      <c r="H384" s="8">
        <v>6</v>
      </c>
    </row>
    <row r="385" spans="2:8">
      <c r="B385" s="6">
        <v>40742</v>
      </c>
      <c r="C385" s="7">
        <v>19</v>
      </c>
      <c r="D385" s="7">
        <v>0</v>
      </c>
      <c r="E385" s="7">
        <v>0</v>
      </c>
      <c r="F385" s="7">
        <v>1</v>
      </c>
      <c r="G385" s="7">
        <v>0</v>
      </c>
      <c r="H385" s="8">
        <v>2</v>
      </c>
    </row>
    <row r="386" spans="2:8">
      <c r="B386" s="6">
        <v>40743</v>
      </c>
      <c r="C386" s="7">
        <v>13</v>
      </c>
      <c r="D386" s="7">
        <v>0</v>
      </c>
      <c r="E386" s="7">
        <v>0</v>
      </c>
      <c r="F386" s="7">
        <v>0</v>
      </c>
      <c r="G386" s="7">
        <v>0</v>
      </c>
      <c r="H386" s="8">
        <v>1</v>
      </c>
    </row>
    <row r="387" spans="2:8">
      <c r="B387" s="6">
        <v>40744</v>
      </c>
      <c r="C387" s="7">
        <v>15</v>
      </c>
      <c r="D387" s="7">
        <v>0</v>
      </c>
      <c r="E387" s="7">
        <v>0</v>
      </c>
      <c r="F387" s="7">
        <v>0</v>
      </c>
      <c r="G387" s="7">
        <v>0</v>
      </c>
      <c r="H387" s="8">
        <v>1</v>
      </c>
    </row>
    <row r="388" spans="2:8">
      <c r="B388" s="6">
        <v>40745</v>
      </c>
      <c r="C388" s="7">
        <v>14</v>
      </c>
      <c r="D388" s="7">
        <v>0</v>
      </c>
      <c r="E388" s="7">
        <v>0</v>
      </c>
      <c r="F388" s="7">
        <v>0</v>
      </c>
      <c r="G388" s="7">
        <v>0</v>
      </c>
      <c r="H388" s="8">
        <v>1</v>
      </c>
    </row>
    <row r="389" spans="2:8">
      <c r="B389" s="6">
        <v>40746</v>
      </c>
      <c r="C389" s="7">
        <v>18</v>
      </c>
      <c r="D389" s="7">
        <v>0</v>
      </c>
      <c r="E389" s="7">
        <v>0</v>
      </c>
      <c r="F389" s="7">
        <v>1</v>
      </c>
      <c r="G389" s="7">
        <v>0</v>
      </c>
      <c r="H389" s="8">
        <v>2</v>
      </c>
    </row>
    <row r="390" spans="2:8">
      <c r="B390" s="6">
        <v>40747</v>
      </c>
      <c r="C390" s="7">
        <v>22</v>
      </c>
      <c r="D390" s="7">
        <v>0</v>
      </c>
      <c r="E390" s="7">
        <v>0</v>
      </c>
      <c r="F390" s="7">
        <v>1</v>
      </c>
      <c r="G390" s="7">
        <v>1</v>
      </c>
      <c r="H390" s="8">
        <v>4</v>
      </c>
    </row>
    <row r="391" spans="2:8">
      <c r="B391" s="6">
        <v>40748</v>
      </c>
      <c r="C391" s="7">
        <v>23</v>
      </c>
      <c r="D391" s="7">
        <v>0</v>
      </c>
      <c r="E391" s="7">
        <v>0</v>
      </c>
      <c r="F391" s="7">
        <v>1</v>
      </c>
      <c r="G391" s="7">
        <v>1</v>
      </c>
      <c r="H391" s="8">
        <v>4</v>
      </c>
    </row>
    <row r="392" spans="2:8">
      <c r="B392" s="6">
        <v>40749</v>
      </c>
      <c r="C392" s="7">
        <v>14</v>
      </c>
      <c r="D392" s="7">
        <v>0</v>
      </c>
      <c r="E392" s="7">
        <v>0</v>
      </c>
      <c r="F392" s="7">
        <v>1</v>
      </c>
      <c r="G392" s="7">
        <v>0</v>
      </c>
      <c r="H392" s="8">
        <v>2</v>
      </c>
    </row>
    <row r="393" spans="2:8">
      <c r="B393" s="6">
        <v>40750</v>
      </c>
      <c r="C393" s="7">
        <v>11</v>
      </c>
      <c r="D393" s="7">
        <v>0</v>
      </c>
      <c r="E393" s="7">
        <v>0</v>
      </c>
      <c r="F393" s="7">
        <v>1</v>
      </c>
      <c r="G393" s="7">
        <v>0</v>
      </c>
      <c r="H393" s="8">
        <v>2</v>
      </c>
    </row>
    <row r="394" spans="2:8">
      <c r="B394" s="6">
        <v>40751</v>
      </c>
      <c r="C394" s="7">
        <v>14</v>
      </c>
      <c r="D394" s="7">
        <v>0</v>
      </c>
      <c r="E394" s="7">
        <v>0</v>
      </c>
      <c r="F394" s="7">
        <v>1</v>
      </c>
      <c r="G394" s="7">
        <v>0</v>
      </c>
      <c r="H394" s="8">
        <v>2</v>
      </c>
    </row>
    <row r="395" spans="2:8">
      <c r="B395" s="6">
        <v>40752</v>
      </c>
      <c r="C395" s="7">
        <v>17</v>
      </c>
      <c r="D395" s="7">
        <v>0</v>
      </c>
      <c r="E395" s="7">
        <v>0</v>
      </c>
      <c r="F395" s="7">
        <v>1</v>
      </c>
      <c r="G395" s="7">
        <v>0</v>
      </c>
      <c r="H395" s="8">
        <v>2</v>
      </c>
    </row>
    <row r="396" spans="2:8">
      <c r="B396" s="6">
        <v>40753</v>
      </c>
      <c r="C396" s="7">
        <v>24</v>
      </c>
      <c r="D396" s="7">
        <v>0</v>
      </c>
      <c r="E396" s="7">
        <v>0</v>
      </c>
      <c r="F396" s="7">
        <v>1</v>
      </c>
      <c r="G396" s="7">
        <v>1</v>
      </c>
      <c r="H396" s="8">
        <v>4</v>
      </c>
    </row>
    <row r="397" spans="2:8">
      <c r="B397" s="6">
        <v>40754</v>
      </c>
      <c r="C397" s="7">
        <v>23</v>
      </c>
      <c r="D397" s="7">
        <v>0</v>
      </c>
      <c r="E397" s="7">
        <v>0</v>
      </c>
      <c r="F397" s="7">
        <v>2</v>
      </c>
      <c r="G397" s="7">
        <v>2</v>
      </c>
      <c r="H397" s="8">
        <v>9</v>
      </c>
    </row>
    <row r="398" spans="2:8">
      <c r="B398" s="6">
        <v>40755</v>
      </c>
      <c r="C398" s="7">
        <v>31</v>
      </c>
      <c r="D398" s="7">
        <v>0</v>
      </c>
      <c r="E398" s="7">
        <v>0</v>
      </c>
      <c r="F398" s="7">
        <v>2</v>
      </c>
      <c r="G398" s="7">
        <v>1</v>
      </c>
      <c r="H398" s="8">
        <v>6</v>
      </c>
    </row>
    <row r="399" spans="2:8">
      <c r="B399" s="6">
        <v>40756</v>
      </c>
      <c r="C399" s="7">
        <v>19</v>
      </c>
      <c r="D399" s="7">
        <v>0</v>
      </c>
      <c r="E399" s="7">
        <v>0</v>
      </c>
      <c r="F399" s="7">
        <v>1</v>
      </c>
      <c r="G399" s="7">
        <v>0</v>
      </c>
      <c r="H399" s="8">
        <v>2</v>
      </c>
    </row>
    <row r="400" spans="2:8">
      <c r="B400" s="6">
        <v>40757</v>
      </c>
      <c r="C400" s="7">
        <v>10</v>
      </c>
      <c r="D400" s="7">
        <v>0</v>
      </c>
      <c r="E400" s="7">
        <v>0</v>
      </c>
      <c r="F400" s="7">
        <v>0</v>
      </c>
      <c r="G400" s="7">
        <v>0</v>
      </c>
      <c r="H400" s="8">
        <v>1</v>
      </c>
    </row>
    <row r="401" spans="2:8">
      <c r="B401" s="6">
        <v>40758</v>
      </c>
      <c r="C401" s="7">
        <v>11</v>
      </c>
      <c r="D401" s="7">
        <v>0</v>
      </c>
      <c r="E401" s="7">
        <v>0</v>
      </c>
      <c r="F401" s="7">
        <v>0</v>
      </c>
      <c r="G401" s="7">
        <v>0</v>
      </c>
      <c r="H401" s="8">
        <v>1</v>
      </c>
    </row>
    <row r="402" spans="2:8">
      <c r="B402" s="6">
        <v>40759</v>
      </c>
      <c r="C402" s="7">
        <v>12</v>
      </c>
      <c r="D402" s="7">
        <v>0</v>
      </c>
      <c r="E402" s="7">
        <v>0</v>
      </c>
      <c r="F402" s="7">
        <v>0</v>
      </c>
      <c r="G402" s="7">
        <v>0</v>
      </c>
      <c r="H402" s="8">
        <v>1</v>
      </c>
    </row>
    <row r="403" spans="2:8">
      <c r="B403" s="6">
        <v>40760</v>
      </c>
      <c r="C403" s="7">
        <v>15</v>
      </c>
      <c r="D403" s="7">
        <v>0</v>
      </c>
      <c r="E403" s="7">
        <v>0</v>
      </c>
      <c r="F403" s="7">
        <v>0</v>
      </c>
      <c r="G403" s="7">
        <v>0</v>
      </c>
      <c r="H403" s="8">
        <v>1</v>
      </c>
    </row>
    <row r="404" spans="2:8">
      <c r="B404" s="6">
        <v>40761</v>
      </c>
      <c r="C404" s="7">
        <v>22</v>
      </c>
      <c r="D404" s="7">
        <v>0</v>
      </c>
      <c r="E404" s="7">
        <v>0</v>
      </c>
      <c r="F404" s="7">
        <v>1</v>
      </c>
      <c r="G404" s="7">
        <v>1</v>
      </c>
      <c r="H404" s="8">
        <v>4</v>
      </c>
    </row>
    <row r="405" spans="2:8">
      <c r="B405" s="6">
        <v>40762</v>
      </c>
      <c r="C405" s="7">
        <v>12</v>
      </c>
      <c r="D405" s="7">
        <v>0</v>
      </c>
      <c r="E405" s="7">
        <v>0</v>
      </c>
      <c r="F405" s="7">
        <v>1</v>
      </c>
      <c r="G405" s="7">
        <v>0</v>
      </c>
      <c r="H405" s="8">
        <v>2</v>
      </c>
    </row>
    <row r="406" spans="2:8">
      <c r="B406" s="6">
        <v>40763</v>
      </c>
      <c r="C406" s="7">
        <v>15</v>
      </c>
      <c r="D406" s="7">
        <v>0</v>
      </c>
      <c r="E406" s="7">
        <v>0</v>
      </c>
      <c r="F406" s="7">
        <v>0</v>
      </c>
      <c r="G406" s="7">
        <v>0</v>
      </c>
      <c r="H406" s="8">
        <v>1</v>
      </c>
    </row>
    <row r="407" spans="2:8">
      <c r="B407" s="6">
        <v>40764</v>
      </c>
      <c r="C407" s="7">
        <v>13</v>
      </c>
      <c r="D407" s="7">
        <v>0</v>
      </c>
      <c r="E407" s="7">
        <v>0</v>
      </c>
      <c r="F407" s="7">
        <v>0</v>
      </c>
      <c r="G407" s="7">
        <v>0</v>
      </c>
      <c r="H407" s="8">
        <v>1</v>
      </c>
    </row>
    <row r="408" spans="2:8">
      <c r="B408" s="6">
        <v>40765</v>
      </c>
      <c r="C408" s="7">
        <v>15</v>
      </c>
      <c r="D408" s="7">
        <v>0</v>
      </c>
      <c r="E408" s="7">
        <v>0</v>
      </c>
      <c r="F408" s="7">
        <v>0</v>
      </c>
      <c r="G408" s="7">
        <v>0</v>
      </c>
      <c r="H408" s="8">
        <v>1</v>
      </c>
    </row>
    <row r="409" spans="2:8">
      <c r="B409" s="6">
        <v>40766</v>
      </c>
      <c r="C409" s="7">
        <v>11</v>
      </c>
      <c r="D409" s="7">
        <v>0</v>
      </c>
      <c r="E409" s="7">
        <v>0</v>
      </c>
      <c r="F409" s="7">
        <v>0</v>
      </c>
      <c r="G409" s="7">
        <v>0</v>
      </c>
      <c r="H409" s="8">
        <v>1</v>
      </c>
    </row>
    <row r="410" spans="2:8">
      <c r="B410" s="6">
        <v>40767</v>
      </c>
      <c r="C410" s="7">
        <v>16</v>
      </c>
      <c r="D410" s="7">
        <v>0</v>
      </c>
      <c r="E410" s="7">
        <v>0</v>
      </c>
      <c r="F410" s="7">
        <v>0</v>
      </c>
      <c r="G410" s="7">
        <v>0</v>
      </c>
      <c r="H410" s="8">
        <v>1</v>
      </c>
    </row>
    <row r="411" spans="2:8">
      <c r="B411" s="6">
        <v>40768</v>
      </c>
      <c r="C411" s="7">
        <v>13</v>
      </c>
      <c r="D411" s="7">
        <v>0</v>
      </c>
      <c r="E411" s="7">
        <v>0</v>
      </c>
      <c r="F411" s="7">
        <v>0</v>
      </c>
      <c r="G411" s="7">
        <v>0</v>
      </c>
      <c r="H411" s="8">
        <v>1</v>
      </c>
    </row>
    <row r="412" spans="2:8">
      <c r="B412" s="6">
        <v>40769</v>
      </c>
      <c r="C412" s="7">
        <v>0</v>
      </c>
      <c r="D412" s="7">
        <v>0</v>
      </c>
      <c r="E412" s="7">
        <v>0</v>
      </c>
      <c r="F412" s="7">
        <v>0</v>
      </c>
      <c r="G412" s="7">
        <v>0</v>
      </c>
      <c r="H412" s="8">
        <v>1</v>
      </c>
    </row>
    <row r="413" spans="2:8">
      <c r="B413" s="6">
        <v>40770</v>
      </c>
      <c r="C413" s="7">
        <v>19</v>
      </c>
      <c r="D413" s="7">
        <v>0</v>
      </c>
      <c r="E413" s="7">
        <v>0</v>
      </c>
      <c r="F413" s="7">
        <v>0</v>
      </c>
      <c r="G413" s="7">
        <v>0</v>
      </c>
      <c r="H413" s="8">
        <v>1</v>
      </c>
    </row>
    <row r="414" spans="2:8">
      <c r="B414" s="6">
        <v>40771</v>
      </c>
      <c r="C414" s="7">
        <v>17</v>
      </c>
      <c r="D414" s="7">
        <v>0</v>
      </c>
      <c r="E414" s="7">
        <v>0</v>
      </c>
      <c r="F414" s="7">
        <v>0</v>
      </c>
      <c r="G414" s="7">
        <v>0</v>
      </c>
      <c r="H414" s="8">
        <v>1</v>
      </c>
    </row>
    <row r="415" spans="2:8">
      <c r="B415" s="6">
        <v>40772</v>
      </c>
      <c r="C415" s="7">
        <v>5</v>
      </c>
      <c r="D415" s="7">
        <v>0</v>
      </c>
      <c r="E415" s="7">
        <v>0</v>
      </c>
      <c r="F415" s="7">
        <v>0</v>
      </c>
      <c r="G415" s="7">
        <v>0</v>
      </c>
      <c r="H415" s="8">
        <v>1</v>
      </c>
    </row>
    <row r="416" spans="2:8">
      <c r="B416" s="6">
        <v>40773</v>
      </c>
      <c r="C416" s="7">
        <v>11</v>
      </c>
      <c r="D416" s="7">
        <v>0</v>
      </c>
      <c r="E416" s="7">
        <v>0</v>
      </c>
      <c r="F416" s="7">
        <v>0</v>
      </c>
      <c r="G416" s="7">
        <v>0</v>
      </c>
      <c r="H416" s="8">
        <v>1</v>
      </c>
    </row>
    <row r="417" spans="2:8">
      <c r="B417" s="6">
        <v>40774</v>
      </c>
      <c r="C417" s="7">
        <v>16</v>
      </c>
      <c r="D417" s="7">
        <v>0</v>
      </c>
      <c r="E417" s="7">
        <v>0</v>
      </c>
      <c r="F417" s="7">
        <v>0</v>
      </c>
      <c r="G417" s="7">
        <v>0</v>
      </c>
      <c r="H417" s="8">
        <v>1</v>
      </c>
    </row>
    <row r="418" spans="2:8">
      <c r="B418" s="6">
        <v>40775</v>
      </c>
      <c r="C418" s="7">
        <v>16</v>
      </c>
      <c r="D418" s="7">
        <v>0</v>
      </c>
      <c r="E418" s="7">
        <v>0</v>
      </c>
      <c r="F418" s="7">
        <v>1</v>
      </c>
      <c r="G418" s="7">
        <v>1</v>
      </c>
      <c r="H418" s="8">
        <v>4</v>
      </c>
    </row>
    <row r="419" spans="2:8">
      <c r="B419" s="6">
        <v>40776</v>
      </c>
      <c r="C419" s="7">
        <v>13</v>
      </c>
      <c r="D419" s="7">
        <v>0</v>
      </c>
      <c r="E419" s="7">
        <v>0</v>
      </c>
      <c r="F419" s="7">
        <v>1</v>
      </c>
      <c r="G419" s="7">
        <v>0</v>
      </c>
      <c r="H419" s="8">
        <v>2</v>
      </c>
    </row>
    <row r="420" spans="2:8">
      <c r="B420" s="6">
        <v>40777</v>
      </c>
      <c r="C420" s="7">
        <v>13</v>
      </c>
      <c r="D420" s="7">
        <v>0</v>
      </c>
      <c r="E420" s="7">
        <v>0</v>
      </c>
      <c r="F420" s="7">
        <v>0</v>
      </c>
      <c r="G420" s="7">
        <v>0</v>
      </c>
      <c r="H420" s="8">
        <v>1</v>
      </c>
    </row>
    <row r="421" spans="2:8">
      <c r="B421" s="6">
        <v>40778</v>
      </c>
      <c r="C421" s="7">
        <v>13</v>
      </c>
      <c r="D421" s="7">
        <v>0</v>
      </c>
      <c r="E421" s="7">
        <v>0</v>
      </c>
      <c r="F421" s="7">
        <v>0</v>
      </c>
      <c r="G421" s="7">
        <v>0</v>
      </c>
      <c r="H421" s="8">
        <v>1</v>
      </c>
    </row>
    <row r="422" spans="2:8">
      <c r="B422" s="6">
        <v>40779</v>
      </c>
      <c r="C422" s="7">
        <v>8</v>
      </c>
      <c r="D422" s="7">
        <v>0</v>
      </c>
      <c r="E422" s="7">
        <v>0</v>
      </c>
      <c r="F422" s="7">
        <v>0</v>
      </c>
      <c r="G422" s="7">
        <v>0</v>
      </c>
      <c r="H422" s="8">
        <v>1</v>
      </c>
    </row>
    <row r="423" spans="2:8">
      <c r="B423" s="6">
        <v>40780</v>
      </c>
      <c r="C423" s="7">
        <v>9</v>
      </c>
      <c r="D423" s="7">
        <v>0</v>
      </c>
      <c r="E423" s="7">
        <v>0</v>
      </c>
      <c r="F423" s="7">
        <v>0</v>
      </c>
      <c r="G423" s="7">
        <v>0</v>
      </c>
      <c r="H423" s="8">
        <v>1</v>
      </c>
    </row>
    <row r="424" spans="2:8">
      <c r="B424" s="6">
        <v>40781</v>
      </c>
      <c r="C424" s="7">
        <v>22</v>
      </c>
      <c r="D424" s="7">
        <v>0</v>
      </c>
      <c r="E424" s="7">
        <v>0</v>
      </c>
      <c r="F424" s="7">
        <v>0</v>
      </c>
      <c r="G424" s="7">
        <v>0</v>
      </c>
      <c r="H424" s="8">
        <v>1</v>
      </c>
    </row>
    <row r="425" spans="2:8">
      <c r="B425" s="6">
        <v>40782</v>
      </c>
      <c r="C425" s="7">
        <v>23</v>
      </c>
      <c r="D425" s="7">
        <v>0</v>
      </c>
      <c r="E425" s="7">
        <v>0</v>
      </c>
      <c r="F425" s="7">
        <v>1</v>
      </c>
      <c r="G425" s="7">
        <v>1</v>
      </c>
      <c r="H425" s="8">
        <v>4</v>
      </c>
    </row>
    <row r="426" spans="2:8">
      <c r="B426" s="6">
        <v>40783</v>
      </c>
      <c r="C426" s="7">
        <v>25</v>
      </c>
      <c r="D426" s="7">
        <v>0</v>
      </c>
      <c r="E426" s="7">
        <v>0</v>
      </c>
      <c r="F426" s="7">
        <v>1</v>
      </c>
      <c r="G426" s="7">
        <v>1</v>
      </c>
      <c r="H426" s="8">
        <v>4</v>
      </c>
    </row>
    <row r="427" spans="2:8">
      <c r="B427" s="6">
        <v>40784</v>
      </c>
      <c r="C427" s="7">
        <v>24</v>
      </c>
      <c r="D427" s="7">
        <v>0</v>
      </c>
      <c r="E427" s="7">
        <v>0</v>
      </c>
      <c r="F427" s="7">
        <v>0</v>
      </c>
      <c r="G427" s="7">
        <v>0</v>
      </c>
      <c r="H427" s="8">
        <v>1</v>
      </c>
    </row>
    <row r="428" spans="2:8">
      <c r="B428" s="6">
        <v>40785</v>
      </c>
      <c r="C428" s="7">
        <v>21</v>
      </c>
      <c r="D428" s="7">
        <v>0</v>
      </c>
      <c r="E428" s="7">
        <v>0</v>
      </c>
      <c r="F428" s="7">
        <v>0</v>
      </c>
      <c r="G428" s="7">
        <v>0</v>
      </c>
      <c r="H428" s="8">
        <v>1</v>
      </c>
    </row>
    <row r="429" spans="2:8">
      <c r="B429" s="6">
        <v>40786</v>
      </c>
      <c r="C429" s="7">
        <v>21</v>
      </c>
      <c r="D429" s="7">
        <v>0</v>
      </c>
      <c r="E429" s="7">
        <v>0</v>
      </c>
      <c r="F429" s="7">
        <v>1</v>
      </c>
      <c r="G429" s="7">
        <v>1</v>
      </c>
      <c r="H429" s="8">
        <v>4</v>
      </c>
    </row>
    <row r="430" spans="2:8">
      <c r="B430" s="6">
        <v>40787</v>
      </c>
      <c r="C430" s="7">
        <v>14</v>
      </c>
      <c r="D430" s="7">
        <v>0</v>
      </c>
      <c r="E430" s="7">
        <v>0</v>
      </c>
      <c r="F430" s="7">
        <v>1</v>
      </c>
      <c r="G430" s="7">
        <v>1</v>
      </c>
      <c r="H430" s="8">
        <v>4</v>
      </c>
    </row>
    <row r="431" spans="2:8">
      <c r="B431" s="6">
        <v>40788</v>
      </c>
      <c r="C431" s="7">
        <v>6</v>
      </c>
      <c r="D431" s="7">
        <v>0</v>
      </c>
      <c r="E431" s="7">
        <v>0</v>
      </c>
      <c r="F431" s="7">
        <v>1</v>
      </c>
      <c r="G431" s="7">
        <v>1</v>
      </c>
      <c r="H431" s="8">
        <v>4</v>
      </c>
    </row>
    <row r="432" spans="2:8">
      <c r="B432" s="6">
        <v>40789</v>
      </c>
      <c r="C432" s="7">
        <v>14</v>
      </c>
      <c r="D432" s="7">
        <v>0</v>
      </c>
      <c r="E432" s="7">
        <v>0</v>
      </c>
      <c r="F432" s="7">
        <v>2</v>
      </c>
      <c r="G432" s="7">
        <v>1</v>
      </c>
      <c r="H432" s="8">
        <v>6</v>
      </c>
    </row>
    <row r="433" spans="2:8">
      <c r="B433" s="6">
        <v>40790</v>
      </c>
      <c r="C433" s="7">
        <v>11</v>
      </c>
      <c r="D433" s="7">
        <v>0</v>
      </c>
      <c r="E433" s="7">
        <v>0</v>
      </c>
      <c r="F433" s="7">
        <v>1</v>
      </c>
      <c r="G433" s="7">
        <v>1</v>
      </c>
      <c r="H433" s="8">
        <v>4</v>
      </c>
    </row>
    <row r="434" spans="2:8">
      <c r="B434" s="6">
        <v>40791</v>
      </c>
      <c r="C434" s="7">
        <v>9</v>
      </c>
      <c r="D434" s="7">
        <v>0</v>
      </c>
      <c r="E434" s="7">
        <v>0</v>
      </c>
      <c r="F434" s="7">
        <v>0</v>
      </c>
      <c r="G434" s="7">
        <v>0</v>
      </c>
      <c r="H434" s="8">
        <v>1</v>
      </c>
    </row>
    <row r="435" spans="2:8">
      <c r="B435" s="6">
        <v>40792</v>
      </c>
      <c r="C435" s="7">
        <v>10</v>
      </c>
      <c r="D435" s="7">
        <v>0</v>
      </c>
      <c r="E435" s="7">
        <v>0</v>
      </c>
      <c r="F435" s="7">
        <v>0</v>
      </c>
      <c r="G435" s="7">
        <v>0</v>
      </c>
      <c r="H435" s="8">
        <v>1</v>
      </c>
    </row>
    <row r="436" spans="2:8">
      <c r="B436" s="6">
        <v>40793</v>
      </c>
      <c r="C436" s="7">
        <v>6</v>
      </c>
      <c r="D436" s="7">
        <v>0</v>
      </c>
      <c r="E436" s="7">
        <v>0</v>
      </c>
      <c r="F436" s="7">
        <v>0</v>
      </c>
      <c r="G436" s="7">
        <v>0</v>
      </c>
      <c r="H436" s="8">
        <v>1</v>
      </c>
    </row>
    <row r="437" spans="2:8">
      <c r="B437" s="6">
        <v>40794</v>
      </c>
      <c r="C437" s="7">
        <v>10</v>
      </c>
      <c r="D437" s="7">
        <v>0</v>
      </c>
      <c r="E437" s="7">
        <v>0</v>
      </c>
      <c r="F437" s="7">
        <v>0</v>
      </c>
      <c r="G437" s="7">
        <v>0</v>
      </c>
      <c r="H437" s="8">
        <v>1</v>
      </c>
    </row>
    <row r="438" spans="2:8">
      <c r="B438" s="6">
        <v>40795</v>
      </c>
      <c r="C438" s="7">
        <v>7</v>
      </c>
      <c r="D438" s="7">
        <v>0</v>
      </c>
      <c r="E438" s="7">
        <v>0</v>
      </c>
      <c r="F438" s="7">
        <v>0</v>
      </c>
      <c r="G438" s="7">
        <v>0</v>
      </c>
      <c r="H438" s="8">
        <v>1</v>
      </c>
    </row>
    <row r="439" spans="2:8">
      <c r="B439" s="6">
        <v>40796</v>
      </c>
      <c r="C439" s="7">
        <v>15</v>
      </c>
      <c r="D439" s="7">
        <v>0</v>
      </c>
      <c r="E439" s="7">
        <v>0</v>
      </c>
      <c r="F439" s="7">
        <v>1</v>
      </c>
      <c r="G439" s="7">
        <v>1</v>
      </c>
      <c r="H439" s="8">
        <v>4</v>
      </c>
    </row>
    <row r="440" spans="2:8">
      <c r="B440" s="6">
        <v>40797</v>
      </c>
      <c r="C440" s="7">
        <v>13</v>
      </c>
      <c r="D440" s="7">
        <v>0</v>
      </c>
      <c r="E440" s="7">
        <v>0</v>
      </c>
      <c r="F440" s="7">
        <v>1</v>
      </c>
      <c r="G440" s="7">
        <v>0</v>
      </c>
      <c r="H440" s="8">
        <v>2</v>
      </c>
    </row>
    <row r="441" spans="2:8">
      <c r="B441" s="6">
        <v>40798</v>
      </c>
      <c r="C441" s="7">
        <v>14</v>
      </c>
      <c r="D441" s="7">
        <v>0</v>
      </c>
      <c r="E441" s="7">
        <v>0</v>
      </c>
      <c r="F441" s="7">
        <v>0</v>
      </c>
      <c r="G441" s="7">
        <v>0</v>
      </c>
      <c r="H441" s="8">
        <v>1</v>
      </c>
    </row>
    <row r="442" spans="2:8">
      <c r="B442" s="6">
        <v>40799</v>
      </c>
      <c r="C442" s="7">
        <v>16</v>
      </c>
      <c r="D442" s="7">
        <v>0</v>
      </c>
      <c r="E442" s="7">
        <v>0</v>
      </c>
      <c r="F442" s="7">
        <v>0</v>
      </c>
      <c r="G442" s="7">
        <v>0</v>
      </c>
      <c r="H442" s="8">
        <v>1</v>
      </c>
    </row>
    <row r="443" spans="2:8">
      <c r="B443" s="6">
        <v>40800</v>
      </c>
      <c r="C443" s="7">
        <v>10</v>
      </c>
      <c r="D443" s="7">
        <v>0</v>
      </c>
      <c r="E443" s="7">
        <v>0</v>
      </c>
      <c r="F443" s="7">
        <v>0</v>
      </c>
      <c r="G443" s="7">
        <v>0</v>
      </c>
      <c r="H443" s="8">
        <v>1</v>
      </c>
    </row>
    <row r="444" spans="2:8">
      <c r="B444" s="6">
        <v>40801</v>
      </c>
      <c r="C444" s="7">
        <v>11</v>
      </c>
      <c r="D444" s="7">
        <v>0</v>
      </c>
      <c r="E444" s="7">
        <v>0</v>
      </c>
      <c r="F444" s="7">
        <v>0</v>
      </c>
      <c r="G444" s="7">
        <v>0</v>
      </c>
      <c r="H444" s="8">
        <v>1</v>
      </c>
    </row>
    <row r="445" spans="2:8">
      <c r="B445" s="6">
        <v>40802</v>
      </c>
      <c r="C445" s="7">
        <v>14</v>
      </c>
      <c r="D445" s="7">
        <v>0</v>
      </c>
      <c r="E445" s="7">
        <v>0</v>
      </c>
      <c r="F445" s="7">
        <v>0</v>
      </c>
      <c r="G445" s="7">
        <v>0</v>
      </c>
      <c r="H445" s="8">
        <v>1</v>
      </c>
    </row>
    <row r="446" spans="2:8">
      <c r="B446" s="6">
        <v>40803</v>
      </c>
      <c r="C446" s="7">
        <v>21</v>
      </c>
      <c r="D446" s="7">
        <v>0</v>
      </c>
      <c r="E446" s="7">
        <v>0</v>
      </c>
      <c r="F446" s="7">
        <v>2</v>
      </c>
      <c r="G446" s="7">
        <v>1</v>
      </c>
      <c r="H446" s="8">
        <v>6</v>
      </c>
    </row>
    <row r="447" spans="2:8">
      <c r="B447" s="6">
        <v>40804</v>
      </c>
      <c r="C447" s="7">
        <v>19</v>
      </c>
      <c r="D447" s="7">
        <v>0</v>
      </c>
      <c r="E447" s="7">
        <v>0</v>
      </c>
      <c r="F447" s="7">
        <v>2</v>
      </c>
      <c r="G447" s="7">
        <v>2</v>
      </c>
      <c r="H447" s="8">
        <v>9</v>
      </c>
    </row>
    <row r="448" spans="2:8">
      <c r="B448" s="6">
        <v>40805</v>
      </c>
      <c r="C448" s="7">
        <v>18</v>
      </c>
      <c r="D448" s="7">
        <v>0</v>
      </c>
      <c r="E448" s="7">
        <v>0</v>
      </c>
      <c r="F448" s="7">
        <v>1</v>
      </c>
      <c r="G448" s="7">
        <v>1</v>
      </c>
      <c r="H448" s="8">
        <v>4</v>
      </c>
    </row>
    <row r="449" spans="2:8">
      <c r="B449" s="6">
        <v>40806</v>
      </c>
      <c r="C449" s="7">
        <v>21</v>
      </c>
      <c r="D449" s="7">
        <v>0</v>
      </c>
      <c r="E449" s="7">
        <v>0</v>
      </c>
      <c r="F449" s="7">
        <v>0</v>
      </c>
      <c r="G449" s="7">
        <v>0</v>
      </c>
      <c r="H449" s="8">
        <v>1</v>
      </c>
    </row>
    <row r="450" spans="2:8">
      <c r="B450" s="6">
        <v>40807</v>
      </c>
      <c r="C450" s="7">
        <v>12</v>
      </c>
      <c r="D450" s="7">
        <v>0</v>
      </c>
      <c r="E450" s="7">
        <v>0</v>
      </c>
      <c r="F450" s="7">
        <v>0</v>
      </c>
      <c r="G450" s="7">
        <v>0</v>
      </c>
      <c r="H450" s="8">
        <v>1</v>
      </c>
    </row>
    <row r="451" spans="2:8">
      <c r="B451" s="6">
        <v>40808</v>
      </c>
      <c r="C451" s="7">
        <v>24</v>
      </c>
      <c r="D451" s="7">
        <v>0</v>
      </c>
      <c r="E451" s="7">
        <v>0</v>
      </c>
      <c r="F451" s="7">
        <v>0</v>
      </c>
      <c r="G451" s="7">
        <v>0</v>
      </c>
      <c r="H451" s="8">
        <v>1</v>
      </c>
    </row>
    <row r="452" spans="2:8">
      <c r="B452" s="6">
        <v>40809</v>
      </c>
      <c r="C452" s="7">
        <v>36</v>
      </c>
      <c r="D452" s="7">
        <v>0</v>
      </c>
      <c r="E452" s="7">
        <v>0</v>
      </c>
      <c r="F452" s="7">
        <v>1</v>
      </c>
      <c r="G452" s="7">
        <v>1</v>
      </c>
      <c r="H452" s="8">
        <v>4</v>
      </c>
    </row>
    <row r="453" spans="2:8">
      <c r="B453" s="6">
        <v>40810</v>
      </c>
      <c r="C453" s="7">
        <v>47</v>
      </c>
      <c r="D453" s="7">
        <v>0</v>
      </c>
      <c r="E453" s="7">
        <v>0</v>
      </c>
      <c r="F453" s="7">
        <v>2</v>
      </c>
      <c r="G453" s="7">
        <v>2</v>
      </c>
      <c r="H453" s="8">
        <v>9</v>
      </c>
    </row>
    <row r="454" spans="2:8">
      <c r="B454" s="6">
        <v>40811</v>
      </c>
      <c r="C454" s="7">
        <v>26</v>
      </c>
      <c r="D454" s="7">
        <v>0</v>
      </c>
      <c r="E454" s="7">
        <v>0</v>
      </c>
      <c r="F454" s="7">
        <v>2</v>
      </c>
      <c r="G454" s="7">
        <v>2</v>
      </c>
      <c r="H454" s="8">
        <v>9</v>
      </c>
    </row>
    <row r="455" spans="2:8">
      <c r="B455" s="6">
        <v>40812</v>
      </c>
      <c r="C455" s="7">
        <v>21</v>
      </c>
      <c r="D455" s="7">
        <v>0</v>
      </c>
      <c r="E455" s="7">
        <v>0</v>
      </c>
      <c r="F455" s="7">
        <v>1</v>
      </c>
      <c r="G455" s="7">
        <v>1</v>
      </c>
      <c r="H455" s="8">
        <v>4</v>
      </c>
    </row>
    <row r="456" spans="2:8">
      <c r="B456" s="6">
        <v>40813</v>
      </c>
      <c r="C456" s="7">
        <v>19</v>
      </c>
      <c r="D456" s="7">
        <v>0</v>
      </c>
      <c r="E456" s="7">
        <v>0</v>
      </c>
      <c r="F456" s="7">
        <v>1</v>
      </c>
      <c r="G456" s="7">
        <v>1</v>
      </c>
      <c r="H456" s="8">
        <v>4</v>
      </c>
    </row>
    <row r="457" spans="2:8">
      <c r="B457" s="6">
        <v>40814</v>
      </c>
      <c r="C457" s="7">
        <v>24</v>
      </c>
      <c r="D457" s="7">
        <v>0</v>
      </c>
      <c r="E457" s="7">
        <v>0</v>
      </c>
      <c r="F457" s="7">
        <v>1</v>
      </c>
      <c r="G457" s="7">
        <v>1</v>
      </c>
      <c r="H457" s="8">
        <v>4</v>
      </c>
    </row>
    <row r="458" spans="2:8">
      <c r="B458" s="6">
        <v>40815</v>
      </c>
      <c r="C458" s="7">
        <v>26</v>
      </c>
      <c r="D458" s="7">
        <v>0</v>
      </c>
      <c r="E458" s="7">
        <v>0</v>
      </c>
      <c r="F458" s="7">
        <v>1</v>
      </c>
      <c r="G458" s="7">
        <v>1</v>
      </c>
      <c r="H458" s="8">
        <v>4</v>
      </c>
    </row>
    <row r="459" spans="2:8">
      <c r="B459" s="6">
        <v>40816</v>
      </c>
      <c r="C459" s="7">
        <v>29</v>
      </c>
      <c r="D459" s="7">
        <v>0</v>
      </c>
      <c r="E459" s="7">
        <v>0</v>
      </c>
      <c r="F459" s="7">
        <v>1</v>
      </c>
      <c r="G459" s="7">
        <v>1</v>
      </c>
      <c r="H459" s="8">
        <v>4</v>
      </c>
    </row>
    <row r="460" spans="2:8">
      <c r="B460" s="6">
        <v>40817</v>
      </c>
      <c r="C460" s="7">
        <v>26</v>
      </c>
      <c r="D460" s="7">
        <v>0</v>
      </c>
      <c r="E460" s="7">
        <v>0</v>
      </c>
      <c r="F460" s="7">
        <v>2</v>
      </c>
      <c r="G460" s="7">
        <v>1</v>
      </c>
      <c r="H460" s="8">
        <v>6</v>
      </c>
    </row>
    <row r="461" spans="2:8">
      <c r="B461" s="6">
        <v>40818</v>
      </c>
      <c r="C461" s="7">
        <v>27</v>
      </c>
      <c r="D461" s="7">
        <v>0</v>
      </c>
      <c r="E461" s="7">
        <v>0</v>
      </c>
      <c r="F461" s="7">
        <v>1</v>
      </c>
      <c r="G461" s="7">
        <v>1</v>
      </c>
      <c r="H461" s="8">
        <v>4</v>
      </c>
    </row>
    <row r="462" spans="2:8">
      <c r="B462" s="6">
        <v>40819</v>
      </c>
      <c r="C462" s="7">
        <v>20</v>
      </c>
      <c r="D462" s="7">
        <v>0</v>
      </c>
      <c r="E462" s="7">
        <v>0</v>
      </c>
      <c r="F462" s="7">
        <v>1</v>
      </c>
      <c r="G462" s="7">
        <v>-1</v>
      </c>
      <c r="H462" s="8">
        <v>0</v>
      </c>
    </row>
    <row r="463" spans="2:8">
      <c r="B463" s="6">
        <v>40820</v>
      </c>
      <c r="C463" s="7">
        <v>14</v>
      </c>
      <c r="D463" s="7">
        <v>0</v>
      </c>
      <c r="E463" s="7">
        <v>0</v>
      </c>
      <c r="F463" s="7">
        <v>0</v>
      </c>
      <c r="G463" s="7">
        <v>0</v>
      </c>
      <c r="H463" s="8">
        <v>1</v>
      </c>
    </row>
    <row r="464" spans="2:8">
      <c r="B464" s="6">
        <v>40821</v>
      </c>
      <c r="C464" s="7">
        <v>16</v>
      </c>
      <c r="D464" s="7">
        <v>0</v>
      </c>
      <c r="E464" s="7">
        <v>0</v>
      </c>
      <c r="F464" s="7">
        <v>0</v>
      </c>
      <c r="G464" s="7">
        <v>0</v>
      </c>
      <c r="H464" s="8">
        <v>1</v>
      </c>
    </row>
    <row r="465" spans="2:8">
      <c r="B465" s="6">
        <v>40822</v>
      </c>
      <c r="C465" s="7">
        <v>15</v>
      </c>
      <c r="D465" s="7">
        <v>0</v>
      </c>
      <c r="E465" s="7">
        <v>0</v>
      </c>
      <c r="F465" s="7">
        <v>0</v>
      </c>
      <c r="G465" s="7">
        <v>0</v>
      </c>
      <c r="H465" s="8">
        <v>1</v>
      </c>
    </row>
    <row r="466" spans="2:8">
      <c r="B466" s="6">
        <v>40823</v>
      </c>
      <c r="C466" s="7">
        <v>15</v>
      </c>
      <c r="D466" s="7">
        <v>0</v>
      </c>
      <c r="E466" s="7">
        <v>0</v>
      </c>
      <c r="F466" s="7">
        <v>0</v>
      </c>
      <c r="G466" s="7">
        <v>0</v>
      </c>
      <c r="H466" s="8">
        <v>1</v>
      </c>
    </row>
    <row r="467" spans="2:8">
      <c r="B467" s="6">
        <v>40824</v>
      </c>
      <c r="C467" s="7">
        <v>21</v>
      </c>
      <c r="D467" s="7">
        <v>0</v>
      </c>
      <c r="E467" s="7">
        <v>0</v>
      </c>
      <c r="F467" s="7">
        <v>2</v>
      </c>
      <c r="G467" s="7">
        <v>1</v>
      </c>
      <c r="H467" s="8">
        <v>6</v>
      </c>
    </row>
    <row r="468" spans="2:8">
      <c r="B468" s="6">
        <v>40825</v>
      </c>
      <c r="C468" s="7">
        <v>21</v>
      </c>
      <c r="D468" s="7">
        <v>0</v>
      </c>
      <c r="E468" s="7">
        <v>0</v>
      </c>
      <c r="F468" s="7">
        <v>2</v>
      </c>
      <c r="G468" s="7">
        <v>1</v>
      </c>
      <c r="H468" s="8">
        <v>6</v>
      </c>
    </row>
    <row r="469" spans="2:8">
      <c r="B469" s="6">
        <v>40826</v>
      </c>
      <c r="C469" s="7">
        <v>17</v>
      </c>
      <c r="D469" s="7">
        <v>0</v>
      </c>
      <c r="E469" s="7">
        <v>0</v>
      </c>
      <c r="F469" s="7">
        <v>1</v>
      </c>
      <c r="G469" s="7">
        <v>0</v>
      </c>
      <c r="H469" s="8">
        <v>2</v>
      </c>
    </row>
    <row r="470" spans="2:8">
      <c r="B470" s="6">
        <v>40827</v>
      </c>
      <c r="C470" s="7">
        <v>9</v>
      </c>
      <c r="D470" s="7">
        <v>0</v>
      </c>
      <c r="E470" s="7">
        <v>0</v>
      </c>
      <c r="F470" s="7">
        <v>0</v>
      </c>
      <c r="G470" s="7">
        <v>0</v>
      </c>
      <c r="H470" s="8">
        <v>1</v>
      </c>
    </row>
    <row r="471" spans="2:8">
      <c r="B471" s="6">
        <v>40828</v>
      </c>
      <c r="C471" s="7">
        <v>10</v>
      </c>
      <c r="D471" s="7">
        <v>0</v>
      </c>
      <c r="E471" s="7">
        <v>0</v>
      </c>
      <c r="F471" s="7">
        <v>0</v>
      </c>
      <c r="G471" s="7">
        <v>0</v>
      </c>
      <c r="H471" s="8">
        <v>1</v>
      </c>
    </row>
    <row r="472" spans="2:8">
      <c r="B472" s="6">
        <v>40829</v>
      </c>
      <c r="C472" s="7">
        <v>14</v>
      </c>
      <c r="D472" s="7">
        <v>0</v>
      </c>
      <c r="E472" s="7">
        <v>0</v>
      </c>
      <c r="F472" s="7">
        <v>0</v>
      </c>
      <c r="G472" s="7">
        <v>0</v>
      </c>
      <c r="H472" s="8">
        <v>1</v>
      </c>
    </row>
    <row r="473" spans="2:8">
      <c r="B473" s="6">
        <v>40830</v>
      </c>
      <c r="C473" s="7">
        <v>14</v>
      </c>
      <c r="D473" s="7">
        <v>0</v>
      </c>
      <c r="E473" s="7">
        <v>0</v>
      </c>
      <c r="F473" s="7">
        <v>0</v>
      </c>
      <c r="G473" s="7">
        <v>0</v>
      </c>
      <c r="H473" s="8">
        <v>1</v>
      </c>
    </row>
    <row r="474" spans="2:8">
      <c r="B474" s="6">
        <v>40831</v>
      </c>
      <c r="C474" s="7">
        <v>22</v>
      </c>
      <c r="D474" s="7">
        <v>0</v>
      </c>
      <c r="E474" s="7">
        <v>0</v>
      </c>
      <c r="F474" s="7">
        <v>1</v>
      </c>
      <c r="G474" s="7">
        <v>1</v>
      </c>
      <c r="H474" s="8">
        <v>4</v>
      </c>
    </row>
    <row r="475" spans="2:8">
      <c r="B475" s="6">
        <v>40832</v>
      </c>
      <c r="C475" s="7">
        <v>24</v>
      </c>
      <c r="D475" s="7">
        <v>0</v>
      </c>
      <c r="E475" s="7">
        <v>0</v>
      </c>
      <c r="F475" s="7">
        <v>1</v>
      </c>
      <c r="G475" s="7">
        <v>0</v>
      </c>
      <c r="H475" s="8">
        <v>2</v>
      </c>
    </row>
    <row r="476" spans="2:8">
      <c r="B476" s="6">
        <v>40833</v>
      </c>
      <c r="C476" s="7">
        <v>18</v>
      </c>
      <c r="D476" s="7">
        <v>0</v>
      </c>
      <c r="E476" s="7">
        <v>0</v>
      </c>
      <c r="F476" s="7">
        <v>0</v>
      </c>
      <c r="G476" s="7">
        <v>0</v>
      </c>
      <c r="H476" s="8">
        <v>1</v>
      </c>
    </row>
    <row r="477" spans="2:8">
      <c r="B477" s="6">
        <v>40834</v>
      </c>
      <c r="C477" s="7">
        <v>13</v>
      </c>
      <c r="D477" s="7">
        <v>0</v>
      </c>
      <c r="E477" s="7">
        <v>0</v>
      </c>
      <c r="F477" s="7">
        <v>0</v>
      </c>
      <c r="G477" s="7">
        <v>0</v>
      </c>
      <c r="H477" s="8">
        <v>1</v>
      </c>
    </row>
    <row r="478" spans="2:8">
      <c r="B478" s="6">
        <v>40835</v>
      </c>
      <c r="C478" s="7">
        <v>7</v>
      </c>
      <c r="D478" s="7">
        <v>0</v>
      </c>
      <c r="E478" s="7">
        <v>0</v>
      </c>
      <c r="F478" s="7">
        <v>0</v>
      </c>
      <c r="G478" s="7">
        <v>0</v>
      </c>
      <c r="H478" s="8">
        <v>1</v>
      </c>
    </row>
    <row r="479" spans="2:8">
      <c r="B479" s="6">
        <v>40836</v>
      </c>
      <c r="C479" s="7">
        <v>13</v>
      </c>
      <c r="D479" s="7">
        <v>0</v>
      </c>
      <c r="E479" s="7">
        <v>0</v>
      </c>
      <c r="F479" s="7">
        <v>0</v>
      </c>
      <c r="G479" s="7">
        <v>0</v>
      </c>
      <c r="H479" s="8">
        <v>1</v>
      </c>
    </row>
    <row r="480" spans="2:8">
      <c r="B480" s="6">
        <v>40837</v>
      </c>
      <c r="C480" s="7">
        <v>18</v>
      </c>
      <c r="D480" s="7">
        <v>0</v>
      </c>
      <c r="E480" s="7">
        <v>0</v>
      </c>
      <c r="F480" s="7">
        <v>0</v>
      </c>
      <c r="G480" s="7">
        <v>0</v>
      </c>
      <c r="H480" s="8">
        <v>1</v>
      </c>
    </row>
    <row r="481" spans="2:8">
      <c r="B481" s="6">
        <v>40838</v>
      </c>
      <c r="C481" s="7">
        <v>17</v>
      </c>
      <c r="D481" s="7">
        <v>0</v>
      </c>
      <c r="E481" s="7">
        <v>0</v>
      </c>
      <c r="F481" s="7">
        <v>1</v>
      </c>
      <c r="G481" s="7">
        <v>1</v>
      </c>
      <c r="H481" s="8">
        <v>4</v>
      </c>
    </row>
    <row r="482" spans="2:8">
      <c r="B482" s="6">
        <v>40839</v>
      </c>
      <c r="C482" s="7">
        <v>21</v>
      </c>
      <c r="D482" s="7">
        <v>0</v>
      </c>
      <c r="E482" s="7">
        <v>0</v>
      </c>
      <c r="F482" s="7">
        <v>1</v>
      </c>
      <c r="G482" s="7">
        <v>1</v>
      </c>
      <c r="H482" s="8">
        <v>4</v>
      </c>
    </row>
    <row r="483" spans="2:8">
      <c r="B483" s="6">
        <v>40840</v>
      </c>
      <c r="C483" s="7">
        <v>14</v>
      </c>
      <c r="D483" s="7">
        <v>0</v>
      </c>
      <c r="E483" s="7">
        <v>0</v>
      </c>
      <c r="F483" s="7">
        <v>0</v>
      </c>
      <c r="G483" s="7">
        <v>0</v>
      </c>
      <c r="H483" s="8">
        <v>1</v>
      </c>
    </row>
    <row r="484" spans="2:8">
      <c r="B484" s="6">
        <v>40841</v>
      </c>
      <c r="C484" s="7">
        <v>17</v>
      </c>
      <c r="D484" s="7">
        <v>0</v>
      </c>
      <c r="E484" s="7">
        <v>0</v>
      </c>
      <c r="F484" s="7">
        <v>0</v>
      </c>
      <c r="G484" s="7">
        <v>0</v>
      </c>
      <c r="H484" s="8">
        <v>1</v>
      </c>
    </row>
    <row r="485" spans="2:8">
      <c r="B485" s="6">
        <v>40842</v>
      </c>
      <c r="C485" s="7">
        <v>23</v>
      </c>
      <c r="D485" s="7">
        <v>0</v>
      </c>
      <c r="E485" s="7">
        <v>0</v>
      </c>
      <c r="F485" s="7">
        <v>0</v>
      </c>
      <c r="G485" s="7">
        <v>0</v>
      </c>
      <c r="H485" s="8">
        <v>1</v>
      </c>
    </row>
    <row r="486" spans="2:8">
      <c r="B486" s="6">
        <v>40843</v>
      </c>
      <c r="C486" s="7">
        <v>24</v>
      </c>
      <c r="D486" s="7">
        <v>0</v>
      </c>
      <c r="E486" s="7">
        <v>0</v>
      </c>
      <c r="F486" s="7">
        <v>0</v>
      </c>
      <c r="G486" s="7">
        <v>0</v>
      </c>
      <c r="H486" s="8">
        <v>1</v>
      </c>
    </row>
    <row r="487" spans="2:8">
      <c r="B487" s="6">
        <v>40844</v>
      </c>
      <c r="C487" s="7">
        <v>25</v>
      </c>
      <c r="D487" s="7">
        <v>0</v>
      </c>
      <c r="E487" s="7">
        <v>0</v>
      </c>
      <c r="F487" s="7">
        <v>1</v>
      </c>
      <c r="G487" s="7">
        <v>1</v>
      </c>
      <c r="H487" s="8">
        <v>4</v>
      </c>
    </row>
    <row r="488" spans="2:8">
      <c r="B488" s="6">
        <v>40845</v>
      </c>
      <c r="C488" s="7">
        <v>35</v>
      </c>
      <c r="D488" s="7">
        <v>0</v>
      </c>
      <c r="E488" s="7">
        <v>0</v>
      </c>
      <c r="F488" s="7">
        <v>2</v>
      </c>
      <c r="G488" s="7">
        <v>2</v>
      </c>
      <c r="H488" s="8">
        <v>9</v>
      </c>
    </row>
    <row r="489" spans="2:8">
      <c r="B489" s="6">
        <v>40846</v>
      </c>
      <c r="C489" s="7">
        <v>22</v>
      </c>
      <c r="D489" s="7">
        <v>0</v>
      </c>
      <c r="E489" s="7">
        <v>0</v>
      </c>
      <c r="F489" s="7">
        <v>2</v>
      </c>
      <c r="G489" s="7">
        <v>1</v>
      </c>
      <c r="H489" s="8">
        <v>6</v>
      </c>
    </row>
    <row r="490" spans="2:8">
      <c r="B490" s="6">
        <v>40847</v>
      </c>
      <c r="C490" s="7">
        <v>27</v>
      </c>
      <c r="D490" s="7">
        <v>0</v>
      </c>
      <c r="E490" s="7">
        <v>0</v>
      </c>
      <c r="F490" s="7">
        <v>1</v>
      </c>
      <c r="G490" s="7">
        <v>1</v>
      </c>
      <c r="H490" s="8">
        <v>4</v>
      </c>
    </row>
    <row r="491" spans="2:8">
      <c r="B491" s="6">
        <v>40848</v>
      </c>
      <c r="C491" s="7">
        <v>21</v>
      </c>
      <c r="D491" s="7">
        <v>0</v>
      </c>
      <c r="E491" s="7">
        <v>0</v>
      </c>
      <c r="F491" s="7">
        <v>1</v>
      </c>
      <c r="G491" s="7">
        <v>1</v>
      </c>
      <c r="H491" s="8">
        <v>4</v>
      </c>
    </row>
    <row r="492" spans="2:8">
      <c r="B492" s="6">
        <v>40849</v>
      </c>
      <c r="C492" s="7">
        <v>21</v>
      </c>
      <c r="D492" s="7">
        <v>0</v>
      </c>
      <c r="E492" s="7">
        <v>0</v>
      </c>
      <c r="F492" s="7">
        <v>1</v>
      </c>
      <c r="G492" s="7">
        <v>0</v>
      </c>
      <c r="H492" s="8">
        <v>2</v>
      </c>
    </row>
    <row r="493" spans="2:8">
      <c r="B493" s="6">
        <v>40850</v>
      </c>
      <c r="C493" s="7">
        <v>22</v>
      </c>
      <c r="D493" s="7">
        <v>0</v>
      </c>
      <c r="E493" s="7">
        <v>0</v>
      </c>
      <c r="F493" s="7">
        <v>2</v>
      </c>
      <c r="G493" s="7">
        <v>1</v>
      </c>
      <c r="H493" s="8">
        <v>6</v>
      </c>
    </row>
    <row r="494" spans="2:8">
      <c r="B494" s="6">
        <v>40851</v>
      </c>
      <c r="C494" s="7">
        <v>22</v>
      </c>
      <c r="D494" s="7">
        <v>0</v>
      </c>
      <c r="E494" s="7">
        <v>0</v>
      </c>
      <c r="F494" s="7">
        <v>1</v>
      </c>
      <c r="G494" s="7">
        <v>1</v>
      </c>
      <c r="H494" s="8">
        <v>4</v>
      </c>
    </row>
    <row r="495" spans="2:8">
      <c r="B495" s="6">
        <v>40852</v>
      </c>
      <c r="C495" s="7">
        <v>28</v>
      </c>
      <c r="D495" s="7">
        <v>0</v>
      </c>
      <c r="E495" s="7">
        <v>0</v>
      </c>
      <c r="F495" s="7">
        <v>1</v>
      </c>
      <c r="G495" s="7">
        <v>0</v>
      </c>
      <c r="H495" s="8">
        <v>2</v>
      </c>
    </row>
    <row r="496" spans="2:8">
      <c r="B496" s="6">
        <v>40853</v>
      </c>
      <c r="C496" s="7">
        <v>10</v>
      </c>
      <c r="D496" s="7">
        <v>0</v>
      </c>
      <c r="E496" s="7">
        <v>0</v>
      </c>
      <c r="F496" s="7">
        <v>1</v>
      </c>
      <c r="G496" s="7">
        <v>0</v>
      </c>
      <c r="H496" s="8">
        <v>2</v>
      </c>
    </row>
    <row r="497" spans="2:8">
      <c r="B497" s="6">
        <v>40854</v>
      </c>
      <c r="C497" s="7">
        <v>14</v>
      </c>
      <c r="D497" s="7">
        <v>0</v>
      </c>
      <c r="E497" s="7">
        <v>0</v>
      </c>
      <c r="F497" s="7">
        <v>0</v>
      </c>
      <c r="G497" s="7">
        <v>0</v>
      </c>
      <c r="H497" s="8">
        <v>1</v>
      </c>
    </row>
    <row r="498" spans="2:8">
      <c r="B498" s="6">
        <v>40855</v>
      </c>
      <c r="C498" s="7">
        <v>17</v>
      </c>
      <c r="D498" s="7">
        <v>0</v>
      </c>
      <c r="E498" s="7">
        <v>0</v>
      </c>
      <c r="F498" s="7">
        <v>0</v>
      </c>
      <c r="G498" s="7">
        <v>0</v>
      </c>
      <c r="H498" s="8">
        <v>1</v>
      </c>
    </row>
    <row r="499" spans="2:8">
      <c r="B499" s="6">
        <v>40856</v>
      </c>
      <c r="C499" s="7">
        <v>11</v>
      </c>
      <c r="D499" s="7">
        <v>0</v>
      </c>
      <c r="E499" s="7">
        <v>0</v>
      </c>
      <c r="F499" s="7">
        <v>0</v>
      </c>
      <c r="G499" s="7">
        <v>0</v>
      </c>
      <c r="H499" s="8">
        <v>1</v>
      </c>
    </row>
    <row r="500" spans="2:8">
      <c r="B500" s="6">
        <v>40857</v>
      </c>
      <c r="C500" s="7">
        <v>12</v>
      </c>
      <c r="D500" s="7">
        <v>0</v>
      </c>
      <c r="E500" s="7">
        <v>0</v>
      </c>
      <c r="F500" s="7">
        <v>0</v>
      </c>
      <c r="G500" s="7">
        <v>0</v>
      </c>
      <c r="H500" s="8">
        <v>1</v>
      </c>
    </row>
    <row r="501" spans="2:8">
      <c r="B501" s="6">
        <v>40858</v>
      </c>
      <c r="C501" s="7">
        <v>25</v>
      </c>
      <c r="D501" s="7">
        <v>0</v>
      </c>
      <c r="E501" s="7">
        <v>0</v>
      </c>
      <c r="F501" s="7">
        <v>0</v>
      </c>
      <c r="G501" s="7">
        <v>0</v>
      </c>
      <c r="H501" s="8">
        <v>1</v>
      </c>
    </row>
    <row r="502" spans="2:8">
      <c r="B502" s="6">
        <v>40859</v>
      </c>
      <c r="C502" s="7">
        <v>27</v>
      </c>
      <c r="D502" s="7">
        <v>0</v>
      </c>
      <c r="E502" s="7">
        <v>0</v>
      </c>
      <c r="F502" s="7">
        <v>1</v>
      </c>
      <c r="G502" s="7">
        <v>1</v>
      </c>
      <c r="H502" s="8">
        <v>4</v>
      </c>
    </row>
    <row r="503" spans="2:8">
      <c r="B503" s="6">
        <v>40860</v>
      </c>
      <c r="C503" s="7">
        <v>21</v>
      </c>
      <c r="D503" s="7">
        <v>0</v>
      </c>
      <c r="E503" s="7">
        <v>0</v>
      </c>
      <c r="F503" s="7">
        <v>0</v>
      </c>
      <c r="G503" s="7">
        <v>0</v>
      </c>
      <c r="H503" s="8">
        <v>1</v>
      </c>
    </row>
    <row r="504" spans="2:8">
      <c r="B504" s="6">
        <v>40861</v>
      </c>
      <c r="C504" s="7">
        <v>13</v>
      </c>
      <c r="D504" s="7">
        <v>0</v>
      </c>
      <c r="E504" s="7">
        <v>0</v>
      </c>
      <c r="F504" s="7">
        <v>0</v>
      </c>
      <c r="G504" s="7">
        <v>0</v>
      </c>
      <c r="H504" s="8">
        <v>1</v>
      </c>
    </row>
    <row r="505" spans="2:8">
      <c r="B505" s="6">
        <v>40862</v>
      </c>
      <c r="C505" s="7">
        <v>11</v>
      </c>
      <c r="D505" s="7">
        <v>0</v>
      </c>
      <c r="E505" s="7">
        <v>0</v>
      </c>
      <c r="F505" s="7">
        <v>0</v>
      </c>
      <c r="G505" s="7">
        <v>0</v>
      </c>
      <c r="H505" s="8">
        <v>1</v>
      </c>
    </row>
    <row r="506" spans="2:8">
      <c r="B506" s="6">
        <v>40863</v>
      </c>
      <c r="C506" s="7">
        <v>19</v>
      </c>
      <c r="D506" s="7">
        <v>0</v>
      </c>
      <c r="E506" s="7">
        <v>0</v>
      </c>
      <c r="F506" s="7">
        <v>0</v>
      </c>
      <c r="G506" s="7">
        <v>0</v>
      </c>
      <c r="H506" s="8">
        <v>1</v>
      </c>
    </row>
    <row r="507" spans="2:8">
      <c r="B507" s="6">
        <v>40864</v>
      </c>
      <c r="C507" s="7">
        <v>11</v>
      </c>
      <c r="D507" s="7">
        <v>0</v>
      </c>
      <c r="E507" s="7">
        <v>0</v>
      </c>
      <c r="F507" s="7">
        <v>0</v>
      </c>
      <c r="G507" s="7">
        <v>0</v>
      </c>
      <c r="H507" s="8">
        <v>1</v>
      </c>
    </row>
    <row r="508" spans="2:8">
      <c r="B508" s="6">
        <v>40865</v>
      </c>
      <c r="C508" s="7">
        <v>11</v>
      </c>
      <c r="D508" s="7">
        <v>0</v>
      </c>
      <c r="E508" s="7">
        <v>0</v>
      </c>
      <c r="F508" s="7">
        <v>0</v>
      </c>
      <c r="G508" s="7">
        <v>0</v>
      </c>
      <c r="H508" s="8">
        <v>1</v>
      </c>
    </row>
    <row r="509" spans="2:8">
      <c r="B509" s="6">
        <v>40866</v>
      </c>
      <c r="C509" s="7">
        <v>15</v>
      </c>
      <c r="D509" s="7">
        <v>0</v>
      </c>
      <c r="E509" s="7">
        <v>0</v>
      </c>
      <c r="F509" s="7">
        <v>1</v>
      </c>
      <c r="G509" s="7">
        <v>1</v>
      </c>
      <c r="H509" s="8">
        <v>4</v>
      </c>
    </row>
    <row r="510" spans="2:8">
      <c r="B510" s="6">
        <v>40867</v>
      </c>
      <c r="C510" s="7">
        <v>29</v>
      </c>
      <c r="D510" s="7">
        <v>0</v>
      </c>
      <c r="E510" s="7">
        <v>0</v>
      </c>
      <c r="F510" s="7">
        <v>1</v>
      </c>
      <c r="G510" s="7">
        <v>0</v>
      </c>
      <c r="H510" s="8">
        <v>2</v>
      </c>
    </row>
    <row r="511" spans="2:8">
      <c r="B511" s="6">
        <v>40868</v>
      </c>
      <c r="C511" s="7">
        <v>18</v>
      </c>
      <c r="D511" s="7">
        <v>0</v>
      </c>
      <c r="E511" s="7">
        <v>0</v>
      </c>
      <c r="F511" s="7">
        <v>0</v>
      </c>
      <c r="G511" s="7">
        <v>0</v>
      </c>
      <c r="H511" s="8">
        <v>1</v>
      </c>
    </row>
    <row r="512" spans="2:8">
      <c r="B512" s="6">
        <v>40869</v>
      </c>
      <c r="C512" s="7">
        <v>14</v>
      </c>
      <c r="D512" s="7">
        <v>0</v>
      </c>
      <c r="E512" s="7">
        <v>0</v>
      </c>
      <c r="F512" s="7">
        <v>0</v>
      </c>
      <c r="G512" s="7">
        <v>0</v>
      </c>
      <c r="H512" s="8">
        <v>1</v>
      </c>
    </row>
    <row r="513" spans="2:8">
      <c r="B513" s="6">
        <v>40870</v>
      </c>
      <c r="C513" s="7">
        <v>12</v>
      </c>
      <c r="D513" s="7">
        <v>0</v>
      </c>
      <c r="E513" s="7">
        <v>0</v>
      </c>
      <c r="F513" s="7">
        <v>0</v>
      </c>
      <c r="G513" s="7">
        <v>0</v>
      </c>
      <c r="H513" s="8">
        <v>1</v>
      </c>
    </row>
    <row r="514" spans="2:8">
      <c r="B514" s="6">
        <v>40871</v>
      </c>
      <c r="C514" s="7">
        <v>21</v>
      </c>
      <c r="D514" s="7">
        <v>0</v>
      </c>
      <c r="E514" s="7">
        <v>0</v>
      </c>
      <c r="F514" s="7">
        <v>0</v>
      </c>
      <c r="G514" s="7">
        <v>0</v>
      </c>
      <c r="H514" s="8">
        <v>1</v>
      </c>
    </row>
    <row r="515" spans="2:8">
      <c r="B515" s="6">
        <v>40872</v>
      </c>
      <c r="C515" s="7">
        <v>30</v>
      </c>
      <c r="D515" s="7">
        <v>0</v>
      </c>
      <c r="E515" s="7">
        <v>0</v>
      </c>
      <c r="F515" s="7">
        <v>1</v>
      </c>
      <c r="G515" s="7">
        <v>1</v>
      </c>
      <c r="H515" s="8">
        <v>4</v>
      </c>
    </row>
    <row r="516" spans="2:8">
      <c r="B516" s="6">
        <v>40873</v>
      </c>
      <c r="C516" s="7">
        <v>31</v>
      </c>
      <c r="D516" s="7">
        <v>0</v>
      </c>
      <c r="E516" s="7">
        <v>0</v>
      </c>
      <c r="F516" s="7">
        <v>2</v>
      </c>
      <c r="G516" s="7">
        <v>1</v>
      </c>
      <c r="H516" s="8">
        <v>6</v>
      </c>
    </row>
    <row r="517" spans="2:8">
      <c r="B517" s="6">
        <v>40874</v>
      </c>
      <c r="C517" s="7">
        <v>32</v>
      </c>
      <c r="D517" s="7">
        <v>0</v>
      </c>
      <c r="E517" s="7">
        <v>0</v>
      </c>
      <c r="F517" s="7">
        <v>1</v>
      </c>
      <c r="G517" s="7">
        <v>1</v>
      </c>
      <c r="H517" s="8">
        <v>4</v>
      </c>
    </row>
    <row r="518" spans="2:8">
      <c r="B518" s="6">
        <v>40875</v>
      </c>
      <c r="C518" s="7">
        <v>27</v>
      </c>
      <c r="D518" s="7">
        <v>0</v>
      </c>
      <c r="E518" s="7">
        <v>0</v>
      </c>
      <c r="F518" s="7">
        <v>0</v>
      </c>
      <c r="G518" s="7">
        <v>0</v>
      </c>
      <c r="H518" s="8">
        <v>1</v>
      </c>
    </row>
    <row r="519" spans="2:8">
      <c r="B519" s="6">
        <v>40876</v>
      </c>
      <c r="C519" s="7">
        <v>20</v>
      </c>
      <c r="D519" s="7">
        <v>0</v>
      </c>
      <c r="E519" s="7">
        <v>0</v>
      </c>
      <c r="F519" s="7">
        <v>0</v>
      </c>
      <c r="G519" s="7">
        <v>0</v>
      </c>
      <c r="H519" s="8">
        <v>1</v>
      </c>
    </row>
    <row r="520" spans="2:8">
      <c r="B520" s="6">
        <v>40877</v>
      </c>
      <c r="C520" s="7">
        <v>20</v>
      </c>
      <c r="D520" s="7">
        <v>0</v>
      </c>
      <c r="E520" s="7">
        <v>0</v>
      </c>
      <c r="F520" s="7">
        <v>1</v>
      </c>
      <c r="G520" s="7">
        <v>1</v>
      </c>
      <c r="H520" s="8">
        <v>4</v>
      </c>
    </row>
    <row r="521" spans="2:8">
      <c r="B521" s="6">
        <v>40878</v>
      </c>
      <c r="C521" s="7">
        <v>15</v>
      </c>
      <c r="D521" s="7">
        <v>0</v>
      </c>
      <c r="E521" s="7">
        <v>0</v>
      </c>
      <c r="F521" s="7">
        <v>1</v>
      </c>
      <c r="G521" s="7">
        <v>1</v>
      </c>
      <c r="H521" s="8">
        <v>4</v>
      </c>
    </row>
    <row r="522" spans="2:8">
      <c r="B522" s="6">
        <v>40879</v>
      </c>
      <c r="C522" s="7">
        <v>17</v>
      </c>
      <c r="D522" s="7">
        <v>0</v>
      </c>
      <c r="E522" s="7">
        <v>0</v>
      </c>
      <c r="F522" s="7">
        <v>1</v>
      </c>
      <c r="G522" s="7">
        <v>1</v>
      </c>
      <c r="H522" s="8">
        <v>4</v>
      </c>
    </row>
    <row r="523" spans="2:8">
      <c r="B523" s="6">
        <v>40880</v>
      </c>
      <c r="C523" s="7">
        <v>32</v>
      </c>
      <c r="D523" s="7">
        <v>0</v>
      </c>
      <c r="E523" s="7">
        <v>0</v>
      </c>
      <c r="F523" s="7">
        <v>2</v>
      </c>
      <c r="G523" s="7">
        <v>1</v>
      </c>
      <c r="H523" s="8">
        <v>6</v>
      </c>
    </row>
    <row r="524" spans="2:8">
      <c r="B524" s="6">
        <v>40881</v>
      </c>
      <c r="C524" s="7">
        <v>17</v>
      </c>
      <c r="D524" s="7">
        <v>0</v>
      </c>
      <c r="E524" s="7">
        <v>0</v>
      </c>
      <c r="F524" s="7">
        <v>1</v>
      </c>
      <c r="G524" s="7">
        <v>1</v>
      </c>
      <c r="H524" s="8">
        <v>4</v>
      </c>
    </row>
    <row r="525" spans="2:8">
      <c r="B525" s="6">
        <v>40882</v>
      </c>
      <c r="C525" s="7">
        <v>11</v>
      </c>
      <c r="D525" s="7">
        <v>0</v>
      </c>
      <c r="E525" s="7">
        <v>0</v>
      </c>
      <c r="F525" s="7">
        <v>0</v>
      </c>
      <c r="G525" s="7">
        <v>0</v>
      </c>
      <c r="H525" s="8">
        <v>1</v>
      </c>
    </row>
    <row r="526" spans="2:8">
      <c r="B526" s="6">
        <v>40883</v>
      </c>
      <c r="C526" s="7">
        <v>12</v>
      </c>
      <c r="D526" s="7">
        <v>0</v>
      </c>
      <c r="E526" s="7">
        <v>0</v>
      </c>
      <c r="F526" s="7">
        <v>0</v>
      </c>
      <c r="G526" s="7">
        <v>0</v>
      </c>
      <c r="H526" s="8">
        <v>1</v>
      </c>
    </row>
    <row r="527" spans="2:8">
      <c r="B527" s="6">
        <v>40884</v>
      </c>
      <c r="C527" s="7">
        <v>13</v>
      </c>
      <c r="D527" s="7">
        <v>0</v>
      </c>
      <c r="E527" s="7">
        <v>0</v>
      </c>
      <c r="F527" s="7">
        <v>0</v>
      </c>
      <c r="G527" s="7">
        <v>0</v>
      </c>
      <c r="H527" s="8">
        <v>1</v>
      </c>
    </row>
    <row r="528" spans="2:8">
      <c r="B528" s="6">
        <v>40885</v>
      </c>
      <c r="C528" s="7">
        <v>8</v>
      </c>
      <c r="D528" s="7">
        <v>0</v>
      </c>
      <c r="E528" s="7">
        <v>0</v>
      </c>
      <c r="F528" s="7">
        <v>0</v>
      </c>
      <c r="G528" s="7">
        <v>0</v>
      </c>
      <c r="H528" s="8">
        <v>1</v>
      </c>
    </row>
    <row r="529" spans="2:8">
      <c r="B529" s="6">
        <v>40886</v>
      </c>
      <c r="C529" s="7">
        <v>14</v>
      </c>
      <c r="D529" s="7">
        <v>0</v>
      </c>
      <c r="E529" s="7">
        <v>0</v>
      </c>
      <c r="F529" s="7">
        <v>0</v>
      </c>
      <c r="G529" s="7">
        <v>0</v>
      </c>
      <c r="H529" s="8">
        <v>1</v>
      </c>
    </row>
    <row r="530" spans="2:8">
      <c r="B530" s="6">
        <v>40887</v>
      </c>
      <c r="C530" s="7">
        <v>31</v>
      </c>
      <c r="D530" s="7">
        <v>0</v>
      </c>
      <c r="E530" s="7">
        <v>0</v>
      </c>
      <c r="F530" s="7">
        <v>1</v>
      </c>
      <c r="G530" s="7">
        <v>1</v>
      </c>
      <c r="H530" s="8">
        <v>4</v>
      </c>
    </row>
    <row r="531" spans="2:8">
      <c r="B531" s="6">
        <v>40888</v>
      </c>
      <c r="C531" s="7">
        <v>22</v>
      </c>
      <c r="D531" s="7">
        <v>0</v>
      </c>
      <c r="E531" s="7">
        <v>0</v>
      </c>
      <c r="F531" s="7">
        <v>1</v>
      </c>
      <c r="G531" s="7">
        <v>1</v>
      </c>
      <c r="H531" s="8">
        <v>4</v>
      </c>
    </row>
    <row r="532" spans="2:8">
      <c r="B532" s="6">
        <v>40889</v>
      </c>
      <c r="C532" s="7">
        <v>19</v>
      </c>
      <c r="D532" s="7">
        <v>0</v>
      </c>
      <c r="E532" s="7">
        <v>0</v>
      </c>
      <c r="F532" s="7">
        <v>0</v>
      </c>
      <c r="G532" s="7">
        <v>0</v>
      </c>
      <c r="H532" s="8">
        <v>1</v>
      </c>
    </row>
    <row r="533" spans="2:8">
      <c r="B533" s="6">
        <v>40890</v>
      </c>
      <c r="C533" s="7">
        <v>14</v>
      </c>
      <c r="D533" s="7">
        <v>0</v>
      </c>
      <c r="E533" s="7">
        <v>0</v>
      </c>
      <c r="F533" s="7">
        <v>0</v>
      </c>
      <c r="G533" s="7">
        <v>0</v>
      </c>
      <c r="H533" s="8">
        <v>1</v>
      </c>
    </row>
    <row r="534" spans="2:8">
      <c r="B534" s="6">
        <v>40891</v>
      </c>
      <c r="C534" s="7">
        <v>15</v>
      </c>
      <c r="D534" s="7">
        <v>0</v>
      </c>
      <c r="E534" s="7">
        <v>0</v>
      </c>
      <c r="F534" s="7">
        <v>0</v>
      </c>
      <c r="G534" s="7">
        <v>0</v>
      </c>
      <c r="H534" s="8">
        <v>1</v>
      </c>
    </row>
    <row r="535" spans="2:8">
      <c r="B535" s="6">
        <v>40892</v>
      </c>
      <c r="C535" s="7">
        <v>17</v>
      </c>
      <c r="D535" s="7">
        <v>0</v>
      </c>
      <c r="E535" s="7">
        <v>0</v>
      </c>
      <c r="F535" s="7">
        <v>0</v>
      </c>
      <c r="G535" s="7">
        <v>0</v>
      </c>
      <c r="H535" s="8">
        <v>1</v>
      </c>
    </row>
    <row r="536" spans="2:8">
      <c r="B536" s="6">
        <v>40893</v>
      </c>
      <c r="C536" s="7">
        <v>25</v>
      </c>
      <c r="D536" s="7">
        <v>0</v>
      </c>
      <c r="E536" s="7">
        <v>0</v>
      </c>
      <c r="F536" s="7">
        <v>0</v>
      </c>
      <c r="G536" s="7">
        <v>0</v>
      </c>
      <c r="H536" s="8">
        <v>1</v>
      </c>
    </row>
    <row r="537" spans="2:8">
      <c r="B537" s="6">
        <v>40894</v>
      </c>
      <c r="C537" s="7">
        <v>35</v>
      </c>
      <c r="D537" s="7">
        <v>0</v>
      </c>
      <c r="E537" s="7">
        <v>0</v>
      </c>
      <c r="F537" s="7">
        <v>1</v>
      </c>
      <c r="G537" s="7">
        <v>1</v>
      </c>
      <c r="H537" s="8">
        <v>4</v>
      </c>
    </row>
    <row r="538" spans="2:8">
      <c r="B538" s="6">
        <v>40895</v>
      </c>
      <c r="C538" s="7">
        <v>30</v>
      </c>
      <c r="D538" s="7">
        <v>0</v>
      </c>
      <c r="E538" s="7">
        <v>0</v>
      </c>
      <c r="F538" s="7">
        <v>1</v>
      </c>
      <c r="G538" s="7">
        <v>1</v>
      </c>
      <c r="H538" s="8">
        <v>4</v>
      </c>
    </row>
    <row r="539" spans="2:8">
      <c r="B539" s="6">
        <v>40896</v>
      </c>
      <c r="C539" s="7">
        <v>30</v>
      </c>
      <c r="D539" s="7">
        <v>0</v>
      </c>
      <c r="E539" s="7">
        <v>0</v>
      </c>
      <c r="F539" s="7">
        <v>1</v>
      </c>
      <c r="G539" s="7">
        <v>0</v>
      </c>
      <c r="H539" s="8">
        <v>2</v>
      </c>
    </row>
    <row r="540" spans="2:8">
      <c r="B540" s="6">
        <v>40897</v>
      </c>
      <c r="C540" s="7">
        <v>30</v>
      </c>
      <c r="D540" s="7">
        <v>0</v>
      </c>
      <c r="E540" s="7">
        <v>0</v>
      </c>
      <c r="F540" s="7">
        <v>0</v>
      </c>
      <c r="G540" s="7">
        <v>0</v>
      </c>
      <c r="H540" s="8">
        <v>1</v>
      </c>
    </row>
    <row r="541" spans="2:8">
      <c r="B541" s="6">
        <v>40898</v>
      </c>
      <c r="C541" s="7">
        <v>28</v>
      </c>
      <c r="D541" s="7">
        <v>0</v>
      </c>
      <c r="E541" s="7">
        <v>0</v>
      </c>
      <c r="F541" s="7">
        <v>0</v>
      </c>
      <c r="G541" s="7">
        <v>0</v>
      </c>
      <c r="H541" s="8">
        <v>1</v>
      </c>
    </row>
    <row r="542" spans="2:8">
      <c r="B542" s="6">
        <v>40899</v>
      </c>
      <c r="C542" s="7">
        <v>32</v>
      </c>
      <c r="D542" s="7">
        <v>0</v>
      </c>
      <c r="E542" s="7">
        <v>0</v>
      </c>
      <c r="F542" s="7">
        <v>1</v>
      </c>
      <c r="G542" s="7">
        <v>1</v>
      </c>
      <c r="H542" s="8">
        <v>4</v>
      </c>
    </row>
    <row r="543" spans="2:8">
      <c r="B543" s="6">
        <v>40900</v>
      </c>
      <c r="C543" s="7">
        <v>36</v>
      </c>
      <c r="D543" s="7">
        <v>0</v>
      </c>
      <c r="E543" s="7">
        <v>0</v>
      </c>
      <c r="F543" s="7">
        <v>2</v>
      </c>
      <c r="G543" s="7">
        <v>1</v>
      </c>
      <c r="H543" s="8">
        <v>6</v>
      </c>
    </row>
    <row r="544" spans="2:8">
      <c r="B544" s="6">
        <v>40901</v>
      </c>
      <c r="C544" s="7">
        <v>30</v>
      </c>
      <c r="D544" s="7">
        <v>0</v>
      </c>
      <c r="E544" s="7">
        <v>0</v>
      </c>
      <c r="F544" s="7">
        <v>2</v>
      </c>
      <c r="G544" s="7">
        <v>2</v>
      </c>
      <c r="H544" s="8">
        <v>9</v>
      </c>
    </row>
    <row r="545" spans="2:8">
      <c r="B545" s="6">
        <v>40902</v>
      </c>
      <c r="C545" s="7">
        <v>22</v>
      </c>
      <c r="D545" s="7">
        <v>0</v>
      </c>
      <c r="E545" s="7">
        <v>0</v>
      </c>
      <c r="F545" s="7">
        <v>1</v>
      </c>
      <c r="G545" s="7">
        <v>1</v>
      </c>
      <c r="H545" s="8">
        <v>4</v>
      </c>
    </row>
    <row r="546" spans="2:8">
      <c r="B546" s="6">
        <v>40903</v>
      </c>
      <c r="C546" s="7">
        <v>31</v>
      </c>
      <c r="D546" s="7">
        <v>0</v>
      </c>
      <c r="E546" s="7">
        <v>0</v>
      </c>
      <c r="F546" s="7">
        <v>1</v>
      </c>
      <c r="G546" s="7">
        <v>0</v>
      </c>
      <c r="H546" s="8">
        <v>2</v>
      </c>
    </row>
    <row r="547" spans="2:8">
      <c r="B547" s="6">
        <v>40904</v>
      </c>
      <c r="C547" s="7">
        <v>30</v>
      </c>
      <c r="D547" s="7">
        <v>0</v>
      </c>
      <c r="E547" s="7">
        <v>0</v>
      </c>
      <c r="F547" s="7">
        <v>1</v>
      </c>
      <c r="G547" s="7">
        <v>0</v>
      </c>
      <c r="H547" s="8">
        <v>2</v>
      </c>
    </row>
    <row r="548" spans="2:8">
      <c r="B548" s="6">
        <v>40905</v>
      </c>
      <c r="C548" s="7">
        <v>23</v>
      </c>
      <c r="D548" s="7">
        <v>0</v>
      </c>
      <c r="E548" s="7">
        <v>0</v>
      </c>
      <c r="F548" s="7">
        <v>1</v>
      </c>
      <c r="G548" s="7">
        <v>0</v>
      </c>
      <c r="H548" s="8">
        <v>2</v>
      </c>
    </row>
    <row r="549" spans="2:8">
      <c r="B549" s="6">
        <v>40906</v>
      </c>
      <c r="C549" s="7">
        <v>26</v>
      </c>
      <c r="D549" s="7">
        <v>0</v>
      </c>
      <c r="E549" s="7">
        <v>0</v>
      </c>
      <c r="F549" s="7">
        <v>1</v>
      </c>
      <c r="G549" s="7">
        <v>0</v>
      </c>
      <c r="H549" s="8">
        <v>2</v>
      </c>
    </row>
    <row r="550" spans="2:8">
      <c r="B550" s="6">
        <v>40907</v>
      </c>
      <c r="C550" s="7">
        <v>15</v>
      </c>
      <c r="D550" s="7">
        <v>0</v>
      </c>
      <c r="E550" s="7">
        <v>0</v>
      </c>
      <c r="F550" s="7">
        <v>1</v>
      </c>
      <c r="G550" s="7">
        <v>3</v>
      </c>
      <c r="H550" s="8">
        <v>8</v>
      </c>
    </row>
    <row r="551" spans="2:8">
      <c r="B551" s="6">
        <v>40908</v>
      </c>
      <c r="C551" s="7">
        <v>0</v>
      </c>
      <c r="D551" s="7">
        <v>0</v>
      </c>
      <c r="E551" s="7">
        <v>1</v>
      </c>
      <c r="F551" s="7">
        <v>-1</v>
      </c>
      <c r="G551" s="7">
        <v>-1</v>
      </c>
      <c r="H551" s="8">
        <v>0</v>
      </c>
    </row>
    <row r="552" spans="2:8">
      <c r="B552" s="6">
        <v>40909</v>
      </c>
      <c r="C552" s="7">
        <v>0</v>
      </c>
      <c r="D552" s="7">
        <v>0</v>
      </c>
      <c r="E552" s="7">
        <v>1</v>
      </c>
      <c r="F552" s="7">
        <v>-1</v>
      </c>
      <c r="G552" s="7">
        <v>-1</v>
      </c>
      <c r="H552" s="8">
        <v>0</v>
      </c>
    </row>
    <row r="553" spans="2:8">
      <c r="B553" s="6">
        <v>40910</v>
      </c>
      <c r="C553" s="7">
        <v>0</v>
      </c>
      <c r="D553" s="7">
        <v>0</v>
      </c>
      <c r="E553" s="7">
        <v>1</v>
      </c>
      <c r="F553" s="7">
        <v>-1</v>
      </c>
      <c r="G553" s="7">
        <v>-1</v>
      </c>
      <c r="H553" s="8">
        <v>0</v>
      </c>
    </row>
    <row r="554" spans="2:8">
      <c r="B554" s="6">
        <v>40911</v>
      </c>
      <c r="C554" s="7">
        <v>0</v>
      </c>
      <c r="D554" s="7">
        <v>0</v>
      </c>
      <c r="E554" s="7">
        <v>1</v>
      </c>
      <c r="F554" s="7">
        <v>-1</v>
      </c>
      <c r="G554" s="7">
        <v>-1</v>
      </c>
      <c r="H554" s="8">
        <v>0</v>
      </c>
    </row>
    <row r="555" spans="2:8">
      <c r="B555" s="6">
        <v>40912</v>
      </c>
      <c r="C555" s="7">
        <v>12</v>
      </c>
      <c r="D555" s="7">
        <v>0</v>
      </c>
      <c r="E555" s="7">
        <v>0</v>
      </c>
      <c r="F555" s="7">
        <v>0</v>
      </c>
      <c r="G555" s="7">
        <v>0</v>
      </c>
      <c r="H555" s="8">
        <v>1</v>
      </c>
    </row>
    <row r="556" spans="2:8">
      <c r="B556" s="6">
        <v>40913</v>
      </c>
      <c r="C556" s="7">
        <v>9</v>
      </c>
      <c r="D556" s="7">
        <v>0</v>
      </c>
      <c r="E556" s="7">
        <v>0</v>
      </c>
      <c r="F556" s="7">
        <v>0</v>
      </c>
      <c r="G556" s="7">
        <v>0</v>
      </c>
      <c r="H556" s="8">
        <v>1</v>
      </c>
    </row>
    <row r="557" spans="2:8">
      <c r="B557" s="6">
        <v>40914</v>
      </c>
      <c r="C557" s="7">
        <v>8</v>
      </c>
      <c r="D557" s="7">
        <v>0</v>
      </c>
      <c r="E557" s="7">
        <v>0</v>
      </c>
      <c r="F557" s="7">
        <v>0</v>
      </c>
      <c r="G557" s="7">
        <v>0</v>
      </c>
      <c r="H557" s="8">
        <v>1</v>
      </c>
    </row>
    <row r="558" spans="2:8">
      <c r="B558" s="6">
        <v>40915</v>
      </c>
      <c r="C558" s="7">
        <v>29</v>
      </c>
      <c r="D558" s="7">
        <v>0</v>
      </c>
      <c r="E558" s="7">
        <v>0</v>
      </c>
      <c r="F558" s="7">
        <v>0</v>
      </c>
      <c r="G558" s="7">
        <v>0</v>
      </c>
      <c r="H558" s="8">
        <v>1</v>
      </c>
    </row>
    <row r="559" spans="2:8">
      <c r="B559" s="6">
        <v>40916</v>
      </c>
      <c r="C559" s="7">
        <v>23</v>
      </c>
      <c r="D559" s="7">
        <v>0</v>
      </c>
      <c r="E559" s="7">
        <v>0</v>
      </c>
      <c r="F559" s="7">
        <v>0</v>
      </c>
      <c r="G559" s="7">
        <v>0</v>
      </c>
      <c r="H559" s="8">
        <v>1</v>
      </c>
    </row>
    <row r="560" spans="2:8">
      <c r="B560" s="6">
        <v>40917</v>
      </c>
      <c r="C560" s="7">
        <v>9</v>
      </c>
      <c r="D560" s="7">
        <v>0</v>
      </c>
      <c r="E560" s="7">
        <v>0</v>
      </c>
      <c r="F560" s="7">
        <v>0</v>
      </c>
      <c r="G560" s="7">
        <v>0</v>
      </c>
      <c r="H560" s="8">
        <v>1</v>
      </c>
    </row>
    <row r="561" spans="2:8">
      <c r="B561" s="6">
        <v>40918</v>
      </c>
      <c r="C561" s="7">
        <v>10</v>
      </c>
      <c r="D561" s="7">
        <v>0</v>
      </c>
      <c r="E561" s="7">
        <v>0</v>
      </c>
      <c r="F561" s="7">
        <v>0</v>
      </c>
      <c r="G561" s="7">
        <v>0</v>
      </c>
      <c r="H561" s="8">
        <v>1</v>
      </c>
    </row>
    <row r="562" spans="2:8">
      <c r="B562" s="6">
        <v>40919</v>
      </c>
      <c r="C562" s="7">
        <v>10</v>
      </c>
      <c r="D562" s="7">
        <v>0</v>
      </c>
      <c r="E562" s="7">
        <v>0</v>
      </c>
      <c r="F562" s="7">
        <v>0</v>
      </c>
      <c r="G562" s="7">
        <v>0</v>
      </c>
      <c r="H562" s="8">
        <v>1</v>
      </c>
    </row>
    <row r="563" spans="2:8">
      <c r="B563" s="6">
        <v>40920</v>
      </c>
      <c r="C563" s="7">
        <v>7</v>
      </c>
      <c r="D563" s="7">
        <v>0</v>
      </c>
      <c r="E563" s="7">
        <v>0</v>
      </c>
      <c r="F563" s="7">
        <v>0</v>
      </c>
      <c r="G563" s="7">
        <v>0</v>
      </c>
      <c r="H563" s="8">
        <v>1</v>
      </c>
    </row>
    <row r="564" spans="2:8">
      <c r="B564" s="6">
        <v>40921</v>
      </c>
      <c r="C564" s="7">
        <v>9</v>
      </c>
      <c r="D564" s="7">
        <v>0</v>
      </c>
      <c r="E564" s="7">
        <v>0</v>
      </c>
      <c r="F564" s="7">
        <v>0</v>
      </c>
      <c r="G564" s="7">
        <v>0</v>
      </c>
      <c r="H564" s="8">
        <v>1</v>
      </c>
    </row>
    <row r="565" spans="2:8">
      <c r="B565" s="6">
        <v>40922</v>
      </c>
      <c r="C565" s="7">
        <v>24</v>
      </c>
      <c r="D565" s="7">
        <v>0</v>
      </c>
      <c r="E565" s="7">
        <v>0</v>
      </c>
      <c r="F565" s="7">
        <v>0</v>
      </c>
      <c r="G565" s="7">
        <v>1</v>
      </c>
      <c r="H565" s="8">
        <v>2</v>
      </c>
    </row>
    <row r="566" spans="2:8">
      <c r="B566" s="6">
        <v>40923</v>
      </c>
      <c r="C566" s="7">
        <v>21</v>
      </c>
      <c r="D566" s="7">
        <v>0</v>
      </c>
      <c r="E566" s="7">
        <v>0</v>
      </c>
      <c r="F566" s="7">
        <v>0</v>
      </c>
      <c r="G566" s="7">
        <v>0</v>
      </c>
      <c r="H566" s="8">
        <v>1</v>
      </c>
    </row>
    <row r="567" spans="2:8">
      <c r="B567" s="6">
        <v>40924</v>
      </c>
      <c r="C567" s="7">
        <v>18</v>
      </c>
      <c r="D567" s="7">
        <v>0</v>
      </c>
      <c r="E567" s="7">
        <v>0</v>
      </c>
      <c r="F567" s="7">
        <v>0</v>
      </c>
      <c r="G567" s="7">
        <v>0</v>
      </c>
      <c r="H567" s="8">
        <v>1</v>
      </c>
    </row>
    <row r="568" spans="2:8">
      <c r="B568" s="6">
        <v>40925</v>
      </c>
      <c r="C568" s="7">
        <v>18</v>
      </c>
      <c r="D568" s="7">
        <v>0</v>
      </c>
      <c r="E568" s="7">
        <v>0</v>
      </c>
      <c r="F568" s="7">
        <v>0</v>
      </c>
      <c r="G568" s="7">
        <v>0</v>
      </c>
      <c r="H568" s="8">
        <v>1</v>
      </c>
    </row>
    <row r="569" spans="2:8">
      <c r="B569" s="6">
        <v>40926</v>
      </c>
      <c r="C569" s="7">
        <v>17</v>
      </c>
      <c r="D569" s="7">
        <v>0</v>
      </c>
      <c r="E569" s="7">
        <v>0</v>
      </c>
      <c r="F569" s="7">
        <v>0</v>
      </c>
      <c r="G569" s="7">
        <v>0</v>
      </c>
      <c r="H569" s="8">
        <v>1</v>
      </c>
    </row>
    <row r="570" spans="2:8">
      <c r="B570" s="6">
        <v>40927</v>
      </c>
      <c r="C570" s="7">
        <v>13</v>
      </c>
      <c r="D570" s="7">
        <v>0</v>
      </c>
      <c r="E570" s="7">
        <v>0</v>
      </c>
      <c r="F570" s="7">
        <v>0</v>
      </c>
      <c r="G570" s="7">
        <v>0</v>
      </c>
      <c r="H570" s="8">
        <v>1</v>
      </c>
    </row>
    <row r="571" spans="2:8">
      <c r="B571" s="6">
        <v>40928</v>
      </c>
      <c r="C571" s="7">
        <v>18</v>
      </c>
      <c r="D571" s="7">
        <v>0</v>
      </c>
      <c r="E571" s="7">
        <v>0</v>
      </c>
      <c r="F571" s="7">
        <v>0</v>
      </c>
      <c r="G571" s="7">
        <v>0</v>
      </c>
      <c r="H571" s="8">
        <v>1</v>
      </c>
    </row>
    <row r="572" spans="2:8">
      <c r="B572" s="6">
        <v>40929</v>
      </c>
      <c r="C572" s="7">
        <v>30</v>
      </c>
      <c r="D572" s="7">
        <v>0</v>
      </c>
      <c r="E572" s="7">
        <v>0</v>
      </c>
      <c r="F572" s="7">
        <v>1</v>
      </c>
      <c r="G572" s="7">
        <v>0</v>
      </c>
      <c r="H572" s="8">
        <v>2</v>
      </c>
    </row>
    <row r="573" spans="2:8">
      <c r="B573" s="6">
        <v>40930</v>
      </c>
      <c r="C573" s="7">
        <v>28</v>
      </c>
      <c r="D573" s="7">
        <v>0</v>
      </c>
      <c r="E573" s="7">
        <v>0</v>
      </c>
      <c r="F573" s="7">
        <v>1</v>
      </c>
      <c r="G573" s="7">
        <v>0</v>
      </c>
      <c r="H573" s="8">
        <v>2</v>
      </c>
    </row>
    <row r="574" spans="2:8">
      <c r="B574" s="6">
        <v>40931</v>
      </c>
      <c r="C574" s="7">
        <v>18</v>
      </c>
      <c r="D574" s="7">
        <v>0</v>
      </c>
      <c r="E574" s="7">
        <v>0</v>
      </c>
      <c r="F574" s="7">
        <v>0</v>
      </c>
      <c r="G574" s="7">
        <v>0</v>
      </c>
      <c r="H574" s="8">
        <v>1</v>
      </c>
    </row>
    <row r="575" spans="2:8">
      <c r="B575" s="6">
        <v>40932</v>
      </c>
      <c r="C575" s="7">
        <v>17</v>
      </c>
      <c r="D575" s="7">
        <v>0</v>
      </c>
      <c r="E575" s="7">
        <v>0</v>
      </c>
      <c r="F575" s="7">
        <v>0</v>
      </c>
      <c r="G575" s="7">
        <v>0</v>
      </c>
      <c r="H575" s="8">
        <v>1</v>
      </c>
    </row>
    <row r="576" spans="2:8">
      <c r="B576" s="6">
        <v>40933</v>
      </c>
      <c r="C576" s="7">
        <v>20</v>
      </c>
      <c r="D576" s="7">
        <v>0</v>
      </c>
      <c r="E576" s="7">
        <v>0</v>
      </c>
      <c r="F576" s="7">
        <v>0</v>
      </c>
      <c r="G576" s="7">
        <v>0</v>
      </c>
      <c r="H576" s="8">
        <v>1</v>
      </c>
    </row>
    <row r="577" spans="2:8">
      <c r="B577" s="6">
        <v>40934</v>
      </c>
      <c r="C577" s="7">
        <v>16</v>
      </c>
      <c r="D577" s="7">
        <v>0</v>
      </c>
      <c r="E577" s="7">
        <v>0</v>
      </c>
      <c r="F577" s="7">
        <v>0</v>
      </c>
      <c r="G577" s="7">
        <v>0</v>
      </c>
      <c r="H577" s="8">
        <v>1</v>
      </c>
    </row>
    <row r="578" spans="2:8">
      <c r="B578" s="6">
        <v>40935</v>
      </c>
      <c r="C578" s="7">
        <v>30</v>
      </c>
      <c r="D578" s="7">
        <v>0</v>
      </c>
      <c r="E578" s="7">
        <v>0</v>
      </c>
      <c r="F578" s="7">
        <v>1</v>
      </c>
      <c r="G578" s="7">
        <v>1</v>
      </c>
      <c r="H578" s="8">
        <v>4</v>
      </c>
    </row>
    <row r="579" spans="2:8">
      <c r="B579" s="6">
        <v>40936</v>
      </c>
      <c r="C579" s="7">
        <v>32</v>
      </c>
      <c r="D579" s="7">
        <v>0</v>
      </c>
      <c r="E579" s="7">
        <v>0</v>
      </c>
      <c r="F579" s="7">
        <v>2</v>
      </c>
      <c r="G579" s="7">
        <v>1</v>
      </c>
      <c r="H579" s="8">
        <v>6</v>
      </c>
    </row>
    <row r="580" spans="2:8">
      <c r="B580" s="6">
        <v>40937</v>
      </c>
      <c r="C580" s="7">
        <v>26</v>
      </c>
      <c r="D580" s="7">
        <v>0</v>
      </c>
      <c r="E580" s="7">
        <v>0</v>
      </c>
      <c r="F580" s="7">
        <v>2</v>
      </c>
      <c r="G580" s="7">
        <v>1</v>
      </c>
      <c r="H580" s="8">
        <v>6</v>
      </c>
    </row>
    <row r="581" spans="2:8">
      <c r="B581" s="6">
        <v>40938</v>
      </c>
      <c r="C581" s="7">
        <v>33</v>
      </c>
      <c r="D581" s="7">
        <v>0</v>
      </c>
      <c r="E581" s="7">
        <v>0</v>
      </c>
      <c r="F581" s="7">
        <v>1</v>
      </c>
      <c r="G581" s="7">
        <v>0</v>
      </c>
      <c r="H581" s="8">
        <v>2</v>
      </c>
    </row>
    <row r="582" spans="2:8">
      <c r="B582" s="6">
        <v>40939</v>
      </c>
      <c r="C582" s="7">
        <v>29</v>
      </c>
      <c r="D582" s="7">
        <v>0</v>
      </c>
      <c r="E582" s="7">
        <v>0</v>
      </c>
      <c r="F582" s="7">
        <v>1</v>
      </c>
      <c r="G582" s="7">
        <v>1</v>
      </c>
      <c r="H582" s="8">
        <v>4</v>
      </c>
    </row>
    <row r="583" spans="2:8">
      <c r="B583" s="6">
        <v>40940</v>
      </c>
      <c r="C583" s="7">
        <v>27</v>
      </c>
      <c r="D583" s="7">
        <v>0</v>
      </c>
      <c r="E583" s="7">
        <v>0</v>
      </c>
      <c r="F583" s="7">
        <v>1</v>
      </c>
      <c r="G583" s="7">
        <v>1</v>
      </c>
      <c r="H583" s="8">
        <v>4</v>
      </c>
    </row>
    <row r="584" spans="2:8">
      <c r="B584" s="6">
        <v>40941</v>
      </c>
      <c r="C584" s="7">
        <v>17</v>
      </c>
      <c r="D584" s="7">
        <v>0</v>
      </c>
      <c r="E584" s="7">
        <v>0</v>
      </c>
      <c r="F584" s="7">
        <v>1</v>
      </c>
      <c r="G584" s="7">
        <v>0</v>
      </c>
      <c r="H584" s="8">
        <v>2</v>
      </c>
    </row>
    <row r="585" spans="2:8">
      <c r="B585" s="6">
        <v>40942</v>
      </c>
      <c r="C585" s="7">
        <v>19</v>
      </c>
      <c r="D585" s="7">
        <v>0</v>
      </c>
      <c r="E585" s="7">
        <v>0</v>
      </c>
      <c r="F585" s="7">
        <v>0</v>
      </c>
      <c r="G585" s="7">
        <v>0</v>
      </c>
      <c r="H585" s="8">
        <v>1</v>
      </c>
    </row>
    <row r="586" spans="2:8">
      <c r="B586" s="6">
        <v>40943</v>
      </c>
      <c r="C586" s="7">
        <v>33</v>
      </c>
      <c r="D586" s="7">
        <v>0</v>
      </c>
      <c r="E586" s="7">
        <v>0</v>
      </c>
      <c r="F586" s="7">
        <v>2</v>
      </c>
      <c r="G586" s="7">
        <v>1</v>
      </c>
      <c r="H586" s="8">
        <v>6</v>
      </c>
    </row>
    <row r="587" spans="2:8">
      <c r="B587" s="6">
        <v>40944</v>
      </c>
      <c r="C587" s="7">
        <v>19</v>
      </c>
      <c r="D587" s="7">
        <v>0</v>
      </c>
      <c r="E587" s="7">
        <v>0</v>
      </c>
      <c r="F587" s="7">
        <v>1</v>
      </c>
      <c r="G587" s="7">
        <v>1</v>
      </c>
      <c r="H587" s="8">
        <v>4</v>
      </c>
    </row>
    <row r="588" spans="2:8">
      <c r="B588" s="6">
        <v>40945</v>
      </c>
      <c r="C588" s="7">
        <v>23</v>
      </c>
      <c r="D588" s="7">
        <v>0</v>
      </c>
      <c r="E588" s="7">
        <v>0</v>
      </c>
      <c r="F588" s="7">
        <v>0</v>
      </c>
      <c r="G588" s="7">
        <v>0</v>
      </c>
      <c r="H588" s="8">
        <v>1</v>
      </c>
    </row>
    <row r="589" spans="2:8">
      <c r="B589" s="6">
        <v>40946</v>
      </c>
      <c r="C589" s="7">
        <v>18</v>
      </c>
      <c r="D589" s="7">
        <v>0</v>
      </c>
      <c r="E589" s="7">
        <v>0</v>
      </c>
      <c r="F589" s="7">
        <v>0</v>
      </c>
      <c r="G589" s="7">
        <v>0</v>
      </c>
      <c r="H589" s="8">
        <v>1</v>
      </c>
    </row>
    <row r="590" spans="2:8">
      <c r="B590" s="6">
        <v>40947</v>
      </c>
      <c r="C590" s="7">
        <v>22</v>
      </c>
      <c r="D590" s="7">
        <v>0</v>
      </c>
      <c r="E590" s="7">
        <v>0</v>
      </c>
      <c r="F590" s="7">
        <v>0</v>
      </c>
      <c r="G590" s="7">
        <v>0</v>
      </c>
      <c r="H590" s="8">
        <v>1</v>
      </c>
    </row>
    <row r="591" spans="2:8">
      <c r="B591" s="6">
        <v>40948</v>
      </c>
      <c r="C591" s="7">
        <v>14</v>
      </c>
      <c r="D591" s="7">
        <v>0</v>
      </c>
      <c r="E591" s="7">
        <v>0</v>
      </c>
      <c r="F591" s="7">
        <v>0</v>
      </c>
      <c r="G591" s="7">
        <v>0</v>
      </c>
      <c r="H591" s="8">
        <v>1</v>
      </c>
    </row>
    <row r="592" spans="2:8">
      <c r="B592" s="6">
        <v>40949</v>
      </c>
      <c r="C592" s="7">
        <v>25</v>
      </c>
      <c r="D592" s="7">
        <v>0</v>
      </c>
      <c r="E592" s="7">
        <v>0</v>
      </c>
      <c r="F592" s="7">
        <v>0</v>
      </c>
      <c r="G592" s="7">
        <v>0</v>
      </c>
      <c r="H592" s="8">
        <v>1</v>
      </c>
    </row>
    <row r="593" spans="2:8">
      <c r="B593" s="6">
        <v>40950</v>
      </c>
      <c r="C593" s="7">
        <v>36</v>
      </c>
      <c r="D593" s="7">
        <v>0</v>
      </c>
      <c r="E593" s="7">
        <v>0</v>
      </c>
      <c r="F593" s="7">
        <v>1</v>
      </c>
      <c r="G593" s="7">
        <v>1</v>
      </c>
      <c r="H593" s="8">
        <v>4</v>
      </c>
    </row>
    <row r="594" spans="2:8">
      <c r="B594" s="6">
        <v>40951</v>
      </c>
      <c r="C594" s="7">
        <v>22</v>
      </c>
      <c r="D594" s="7">
        <v>0</v>
      </c>
      <c r="E594" s="7">
        <v>0</v>
      </c>
      <c r="F594" s="7">
        <v>1</v>
      </c>
      <c r="G594" s="7">
        <v>0</v>
      </c>
      <c r="H594" s="8">
        <v>2</v>
      </c>
    </row>
    <row r="595" spans="2:8">
      <c r="B595" s="6">
        <v>40952</v>
      </c>
      <c r="C595" s="7">
        <v>23</v>
      </c>
      <c r="D595" s="7">
        <v>0</v>
      </c>
      <c r="E595" s="7">
        <v>0</v>
      </c>
      <c r="F595" s="7">
        <v>0</v>
      </c>
      <c r="G595" s="7">
        <v>0</v>
      </c>
      <c r="H595" s="8">
        <v>1</v>
      </c>
    </row>
    <row r="596" spans="2:8">
      <c r="B596" s="6">
        <v>40953</v>
      </c>
      <c r="C596" s="7">
        <v>18</v>
      </c>
      <c r="D596" s="7">
        <v>0</v>
      </c>
      <c r="E596" s="7">
        <v>0</v>
      </c>
      <c r="F596" s="7">
        <v>0</v>
      </c>
      <c r="G596" s="7">
        <v>0</v>
      </c>
      <c r="H596" s="8">
        <v>1</v>
      </c>
    </row>
    <row r="597" spans="2:8">
      <c r="B597" s="6">
        <v>40954</v>
      </c>
      <c r="C597" s="7">
        <v>23</v>
      </c>
      <c r="D597" s="7">
        <v>0</v>
      </c>
      <c r="E597" s="7">
        <v>0</v>
      </c>
      <c r="F597" s="7">
        <v>0</v>
      </c>
      <c r="G597" s="7">
        <v>0</v>
      </c>
      <c r="H597" s="8">
        <v>1</v>
      </c>
    </row>
    <row r="598" spans="2:8">
      <c r="B598" s="6">
        <v>40955</v>
      </c>
      <c r="C598" s="7">
        <v>22</v>
      </c>
      <c r="D598" s="7">
        <v>0</v>
      </c>
      <c r="E598" s="7">
        <v>0</v>
      </c>
      <c r="F598" s="7">
        <v>0</v>
      </c>
      <c r="G598" s="7">
        <v>0</v>
      </c>
      <c r="H598" s="8">
        <v>1</v>
      </c>
    </row>
    <row r="599" spans="2:8">
      <c r="B599" s="6">
        <v>40956</v>
      </c>
      <c r="C599" s="7">
        <v>25</v>
      </c>
      <c r="D599" s="7">
        <v>0</v>
      </c>
      <c r="E599" s="7">
        <v>0</v>
      </c>
      <c r="F599" s="7">
        <v>0</v>
      </c>
      <c r="G599" s="7">
        <v>0</v>
      </c>
      <c r="H599" s="8">
        <v>1</v>
      </c>
    </row>
    <row r="600" spans="2:8">
      <c r="B600" s="6">
        <v>40957</v>
      </c>
      <c r="C600" s="7">
        <v>33</v>
      </c>
      <c r="D600" s="7">
        <v>0</v>
      </c>
      <c r="E600" s="7">
        <v>0</v>
      </c>
      <c r="F600" s="7">
        <v>2</v>
      </c>
      <c r="G600" s="7">
        <v>1</v>
      </c>
      <c r="H600" s="8">
        <v>6</v>
      </c>
    </row>
    <row r="601" spans="2:8">
      <c r="B601" s="6">
        <v>40958</v>
      </c>
      <c r="C601" s="7">
        <v>31</v>
      </c>
      <c r="D601" s="7">
        <v>0</v>
      </c>
      <c r="E601" s="7">
        <v>0</v>
      </c>
      <c r="F601" s="7">
        <v>1</v>
      </c>
      <c r="G601" s="7">
        <v>1</v>
      </c>
      <c r="H601" s="8">
        <v>4</v>
      </c>
    </row>
    <row r="602" spans="2:8">
      <c r="B602" s="6">
        <v>40959</v>
      </c>
      <c r="C602" s="7">
        <v>26</v>
      </c>
      <c r="D602" s="7">
        <v>0</v>
      </c>
      <c r="E602" s="7">
        <v>0</v>
      </c>
      <c r="F602" s="7">
        <v>1</v>
      </c>
      <c r="G602" s="7">
        <v>0</v>
      </c>
      <c r="H602" s="8">
        <v>2</v>
      </c>
    </row>
    <row r="603" spans="2:8">
      <c r="B603" s="6">
        <v>40960</v>
      </c>
      <c r="C603" s="7">
        <v>24</v>
      </c>
      <c r="D603" s="7">
        <v>0</v>
      </c>
      <c r="E603" s="7">
        <v>0</v>
      </c>
      <c r="F603" s="7">
        <v>0</v>
      </c>
      <c r="G603" s="7">
        <v>0</v>
      </c>
      <c r="H603" s="8">
        <v>1</v>
      </c>
    </row>
    <row r="604" spans="2:8">
      <c r="B604" s="6">
        <v>40961</v>
      </c>
      <c r="C604" s="7">
        <v>32</v>
      </c>
      <c r="D604" s="7">
        <v>0</v>
      </c>
      <c r="E604" s="7">
        <v>0</v>
      </c>
      <c r="F604" s="7">
        <v>0</v>
      </c>
      <c r="G604" s="7">
        <v>0</v>
      </c>
      <c r="H604" s="8">
        <v>1</v>
      </c>
    </row>
    <row r="605" spans="2:8">
      <c r="B605" s="6">
        <v>40962</v>
      </c>
      <c r="C605" s="7">
        <v>29</v>
      </c>
      <c r="D605" s="7">
        <v>0</v>
      </c>
      <c r="E605" s="7">
        <v>0</v>
      </c>
      <c r="F605" s="7">
        <v>1</v>
      </c>
      <c r="G605" s="7">
        <v>0</v>
      </c>
      <c r="H605" s="8">
        <v>2</v>
      </c>
    </row>
    <row r="606" spans="2:8">
      <c r="B606" s="6">
        <v>40963</v>
      </c>
      <c r="C606" s="7">
        <v>43</v>
      </c>
      <c r="D606" s="7">
        <v>0</v>
      </c>
      <c r="E606" s="7">
        <v>0</v>
      </c>
      <c r="F606" s="7">
        <v>1</v>
      </c>
      <c r="G606" s="7">
        <v>1</v>
      </c>
      <c r="H606" s="8">
        <v>4</v>
      </c>
    </row>
    <row r="607" spans="2:8">
      <c r="B607" s="6">
        <v>40964</v>
      </c>
      <c r="C607" s="7">
        <v>49</v>
      </c>
      <c r="D607" s="7">
        <v>0</v>
      </c>
      <c r="E607" s="7">
        <v>0</v>
      </c>
      <c r="F607" s="7">
        <v>3</v>
      </c>
      <c r="G607" s="7">
        <v>2</v>
      </c>
      <c r="H607" s="8">
        <v>12</v>
      </c>
    </row>
    <row r="608" spans="2:8">
      <c r="B608" s="6">
        <v>40965</v>
      </c>
      <c r="C608" s="7">
        <v>47</v>
      </c>
      <c r="D608" s="7">
        <v>0</v>
      </c>
      <c r="E608" s="7">
        <v>0</v>
      </c>
      <c r="F608" s="7">
        <v>2</v>
      </c>
      <c r="G608" s="7">
        <v>1</v>
      </c>
      <c r="H608" s="8">
        <v>6</v>
      </c>
    </row>
    <row r="609" spans="2:8">
      <c r="B609" s="6">
        <v>40966</v>
      </c>
      <c r="C609" s="7">
        <v>41</v>
      </c>
      <c r="D609" s="7">
        <v>0</v>
      </c>
      <c r="E609" s="7">
        <v>0</v>
      </c>
      <c r="F609" s="7">
        <v>1</v>
      </c>
      <c r="G609" s="7">
        <v>1</v>
      </c>
      <c r="H609" s="8">
        <v>4</v>
      </c>
    </row>
    <row r="610" spans="2:8">
      <c r="B610" s="6">
        <v>40967</v>
      </c>
      <c r="C610" s="7">
        <v>40</v>
      </c>
      <c r="D610" s="7">
        <v>0</v>
      </c>
      <c r="E610" s="7">
        <v>0</v>
      </c>
      <c r="F610" s="7">
        <v>1</v>
      </c>
      <c r="G610" s="7">
        <v>1</v>
      </c>
      <c r="H610" s="8">
        <v>4</v>
      </c>
    </row>
    <row r="611" spans="2:8">
      <c r="B611" s="6">
        <v>40968</v>
      </c>
      <c r="C611" s="7">
        <v>39</v>
      </c>
      <c r="D611" s="7">
        <v>0</v>
      </c>
      <c r="E611" s="7">
        <v>0</v>
      </c>
      <c r="F611" s="7">
        <v>2</v>
      </c>
      <c r="G611" s="7">
        <v>1</v>
      </c>
      <c r="H611" s="8">
        <v>6</v>
      </c>
    </row>
    <row r="612" spans="2:8">
      <c r="B612" s="6">
        <v>40969</v>
      </c>
      <c r="C612" s="7">
        <v>36</v>
      </c>
      <c r="D612" s="7">
        <v>0</v>
      </c>
      <c r="E612" s="7">
        <v>0</v>
      </c>
      <c r="F612" s="7">
        <v>1</v>
      </c>
      <c r="G612" s="7">
        <v>1</v>
      </c>
      <c r="H612" s="8">
        <v>4</v>
      </c>
    </row>
    <row r="613" spans="2:8">
      <c r="B613" s="6">
        <v>40970</v>
      </c>
      <c r="C613" s="7">
        <v>45</v>
      </c>
      <c r="D613" s="7">
        <v>0</v>
      </c>
      <c r="E613" s="7">
        <v>0</v>
      </c>
      <c r="F613" s="7">
        <v>1</v>
      </c>
      <c r="G613" s="7">
        <v>1</v>
      </c>
      <c r="H613" s="8">
        <v>4</v>
      </c>
    </row>
    <row r="614" spans="2:8">
      <c r="B614" s="6">
        <v>40971</v>
      </c>
      <c r="C614" s="7">
        <v>37</v>
      </c>
      <c r="D614" s="7">
        <v>0</v>
      </c>
      <c r="E614" s="7">
        <v>0</v>
      </c>
      <c r="F614" s="7">
        <v>2</v>
      </c>
      <c r="G614" s="7">
        <v>1</v>
      </c>
      <c r="H614" s="8">
        <v>6</v>
      </c>
    </row>
    <row r="615" spans="2:8">
      <c r="B615" s="6">
        <v>40972</v>
      </c>
      <c r="C615" s="7">
        <v>30</v>
      </c>
      <c r="D615" s="7">
        <v>0</v>
      </c>
      <c r="E615" s="7">
        <v>0</v>
      </c>
      <c r="F615" s="7">
        <v>1</v>
      </c>
      <c r="G615" s="7">
        <v>1</v>
      </c>
      <c r="H615" s="8">
        <v>4</v>
      </c>
    </row>
    <row r="616" spans="2:8">
      <c r="B616" s="6">
        <v>40973</v>
      </c>
      <c r="C616" s="7">
        <v>29</v>
      </c>
      <c r="D616" s="7">
        <v>0</v>
      </c>
      <c r="E616" s="7">
        <v>0</v>
      </c>
      <c r="F616" s="7">
        <v>0</v>
      </c>
      <c r="G616" s="7">
        <v>0</v>
      </c>
      <c r="H616" s="8">
        <v>1</v>
      </c>
    </row>
    <row r="617" spans="2:8">
      <c r="B617" s="6">
        <v>40974</v>
      </c>
      <c r="C617" s="7">
        <v>30</v>
      </c>
      <c r="D617" s="7">
        <v>0</v>
      </c>
      <c r="E617" s="7">
        <v>0</v>
      </c>
      <c r="F617" s="7">
        <v>0</v>
      </c>
      <c r="G617" s="7">
        <v>0</v>
      </c>
      <c r="H617" s="8">
        <v>1</v>
      </c>
    </row>
    <row r="618" spans="2:8">
      <c r="B618" s="6">
        <v>40975</v>
      </c>
      <c r="C618" s="7">
        <v>38</v>
      </c>
      <c r="D618" s="7">
        <v>0</v>
      </c>
      <c r="E618" s="7">
        <v>0</v>
      </c>
      <c r="F618" s="7">
        <v>0</v>
      </c>
      <c r="G618" s="7">
        <v>0</v>
      </c>
      <c r="H618" s="8">
        <v>1</v>
      </c>
    </row>
    <row r="619" spans="2:8">
      <c r="B619" s="6">
        <v>40976</v>
      </c>
      <c r="C619" s="7">
        <v>32</v>
      </c>
      <c r="D619" s="7">
        <v>0</v>
      </c>
      <c r="E619" s="7">
        <v>0</v>
      </c>
      <c r="F619" s="7">
        <v>0</v>
      </c>
      <c r="G619" s="7">
        <v>0</v>
      </c>
      <c r="H619" s="8">
        <v>1</v>
      </c>
    </row>
    <row r="620" spans="2:8">
      <c r="B620" s="6">
        <v>40977</v>
      </c>
      <c r="C620" s="7">
        <v>33</v>
      </c>
      <c r="D620" s="7">
        <v>0</v>
      </c>
      <c r="E620" s="7">
        <v>0</v>
      </c>
      <c r="F620" s="7">
        <v>0</v>
      </c>
      <c r="G620" s="7">
        <v>0</v>
      </c>
      <c r="H620" s="8">
        <v>1</v>
      </c>
    </row>
    <row r="621" spans="2:8">
      <c r="B621" s="6">
        <v>40978</v>
      </c>
      <c r="C621" s="7">
        <v>30</v>
      </c>
      <c r="D621" s="7">
        <v>0</v>
      </c>
      <c r="E621" s="7">
        <v>0</v>
      </c>
      <c r="F621" s="7">
        <v>2</v>
      </c>
      <c r="G621" s="7">
        <v>1</v>
      </c>
      <c r="H621" s="8">
        <v>6</v>
      </c>
    </row>
    <row r="622" spans="2:8">
      <c r="B622" s="6">
        <v>40979</v>
      </c>
      <c r="C622" s="7">
        <v>28</v>
      </c>
      <c r="D622" s="7">
        <v>0</v>
      </c>
      <c r="E622" s="7">
        <v>0</v>
      </c>
      <c r="F622" s="7">
        <v>1</v>
      </c>
      <c r="G622" s="7">
        <v>1</v>
      </c>
      <c r="H622" s="8">
        <v>4</v>
      </c>
    </row>
    <row r="623" spans="2:8">
      <c r="B623" s="6">
        <v>40980</v>
      </c>
      <c r="C623" s="7">
        <v>31</v>
      </c>
      <c r="D623" s="7">
        <v>0</v>
      </c>
      <c r="E623" s="7">
        <v>0</v>
      </c>
      <c r="F623" s="7">
        <v>0</v>
      </c>
      <c r="G623" s="7">
        <v>0</v>
      </c>
      <c r="H623" s="8">
        <v>1</v>
      </c>
    </row>
    <row r="624" spans="2:8">
      <c r="B624" s="6">
        <v>40981</v>
      </c>
      <c r="C624" s="7">
        <v>35</v>
      </c>
      <c r="D624" s="7">
        <v>0</v>
      </c>
      <c r="E624" s="7">
        <v>0</v>
      </c>
      <c r="F624" s="7">
        <v>0</v>
      </c>
      <c r="G624" s="7">
        <v>0</v>
      </c>
      <c r="H624" s="8">
        <v>1</v>
      </c>
    </row>
    <row r="625" spans="2:8">
      <c r="B625" s="6">
        <v>40982</v>
      </c>
      <c r="C625" s="7">
        <v>30</v>
      </c>
      <c r="D625" s="7">
        <v>0</v>
      </c>
      <c r="E625" s="7">
        <v>0</v>
      </c>
      <c r="F625" s="7">
        <v>1</v>
      </c>
      <c r="G625" s="7">
        <v>0</v>
      </c>
      <c r="H625" s="8">
        <v>2</v>
      </c>
    </row>
    <row r="626" spans="2:8">
      <c r="B626" s="6">
        <v>40983</v>
      </c>
      <c r="C626" s="7">
        <v>36</v>
      </c>
      <c r="D626" s="7">
        <v>0</v>
      </c>
      <c r="E626" s="7">
        <v>0</v>
      </c>
      <c r="F626" s="7">
        <v>1</v>
      </c>
      <c r="G626" s="7">
        <v>1</v>
      </c>
      <c r="H626" s="8">
        <v>4</v>
      </c>
    </row>
    <row r="627" spans="2:8">
      <c r="B627" s="6">
        <v>40984</v>
      </c>
      <c r="C627" s="7">
        <v>50</v>
      </c>
      <c r="D627" s="7">
        <v>0</v>
      </c>
      <c r="E627" s="7">
        <v>0</v>
      </c>
      <c r="F627" s="7">
        <v>2</v>
      </c>
      <c r="G627" s="7">
        <v>2</v>
      </c>
      <c r="H627" s="8">
        <v>9</v>
      </c>
    </row>
    <row r="628" spans="2:8">
      <c r="B628" s="6">
        <v>40985</v>
      </c>
      <c r="C628" s="7">
        <v>58</v>
      </c>
      <c r="D628" s="7">
        <v>0</v>
      </c>
      <c r="E628" s="7">
        <v>0</v>
      </c>
      <c r="F628" s="7">
        <v>3</v>
      </c>
      <c r="G628" s="7">
        <v>3</v>
      </c>
      <c r="H628" s="8">
        <v>16</v>
      </c>
    </row>
    <row r="629" spans="2:8">
      <c r="B629" s="6">
        <v>40986</v>
      </c>
      <c r="C629" s="7">
        <v>45</v>
      </c>
      <c r="D629" s="7">
        <v>0</v>
      </c>
      <c r="E629" s="7">
        <v>0</v>
      </c>
      <c r="F629" s="7">
        <v>3</v>
      </c>
      <c r="G629" s="7">
        <v>2</v>
      </c>
      <c r="H629" s="8">
        <v>12</v>
      </c>
    </row>
    <row r="630" spans="2:8">
      <c r="B630" s="6">
        <v>40987</v>
      </c>
      <c r="C630" s="7">
        <v>48</v>
      </c>
      <c r="D630" s="7">
        <v>0</v>
      </c>
      <c r="E630" s="7">
        <v>0</v>
      </c>
      <c r="F630" s="7">
        <v>2</v>
      </c>
      <c r="G630" s="7">
        <v>2</v>
      </c>
      <c r="H630" s="8">
        <v>9</v>
      </c>
    </row>
    <row r="631" spans="2:8">
      <c r="B631" s="6">
        <v>40988</v>
      </c>
      <c r="C631" s="7">
        <v>51</v>
      </c>
      <c r="D631" s="7">
        <v>0</v>
      </c>
      <c r="E631" s="7">
        <v>0</v>
      </c>
      <c r="F631" s="7">
        <v>3</v>
      </c>
      <c r="G631" s="7">
        <v>2</v>
      </c>
      <c r="H631" s="8">
        <v>12</v>
      </c>
    </row>
    <row r="632" spans="2:8">
      <c r="B632" s="6">
        <v>40989</v>
      </c>
      <c r="C632" s="7">
        <v>60</v>
      </c>
      <c r="D632" s="7">
        <v>0</v>
      </c>
      <c r="E632" s="7">
        <v>0</v>
      </c>
      <c r="F632" s="7">
        <v>2</v>
      </c>
      <c r="G632" s="7">
        <v>2</v>
      </c>
      <c r="H632" s="8">
        <v>9</v>
      </c>
    </row>
    <row r="633" spans="2:8">
      <c r="B633" s="6">
        <v>40990</v>
      </c>
      <c r="C633" s="7">
        <v>49</v>
      </c>
      <c r="D633" s="7">
        <v>0</v>
      </c>
      <c r="E633" s="7">
        <v>0</v>
      </c>
      <c r="F633" s="7">
        <v>3</v>
      </c>
      <c r="G633" s="7">
        <v>2</v>
      </c>
      <c r="H633" s="8">
        <v>12</v>
      </c>
    </row>
    <row r="634" spans="2:8">
      <c r="B634" s="6">
        <v>40991</v>
      </c>
      <c r="C634" s="7">
        <v>47</v>
      </c>
      <c r="D634" s="7">
        <v>0</v>
      </c>
      <c r="E634" s="7">
        <v>0</v>
      </c>
      <c r="F634" s="7">
        <v>4</v>
      </c>
      <c r="G634" s="7">
        <v>3</v>
      </c>
      <c r="H634" s="8">
        <v>20</v>
      </c>
    </row>
    <row r="635" spans="2:8">
      <c r="B635" s="6">
        <v>40992</v>
      </c>
      <c r="C635" s="7">
        <v>55</v>
      </c>
      <c r="D635" s="7">
        <v>0</v>
      </c>
      <c r="E635" s="7">
        <v>0</v>
      </c>
      <c r="F635" s="7">
        <v>5</v>
      </c>
      <c r="G635" s="7">
        <v>4</v>
      </c>
      <c r="H635" s="8">
        <v>30</v>
      </c>
    </row>
    <row r="636" spans="2:8">
      <c r="B636" s="6">
        <v>40993</v>
      </c>
      <c r="C636" s="7">
        <v>49</v>
      </c>
      <c r="D636" s="7">
        <v>0</v>
      </c>
      <c r="E636" s="7">
        <v>0</v>
      </c>
      <c r="F636" s="7">
        <v>4</v>
      </c>
      <c r="G636" s="7">
        <v>5</v>
      </c>
      <c r="H636" s="8">
        <v>30</v>
      </c>
    </row>
    <row r="637" spans="2:8">
      <c r="B637" s="6">
        <v>40994</v>
      </c>
      <c r="C637" s="7">
        <v>69</v>
      </c>
      <c r="D637" s="7">
        <v>0</v>
      </c>
      <c r="E637" s="7">
        <v>0</v>
      </c>
      <c r="F637" s="7">
        <v>3</v>
      </c>
      <c r="G637" s="7">
        <v>2</v>
      </c>
      <c r="H637" s="8">
        <v>12</v>
      </c>
    </row>
    <row r="638" spans="2:8">
      <c r="B638" s="6">
        <v>40995</v>
      </c>
      <c r="C638" s="7">
        <v>88</v>
      </c>
      <c r="D638" s="7">
        <v>0</v>
      </c>
      <c r="E638" s="7">
        <v>0</v>
      </c>
      <c r="F638" s="7">
        <v>3</v>
      </c>
      <c r="G638" s="7">
        <v>2</v>
      </c>
      <c r="H638" s="8">
        <v>12</v>
      </c>
    </row>
    <row r="639" spans="2:8">
      <c r="B639" s="6">
        <v>40996</v>
      </c>
      <c r="C639" s="7">
        <v>66</v>
      </c>
      <c r="D639" s="7">
        <v>0</v>
      </c>
      <c r="E639" s="7">
        <v>0</v>
      </c>
      <c r="F639" s="7">
        <v>2</v>
      </c>
      <c r="G639" s="7">
        <v>2</v>
      </c>
      <c r="H639" s="8">
        <v>9</v>
      </c>
    </row>
    <row r="640" spans="2:8">
      <c r="B640" s="6">
        <v>40997</v>
      </c>
      <c r="C640" s="7">
        <v>63</v>
      </c>
      <c r="D640" s="7">
        <v>0</v>
      </c>
      <c r="E640" s="7">
        <v>0</v>
      </c>
      <c r="F640" s="7">
        <v>4</v>
      </c>
      <c r="G640" s="7">
        <v>2</v>
      </c>
      <c r="H640" s="8">
        <v>15</v>
      </c>
    </row>
    <row r="641" spans="2:8">
      <c r="B641" s="6">
        <v>40998</v>
      </c>
      <c r="C641" s="7">
        <v>69</v>
      </c>
      <c r="D641" s="7">
        <v>0</v>
      </c>
      <c r="E641" s="7">
        <v>0</v>
      </c>
      <c r="F641" s="7">
        <v>4</v>
      </c>
      <c r="G641" s="7">
        <v>4</v>
      </c>
      <c r="H641" s="8">
        <v>25</v>
      </c>
    </row>
    <row r="642" spans="2:8">
      <c r="B642" s="6">
        <v>40999</v>
      </c>
      <c r="C642" s="7">
        <v>63</v>
      </c>
      <c r="D642" s="7">
        <v>0</v>
      </c>
      <c r="E642" s="7">
        <v>0</v>
      </c>
      <c r="F642" s="7">
        <v>5</v>
      </c>
      <c r="G642" s="7">
        <v>5</v>
      </c>
      <c r="H642" s="8">
        <v>36</v>
      </c>
    </row>
    <row r="643" spans="2:8">
      <c r="B643" s="6">
        <v>41000</v>
      </c>
      <c r="C643" s="7">
        <v>36</v>
      </c>
      <c r="D643" s="7">
        <v>0</v>
      </c>
      <c r="E643" s="7">
        <v>0</v>
      </c>
      <c r="F643" s="7">
        <v>5</v>
      </c>
      <c r="G643" s="7">
        <v>4</v>
      </c>
      <c r="H643" s="8">
        <v>30</v>
      </c>
    </row>
    <row r="644" spans="2:8">
      <c r="B644" s="6">
        <v>41001</v>
      </c>
      <c r="C644" s="7">
        <v>45</v>
      </c>
      <c r="D644" s="7">
        <v>0</v>
      </c>
      <c r="E644" s="7">
        <v>0</v>
      </c>
      <c r="F644" s="7">
        <v>2</v>
      </c>
      <c r="G644" s="7">
        <v>3</v>
      </c>
      <c r="H644" s="8">
        <v>12</v>
      </c>
    </row>
    <row r="645" spans="2:8">
      <c r="B645" s="6">
        <v>41002</v>
      </c>
      <c r="C645" s="7">
        <v>36</v>
      </c>
      <c r="D645" s="7">
        <v>0</v>
      </c>
      <c r="E645" s="7">
        <v>0</v>
      </c>
      <c r="F645" s="7">
        <v>2</v>
      </c>
      <c r="G645" s="7">
        <v>1</v>
      </c>
      <c r="H645" s="8">
        <v>6</v>
      </c>
    </row>
    <row r="646" spans="2:8">
      <c r="B646" s="6">
        <v>41003</v>
      </c>
      <c r="C646" s="7">
        <v>32</v>
      </c>
      <c r="D646" s="7">
        <v>0</v>
      </c>
      <c r="E646" s="7">
        <v>0</v>
      </c>
      <c r="F646" s="7">
        <v>1</v>
      </c>
      <c r="G646" s="7">
        <v>1</v>
      </c>
      <c r="H646" s="8">
        <v>4</v>
      </c>
    </row>
    <row r="647" spans="2:8">
      <c r="B647" s="6">
        <v>41004</v>
      </c>
      <c r="C647" s="7">
        <v>43</v>
      </c>
      <c r="D647" s="7">
        <v>0</v>
      </c>
      <c r="E647" s="7">
        <v>0</v>
      </c>
      <c r="F647" s="7">
        <v>1</v>
      </c>
      <c r="G647" s="7">
        <v>0</v>
      </c>
      <c r="H647" s="8">
        <v>2</v>
      </c>
    </row>
    <row r="648" spans="2:8">
      <c r="B648" s="6">
        <v>41005</v>
      </c>
      <c r="C648" s="7">
        <v>36</v>
      </c>
      <c r="D648" s="7">
        <v>0</v>
      </c>
      <c r="E648" s="7">
        <v>0</v>
      </c>
      <c r="F648" s="7">
        <v>0</v>
      </c>
      <c r="G648" s="7">
        <v>0</v>
      </c>
      <c r="H648" s="8">
        <v>1</v>
      </c>
    </row>
    <row r="649" spans="2:8">
      <c r="B649" s="6">
        <v>41006</v>
      </c>
      <c r="C649" s="7">
        <v>39</v>
      </c>
      <c r="D649" s="7">
        <v>0</v>
      </c>
      <c r="E649" s="7">
        <v>0</v>
      </c>
      <c r="F649" s="7">
        <v>4</v>
      </c>
      <c r="G649" s="7">
        <v>3</v>
      </c>
      <c r="H649" s="8">
        <v>20</v>
      </c>
    </row>
    <row r="650" spans="2:8">
      <c r="B650" s="6">
        <v>41007</v>
      </c>
      <c r="C650" s="7">
        <v>33</v>
      </c>
      <c r="D650" s="7">
        <v>0</v>
      </c>
      <c r="E650" s="7">
        <v>0</v>
      </c>
      <c r="F650" s="7">
        <v>2</v>
      </c>
      <c r="G650" s="7">
        <v>2</v>
      </c>
      <c r="H650" s="8">
        <v>9</v>
      </c>
    </row>
    <row r="651" spans="2:8">
      <c r="B651" s="6">
        <v>41008</v>
      </c>
      <c r="C651" s="7">
        <v>33</v>
      </c>
      <c r="D651" s="7">
        <v>0</v>
      </c>
      <c r="E651" s="7">
        <v>0</v>
      </c>
      <c r="F651" s="7">
        <v>0</v>
      </c>
      <c r="G651" s="7">
        <v>0</v>
      </c>
      <c r="H651" s="8">
        <v>1</v>
      </c>
    </row>
    <row r="652" spans="2:8">
      <c r="B652" s="6">
        <v>41009</v>
      </c>
      <c r="C652" s="7">
        <v>32</v>
      </c>
      <c r="D652" s="7">
        <v>0</v>
      </c>
      <c r="E652" s="7">
        <v>0</v>
      </c>
      <c r="F652" s="7">
        <v>0</v>
      </c>
      <c r="G652" s="7">
        <v>0</v>
      </c>
      <c r="H652" s="8">
        <v>1</v>
      </c>
    </row>
    <row r="653" spans="2:8">
      <c r="B653" s="6">
        <v>41010</v>
      </c>
      <c r="C653" s="7">
        <v>20</v>
      </c>
      <c r="D653" s="7">
        <v>0</v>
      </c>
      <c r="E653" s="7">
        <v>0</v>
      </c>
      <c r="F653" s="7">
        <v>0</v>
      </c>
      <c r="G653" s="7">
        <v>0</v>
      </c>
      <c r="H653" s="8">
        <v>1</v>
      </c>
    </row>
    <row r="654" spans="2:8">
      <c r="B654" s="6">
        <v>41011</v>
      </c>
      <c r="C654" s="7">
        <v>25</v>
      </c>
      <c r="D654" s="7">
        <v>0</v>
      </c>
      <c r="E654" s="7">
        <v>0</v>
      </c>
      <c r="F654" s="7">
        <v>0</v>
      </c>
      <c r="G654" s="7">
        <v>0</v>
      </c>
      <c r="H654" s="8">
        <v>1</v>
      </c>
    </row>
    <row r="655" spans="2:8">
      <c r="B655" s="6">
        <v>41012</v>
      </c>
      <c r="C655" s="7">
        <v>34</v>
      </c>
      <c r="D655" s="7">
        <v>0</v>
      </c>
      <c r="E655" s="7">
        <v>0</v>
      </c>
      <c r="F655" s="7">
        <v>0</v>
      </c>
      <c r="G655" s="7">
        <v>0</v>
      </c>
      <c r="H655" s="8">
        <v>1</v>
      </c>
    </row>
    <row r="656" spans="2:8">
      <c r="B656" s="6">
        <v>41013</v>
      </c>
      <c r="C656" s="7">
        <v>43</v>
      </c>
      <c r="D656" s="7">
        <v>0</v>
      </c>
      <c r="E656" s="7">
        <v>0</v>
      </c>
      <c r="F656" s="7">
        <v>2</v>
      </c>
      <c r="G656" s="7">
        <v>2</v>
      </c>
      <c r="H656" s="8">
        <v>9</v>
      </c>
    </row>
    <row r="657" spans="2:8">
      <c r="B657" s="6">
        <v>41014</v>
      </c>
      <c r="C657" s="7">
        <v>40</v>
      </c>
      <c r="D657" s="7">
        <v>0</v>
      </c>
      <c r="E657" s="7">
        <v>0</v>
      </c>
      <c r="F657" s="7">
        <v>1</v>
      </c>
      <c r="G657" s="7">
        <v>2</v>
      </c>
      <c r="H657" s="8">
        <v>6</v>
      </c>
    </row>
    <row r="658" spans="2:8">
      <c r="B658" s="6">
        <v>41015</v>
      </c>
      <c r="C658" s="7">
        <v>27</v>
      </c>
      <c r="D658" s="7">
        <v>0</v>
      </c>
      <c r="E658" s="7">
        <v>0</v>
      </c>
      <c r="F658" s="7">
        <v>0</v>
      </c>
      <c r="G658" s="7">
        <v>0</v>
      </c>
      <c r="H658" s="8">
        <v>1</v>
      </c>
    </row>
    <row r="659" spans="2:8">
      <c r="B659" s="6">
        <v>41016</v>
      </c>
      <c r="C659" s="7">
        <v>21</v>
      </c>
      <c r="D659" s="7">
        <v>0</v>
      </c>
      <c r="E659" s="7">
        <v>0</v>
      </c>
      <c r="F659" s="7">
        <v>0</v>
      </c>
      <c r="G659" s="7">
        <v>0</v>
      </c>
      <c r="H659" s="8">
        <v>1</v>
      </c>
    </row>
    <row r="660" spans="2:8">
      <c r="B660" s="6">
        <v>41017</v>
      </c>
      <c r="C660" s="7">
        <v>21</v>
      </c>
      <c r="D660" s="7">
        <v>0</v>
      </c>
      <c r="E660" s="7">
        <v>0</v>
      </c>
      <c r="F660" s="7">
        <v>0</v>
      </c>
      <c r="G660" s="7">
        <v>0</v>
      </c>
      <c r="H660" s="8">
        <v>1</v>
      </c>
    </row>
    <row r="661" spans="2:8">
      <c r="B661" s="6">
        <v>41018</v>
      </c>
      <c r="C661" s="7">
        <v>21</v>
      </c>
      <c r="D661" s="7">
        <v>0</v>
      </c>
      <c r="E661" s="7">
        <v>0</v>
      </c>
      <c r="F661" s="7">
        <v>0</v>
      </c>
      <c r="G661" s="7">
        <v>0</v>
      </c>
      <c r="H661" s="8">
        <v>1</v>
      </c>
    </row>
    <row r="662" spans="2:8">
      <c r="B662" s="6">
        <v>41019</v>
      </c>
      <c r="C662" s="7">
        <v>25</v>
      </c>
      <c r="D662" s="7">
        <v>0</v>
      </c>
      <c r="E662" s="7">
        <v>0</v>
      </c>
      <c r="F662" s="7">
        <v>0</v>
      </c>
      <c r="G662" s="7">
        <v>0</v>
      </c>
      <c r="H662" s="8">
        <v>1</v>
      </c>
    </row>
    <row r="663" spans="2:8">
      <c r="B663" s="6">
        <v>41020</v>
      </c>
      <c r="C663" s="7">
        <v>29</v>
      </c>
      <c r="D663" s="7">
        <v>0</v>
      </c>
      <c r="E663" s="7">
        <v>0</v>
      </c>
      <c r="F663" s="7">
        <v>2</v>
      </c>
      <c r="G663" s="7">
        <v>2</v>
      </c>
      <c r="H663" s="8">
        <v>9</v>
      </c>
    </row>
    <row r="664" spans="2:8">
      <c r="B664" s="6">
        <v>41021</v>
      </c>
      <c r="C664" s="7">
        <v>28</v>
      </c>
      <c r="D664" s="7">
        <v>0</v>
      </c>
      <c r="E664" s="7">
        <v>0</v>
      </c>
      <c r="F664" s="7">
        <v>1</v>
      </c>
      <c r="G664" s="7">
        <v>1</v>
      </c>
      <c r="H664" s="8">
        <v>4</v>
      </c>
    </row>
    <row r="665" spans="2:8">
      <c r="B665" s="6">
        <v>41022</v>
      </c>
      <c r="C665" s="7">
        <v>32</v>
      </c>
      <c r="D665" s="7">
        <v>0</v>
      </c>
      <c r="E665" s="7">
        <v>0</v>
      </c>
      <c r="F665" s="7">
        <v>1</v>
      </c>
      <c r="G665" s="7">
        <v>0</v>
      </c>
      <c r="H665" s="8">
        <v>2</v>
      </c>
    </row>
    <row r="666" spans="2:8">
      <c r="B666" s="6">
        <v>41023</v>
      </c>
      <c r="C666" s="7">
        <v>27</v>
      </c>
      <c r="D666" s="7">
        <v>0</v>
      </c>
      <c r="E666" s="7">
        <v>0</v>
      </c>
      <c r="F666" s="7">
        <v>0</v>
      </c>
      <c r="G666" s="7">
        <v>0</v>
      </c>
      <c r="H666" s="8">
        <v>1</v>
      </c>
    </row>
    <row r="667" spans="2:8">
      <c r="B667" s="6">
        <v>41024</v>
      </c>
      <c r="C667" s="7">
        <v>35</v>
      </c>
      <c r="D667" s="7">
        <v>0</v>
      </c>
      <c r="E667" s="7">
        <v>0</v>
      </c>
      <c r="F667" s="7">
        <v>0</v>
      </c>
      <c r="G667" s="7">
        <v>0</v>
      </c>
      <c r="H667" s="8">
        <v>1</v>
      </c>
    </row>
    <row r="668" spans="2:8">
      <c r="B668" s="6">
        <v>41025</v>
      </c>
      <c r="C668" s="7">
        <v>29</v>
      </c>
      <c r="D668" s="7">
        <v>0</v>
      </c>
      <c r="E668" s="7">
        <v>0</v>
      </c>
      <c r="F668" s="7">
        <v>0</v>
      </c>
      <c r="G668" s="7">
        <v>0</v>
      </c>
      <c r="H668" s="8">
        <v>1</v>
      </c>
    </row>
    <row r="669" spans="2:8">
      <c r="B669" s="6">
        <v>41026</v>
      </c>
      <c r="C669" s="7">
        <v>32</v>
      </c>
      <c r="D669" s="7">
        <v>0</v>
      </c>
      <c r="E669" s="7">
        <v>0</v>
      </c>
      <c r="F669" s="7">
        <v>1</v>
      </c>
      <c r="G669" s="7">
        <v>1</v>
      </c>
      <c r="H669" s="8">
        <v>4</v>
      </c>
    </row>
    <row r="670" spans="2:8">
      <c r="B670" s="6">
        <v>41027</v>
      </c>
      <c r="C670" s="7">
        <v>43</v>
      </c>
      <c r="D670" s="7">
        <v>0</v>
      </c>
      <c r="E670" s="7">
        <v>0</v>
      </c>
      <c r="F670" s="7">
        <v>2</v>
      </c>
      <c r="G670" s="7">
        <v>2</v>
      </c>
      <c r="H670" s="8">
        <v>9</v>
      </c>
    </row>
    <row r="671" spans="2:8">
      <c r="B671" s="6">
        <v>41028</v>
      </c>
      <c r="C671" s="7">
        <v>54</v>
      </c>
      <c r="D671" s="7">
        <v>0</v>
      </c>
      <c r="E671" s="7">
        <v>0</v>
      </c>
      <c r="F671" s="7">
        <v>3</v>
      </c>
      <c r="G671" s="7">
        <v>2</v>
      </c>
      <c r="H671" s="8">
        <v>12</v>
      </c>
    </row>
    <row r="672" spans="2:8">
      <c r="B672" s="6">
        <v>41029</v>
      </c>
      <c r="C672" s="7">
        <v>39</v>
      </c>
      <c r="D672" s="7">
        <v>0</v>
      </c>
      <c r="E672" s="7">
        <v>0</v>
      </c>
      <c r="F672" s="7">
        <v>2</v>
      </c>
      <c r="G672" s="7">
        <v>1</v>
      </c>
      <c r="H672" s="8">
        <v>6</v>
      </c>
    </row>
    <row r="673" spans="2:8">
      <c r="B673" s="6">
        <v>41030</v>
      </c>
      <c r="C673" s="7">
        <v>31</v>
      </c>
      <c r="D673" s="7">
        <v>0</v>
      </c>
      <c r="E673" s="7">
        <v>0</v>
      </c>
      <c r="F673" s="7">
        <v>0</v>
      </c>
      <c r="G673" s="7">
        <v>0</v>
      </c>
      <c r="H673" s="8">
        <v>1</v>
      </c>
    </row>
    <row r="674" spans="2:8">
      <c r="B674" s="6">
        <v>41031</v>
      </c>
      <c r="C674" s="7">
        <v>30</v>
      </c>
      <c r="D674" s="7">
        <v>0</v>
      </c>
      <c r="E674" s="7">
        <v>0</v>
      </c>
      <c r="F674" s="7">
        <v>0</v>
      </c>
      <c r="G674" s="7">
        <v>0</v>
      </c>
      <c r="H674" s="8">
        <v>1</v>
      </c>
    </row>
    <row r="675" spans="2:8">
      <c r="B675" s="6">
        <v>41032</v>
      </c>
      <c r="C675" s="7">
        <v>27</v>
      </c>
      <c r="D675" s="7">
        <v>0</v>
      </c>
      <c r="E675" s="7">
        <v>0</v>
      </c>
      <c r="F675" s="7">
        <v>1</v>
      </c>
      <c r="G675" s="7">
        <v>1</v>
      </c>
      <c r="H675" s="8">
        <v>4</v>
      </c>
    </row>
    <row r="676" spans="2:8">
      <c r="B676" s="6">
        <v>41033</v>
      </c>
      <c r="C676" s="7">
        <v>27</v>
      </c>
      <c r="D676" s="7">
        <v>0</v>
      </c>
      <c r="E676" s="7">
        <v>0</v>
      </c>
      <c r="F676" s="7">
        <v>2</v>
      </c>
      <c r="G676" s="7">
        <v>2</v>
      </c>
      <c r="H676" s="8">
        <v>9</v>
      </c>
    </row>
    <row r="677" spans="2:8">
      <c r="B677" s="6">
        <v>41034</v>
      </c>
      <c r="C677" s="7">
        <v>16</v>
      </c>
      <c r="D677" s="7">
        <v>0</v>
      </c>
      <c r="E677" s="7">
        <v>0</v>
      </c>
      <c r="F677" s="7">
        <v>1</v>
      </c>
      <c r="G677" s="7">
        <v>0</v>
      </c>
      <c r="H677" s="8">
        <v>2</v>
      </c>
    </row>
    <row r="678" spans="2:8">
      <c r="B678" s="6">
        <v>41035</v>
      </c>
      <c r="C678" s="7">
        <v>12</v>
      </c>
      <c r="D678" s="7">
        <v>0</v>
      </c>
      <c r="E678" s="7">
        <v>0</v>
      </c>
      <c r="F678" s="7">
        <v>0</v>
      </c>
      <c r="G678" s="7">
        <v>0</v>
      </c>
      <c r="H678" s="8">
        <v>1</v>
      </c>
    </row>
    <row r="679" spans="2:8">
      <c r="B679" s="6">
        <v>41036</v>
      </c>
      <c r="C679" s="7">
        <v>21</v>
      </c>
      <c r="D679" s="7">
        <v>0</v>
      </c>
      <c r="E679" s="7">
        <v>0</v>
      </c>
      <c r="F679" s="7">
        <v>0</v>
      </c>
      <c r="G679" s="7">
        <v>0</v>
      </c>
      <c r="H679" s="8">
        <v>1</v>
      </c>
    </row>
    <row r="680" spans="2:8">
      <c r="B680" s="6">
        <v>41037</v>
      </c>
      <c r="C680" s="7">
        <v>22</v>
      </c>
      <c r="D680" s="7">
        <v>0</v>
      </c>
      <c r="E680" s="7">
        <v>0</v>
      </c>
      <c r="F680" s="7">
        <v>0</v>
      </c>
      <c r="G680" s="7">
        <v>0</v>
      </c>
      <c r="H680" s="8">
        <v>1</v>
      </c>
    </row>
    <row r="681" spans="2:8">
      <c r="B681" s="6">
        <v>41038</v>
      </c>
      <c r="C681" s="7">
        <v>19</v>
      </c>
      <c r="D681" s="7">
        <v>0</v>
      </c>
      <c r="E681" s="7">
        <v>0</v>
      </c>
      <c r="F681" s="7">
        <v>0</v>
      </c>
      <c r="G681" s="7">
        <v>0</v>
      </c>
      <c r="H681" s="8">
        <v>1</v>
      </c>
    </row>
    <row r="682" spans="2:8">
      <c r="B682" s="6">
        <v>41039</v>
      </c>
      <c r="C682" s="7">
        <v>16</v>
      </c>
      <c r="D682" s="7">
        <v>0</v>
      </c>
      <c r="E682" s="7">
        <v>0</v>
      </c>
      <c r="F682" s="7">
        <v>0</v>
      </c>
      <c r="G682" s="7">
        <v>0</v>
      </c>
      <c r="H682" s="8">
        <v>1</v>
      </c>
    </row>
    <row r="683" spans="2:8">
      <c r="B683" s="6">
        <v>41040</v>
      </c>
      <c r="C683" s="7">
        <v>19</v>
      </c>
      <c r="D683" s="7">
        <v>0</v>
      </c>
      <c r="E683" s="7">
        <v>0</v>
      </c>
      <c r="F683" s="7">
        <v>0</v>
      </c>
      <c r="G683" s="7">
        <v>0</v>
      </c>
      <c r="H683" s="8">
        <v>1</v>
      </c>
    </row>
    <row r="684" spans="2:8">
      <c r="B684" s="6">
        <v>41041</v>
      </c>
      <c r="C684" s="7">
        <v>32</v>
      </c>
      <c r="D684" s="7">
        <v>0</v>
      </c>
      <c r="E684" s="7">
        <v>0</v>
      </c>
      <c r="F684" s="7">
        <v>1</v>
      </c>
      <c r="G684" s="7">
        <v>1</v>
      </c>
      <c r="H684" s="8">
        <v>4</v>
      </c>
    </row>
    <row r="685" spans="2:8">
      <c r="B685" s="6">
        <v>41042</v>
      </c>
      <c r="C685" s="7">
        <v>26</v>
      </c>
      <c r="D685" s="7">
        <v>0</v>
      </c>
      <c r="E685" s="7">
        <v>0</v>
      </c>
      <c r="F685" s="7">
        <v>1</v>
      </c>
      <c r="G685" s="7">
        <v>0</v>
      </c>
      <c r="H685" s="8">
        <v>2</v>
      </c>
    </row>
    <row r="686" spans="2:8">
      <c r="B686" s="6">
        <v>41043</v>
      </c>
      <c r="C686" s="7">
        <v>22</v>
      </c>
      <c r="D686" s="7">
        <v>0</v>
      </c>
      <c r="E686" s="7">
        <v>0</v>
      </c>
      <c r="F686" s="7">
        <v>0</v>
      </c>
      <c r="G686" s="7">
        <v>0</v>
      </c>
      <c r="H686" s="8">
        <v>1</v>
      </c>
    </row>
    <row r="687" spans="2:8">
      <c r="B687" s="6">
        <v>41044</v>
      </c>
      <c r="C687" s="7">
        <v>21</v>
      </c>
      <c r="D687" s="7">
        <v>0</v>
      </c>
      <c r="E687" s="7">
        <v>0</v>
      </c>
      <c r="F687" s="7">
        <v>0</v>
      </c>
      <c r="G687" s="7">
        <v>0</v>
      </c>
      <c r="H687" s="8">
        <v>1</v>
      </c>
    </row>
    <row r="688" spans="2:8">
      <c r="B688" s="6">
        <v>41045</v>
      </c>
      <c r="C688" s="7">
        <v>11</v>
      </c>
      <c r="D688" s="7">
        <v>0</v>
      </c>
      <c r="E688" s="7">
        <v>0</v>
      </c>
      <c r="F688" s="7">
        <v>0</v>
      </c>
      <c r="G688" s="7">
        <v>0</v>
      </c>
      <c r="H688" s="8">
        <v>1</v>
      </c>
    </row>
    <row r="689" spans="2:8">
      <c r="B689" s="6">
        <v>41046</v>
      </c>
      <c r="C689" s="7">
        <v>14</v>
      </c>
      <c r="D689" s="7">
        <v>0</v>
      </c>
      <c r="E689" s="7">
        <v>0</v>
      </c>
      <c r="F689" s="7">
        <v>0</v>
      </c>
      <c r="G689" s="7">
        <v>0</v>
      </c>
      <c r="H689" s="8">
        <v>1</v>
      </c>
    </row>
    <row r="690" spans="2:8">
      <c r="B690" s="6">
        <v>41047</v>
      </c>
      <c r="C690" s="7">
        <v>19</v>
      </c>
      <c r="D690" s="7">
        <v>0</v>
      </c>
      <c r="E690" s="7">
        <v>0</v>
      </c>
      <c r="F690" s="7">
        <v>0</v>
      </c>
      <c r="G690" s="7">
        <v>0</v>
      </c>
      <c r="H690" s="8">
        <v>1</v>
      </c>
    </row>
    <row r="691" spans="2:8">
      <c r="B691" s="6">
        <v>41048</v>
      </c>
      <c r="C691" s="7">
        <v>33</v>
      </c>
      <c r="D691" s="7">
        <v>0</v>
      </c>
      <c r="E691" s="7">
        <v>0</v>
      </c>
      <c r="F691" s="7">
        <v>1</v>
      </c>
      <c r="G691" s="7">
        <v>1</v>
      </c>
      <c r="H691" s="8">
        <v>4</v>
      </c>
    </row>
    <row r="692" spans="2:8">
      <c r="B692" s="6">
        <v>41049</v>
      </c>
      <c r="C692" s="7">
        <v>25</v>
      </c>
      <c r="D692" s="7">
        <v>0</v>
      </c>
      <c r="E692" s="7">
        <v>0</v>
      </c>
      <c r="F692" s="7">
        <v>1</v>
      </c>
      <c r="G692" s="7">
        <v>0</v>
      </c>
      <c r="H692" s="8">
        <v>2</v>
      </c>
    </row>
    <row r="693" spans="2:8">
      <c r="B693" s="6">
        <v>41050</v>
      </c>
      <c r="C693" s="7">
        <v>15</v>
      </c>
      <c r="D693" s="7">
        <v>0</v>
      </c>
      <c r="E693" s="7">
        <v>0</v>
      </c>
      <c r="F693" s="7">
        <v>0</v>
      </c>
      <c r="G693" s="7">
        <v>0</v>
      </c>
      <c r="H693" s="8">
        <v>1</v>
      </c>
    </row>
    <row r="694" spans="2:8">
      <c r="B694" s="6">
        <v>41051</v>
      </c>
      <c r="C694" s="7">
        <v>21</v>
      </c>
      <c r="D694" s="7">
        <v>0</v>
      </c>
      <c r="E694" s="7">
        <v>0</v>
      </c>
      <c r="F694" s="7">
        <v>0</v>
      </c>
      <c r="G694" s="7">
        <v>0</v>
      </c>
      <c r="H694" s="8">
        <v>1</v>
      </c>
    </row>
    <row r="695" spans="2:8">
      <c r="B695" s="6">
        <v>41052</v>
      </c>
      <c r="C695" s="7">
        <v>19</v>
      </c>
      <c r="D695" s="7">
        <v>0</v>
      </c>
      <c r="E695" s="7">
        <v>0</v>
      </c>
      <c r="F695" s="7">
        <v>0</v>
      </c>
      <c r="G695" s="7">
        <v>0</v>
      </c>
      <c r="H695" s="8">
        <v>1</v>
      </c>
    </row>
    <row r="696" spans="2:8">
      <c r="B696" s="6">
        <v>41053</v>
      </c>
      <c r="C696" s="7">
        <v>23</v>
      </c>
      <c r="D696" s="7">
        <v>0</v>
      </c>
      <c r="E696" s="7">
        <v>0</v>
      </c>
      <c r="F696" s="7">
        <v>0</v>
      </c>
      <c r="G696" s="7">
        <v>0</v>
      </c>
      <c r="H696" s="8">
        <v>1</v>
      </c>
    </row>
    <row r="697" spans="2:8">
      <c r="B697" s="6">
        <v>41054</v>
      </c>
      <c r="C697" s="7">
        <v>32</v>
      </c>
      <c r="D697" s="7">
        <v>0</v>
      </c>
      <c r="E697" s="7">
        <v>0</v>
      </c>
      <c r="F697" s="7">
        <v>1</v>
      </c>
      <c r="G697" s="7">
        <v>0</v>
      </c>
      <c r="H697" s="8">
        <v>2</v>
      </c>
    </row>
    <row r="698" spans="2:8">
      <c r="B698" s="6">
        <v>41055</v>
      </c>
      <c r="C698" s="7">
        <v>39</v>
      </c>
      <c r="D698" s="7">
        <v>0</v>
      </c>
      <c r="E698" s="7">
        <v>0</v>
      </c>
      <c r="F698" s="7">
        <v>2</v>
      </c>
      <c r="G698" s="7">
        <v>1</v>
      </c>
      <c r="H698" s="8">
        <v>6</v>
      </c>
    </row>
    <row r="699" spans="2:8">
      <c r="B699" s="6">
        <v>41056</v>
      </c>
      <c r="C699" s="7">
        <v>32</v>
      </c>
      <c r="D699" s="7">
        <v>0</v>
      </c>
      <c r="E699" s="7">
        <v>0</v>
      </c>
      <c r="F699" s="7">
        <v>1</v>
      </c>
      <c r="G699" s="7">
        <v>1</v>
      </c>
      <c r="H699" s="8">
        <v>4</v>
      </c>
    </row>
    <row r="700" spans="2:8">
      <c r="B700" s="6">
        <v>41057</v>
      </c>
      <c r="C700" s="7">
        <v>30</v>
      </c>
      <c r="D700" s="7">
        <v>0</v>
      </c>
      <c r="E700" s="7">
        <v>0</v>
      </c>
      <c r="F700" s="7">
        <v>1</v>
      </c>
      <c r="G700" s="7">
        <v>0</v>
      </c>
      <c r="H700" s="8">
        <v>2</v>
      </c>
    </row>
    <row r="701" spans="2:8">
      <c r="B701" s="6">
        <v>41058</v>
      </c>
      <c r="C701" s="7">
        <v>33</v>
      </c>
      <c r="D701" s="7">
        <v>0</v>
      </c>
      <c r="E701" s="7">
        <v>0</v>
      </c>
      <c r="F701" s="7">
        <v>0</v>
      </c>
      <c r="G701" s="7">
        <v>0</v>
      </c>
      <c r="H701" s="8">
        <v>1</v>
      </c>
    </row>
    <row r="702" spans="2:8">
      <c r="B702" s="6">
        <v>41059</v>
      </c>
      <c r="C702" s="7">
        <v>27</v>
      </c>
      <c r="D702" s="7">
        <v>0</v>
      </c>
      <c r="E702" s="7">
        <v>0</v>
      </c>
      <c r="F702" s="7">
        <v>1</v>
      </c>
      <c r="G702" s="7">
        <v>0</v>
      </c>
      <c r="H702" s="8">
        <v>2</v>
      </c>
    </row>
    <row r="703" spans="2:8">
      <c r="B703" s="6">
        <v>41060</v>
      </c>
      <c r="C703" s="7">
        <v>35</v>
      </c>
      <c r="D703" s="7">
        <v>0</v>
      </c>
      <c r="E703" s="7">
        <v>0</v>
      </c>
      <c r="F703" s="7">
        <v>1</v>
      </c>
      <c r="G703" s="7">
        <v>1</v>
      </c>
      <c r="H703" s="8">
        <v>4</v>
      </c>
    </row>
    <row r="704" spans="2:8">
      <c r="B704" s="6">
        <v>41061</v>
      </c>
      <c r="C704" s="7">
        <v>30</v>
      </c>
      <c r="D704" s="7">
        <v>0</v>
      </c>
      <c r="E704" s="7">
        <v>0</v>
      </c>
      <c r="F704" s="7">
        <v>0</v>
      </c>
      <c r="G704" s="7">
        <v>0</v>
      </c>
      <c r="H704" s="8">
        <v>1</v>
      </c>
    </row>
    <row r="705" spans="2:8">
      <c r="B705" s="6">
        <v>41062</v>
      </c>
      <c r="C705" s="7">
        <v>36</v>
      </c>
      <c r="D705" s="7">
        <v>0</v>
      </c>
      <c r="E705" s="7">
        <v>0</v>
      </c>
      <c r="F705" s="7">
        <v>1</v>
      </c>
      <c r="G705" s="7">
        <v>1</v>
      </c>
      <c r="H705" s="8">
        <v>4</v>
      </c>
    </row>
    <row r="706" spans="2:8">
      <c r="B706" s="6">
        <v>41063</v>
      </c>
      <c r="C706" s="7">
        <v>28</v>
      </c>
      <c r="D706" s="7">
        <v>0</v>
      </c>
      <c r="E706" s="7">
        <v>0</v>
      </c>
      <c r="F706" s="7">
        <v>1</v>
      </c>
      <c r="G706" s="7">
        <v>1</v>
      </c>
      <c r="H706" s="8">
        <v>4</v>
      </c>
    </row>
    <row r="707" spans="2:8">
      <c r="B707" s="6">
        <v>41064</v>
      </c>
      <c r="C707" s="7">
        <v>22</v>
      </c>
      <c r="D707" s="7">
        <v>0</v>
      </c>
      <c r="E707" s="7">
        <v>0</v>
      </c>
      <c r="F707" s="7">
        <v>0</v>
      </c>
      <c r="G707" s="7">
        <v>0</v>
      </c>
      <c r="H707" s="8">
        <v>1</v>
      </c>
    </row>
    <row r="708" spans="2:8">
      <c r="B708" s="6">
        <v>41065</v>
      </c>
      <c r="C708" s="7">
        <v>23</v>
      </c>
      <c r="D708" s="7">
        <v>0</v>
      </c>
      <c r="E708" s="7">
        <v>0</v>
      </c>
      <c r="F708" s="7">
        <v>0</v>
      </c>
      <c r="G708" s="7">
        <v>0</v>
      </c>
      <c r="H708" s="8">
        <v>1</v>
      </c>
    </row>
    <row r="709" spans="2:8">
      <c r="B709" s="6">
        <v>41066</v>
      </c>
      <c r="C709" s="7">
        <v>13</v>
      </c>
      <c r="D709" s="7">
        <v>0</v>
      </c>
      <c r="E709" s="7">
        <v>0</v>
      </c>
      <c r="F709" s="7">
        <v>0</v>
      </c>
      <c r="G709" s="7">
        <v>0</v>
      </c>
      <c r="H709" s="8">
        <v>1</v>
      </c>
    </row>
    <row r="710" spans="2:8">
      <c r="B710" s="6">
        <v>41067</v>
      </c>
      <c r="C710" s="7">
        <v>13</v>
      </c>
      <c r="D710" s="7">
        <v>0</v>
      </c>
      <c r="E710" s="7">
        <v>0</v>
      </c>
      <c r="F710" s="7">
        <v>0</v>
      </c>
      <c r="G710" s="7">
        <v>0</v>
      </c>
      <c r="H710" s="8">
        <v>1</v>
      </c>
    </row>
    <row r="711" spans="2:8">
      <c r="B711" s="6">
        <v>41068</v>
      </c>
      <c r="C711" s="7">
        <v>12</v>
      </c>
      <c r="D711" s="7">
        <v>0</v>
      </c>
      <c r="E711" s="7">
        <v>0</v>
      </c>
      <c r="F711" s="7">
        <v>0</v>
      </c>
      <c r="G711" s="7">
        <v>0</v>
      </c>
      <c r="H711" s="8">
        <v>1</v>
      </c>
    </row>
    <row r="712" spans="2:8">
      <c r="B712" s="6">
        <v>41069</v>
      </c>
      <c r="C712" s="7">
        <v>38</v>
      </c>
      <c r="D712" s="7">
        <v>0</v>
      </c>
      <c r="E712" s="7">
        <v>0</v>
      </c>
      <c r="F712" s="7">
        <v>1</v>
      </c>
      <c r="G712" s="7">
        <v>1</v>
      </c>
      <c r="H712" s="8">
        <v>4</v>
      </c>
    </row>
    <row r="713" spans="2:8">
      <c r="B713" s="6">
        <v>41070</v>
      </c>
      <c r="C713" s="7">
        <v>17</v>
      </c>
      <c r="D713" s="7">
        <v>0</v>
      </c>
      <c r="E713" s="7">
        <v>0</v>
      </c>
      <c r="F713" s="7">
        <v>1</v>
      </c>
      <c r="G713" s="7">
        <v>0</v>
      </c>
      <c r="H713" s="8">
        <v>2</v>
      </c>
    </row>
    <row r="714" spans="2:8">
      <c r="B714" s="6">
        <v>41071</v>
      </c>
      <c r="C714" s="7">
        <v>22</v>
      </c>
      <c r="D714" s="7">
        <v>0</v>
      </c>
      <c r="E714" s="7">
        <v>0</v>
      </c>
      <c r="F714" s="7">
        <v>0</v>
      </c>
      <c r="G714" s="7">
        <v>0</v>
      </c>
      <c r="H714" s="8">
        <v>1</v>
      </c>
    </row>
    <row r="715" spans="2:8">
      <c r="B715" s="6">
        <v>41072</v>
      </c>
      <c r="C715" s="7">
        <v>12</v>
      </c>
      <c r="D715" s="7">
        <v>0</v>
      </c>
      <c r="E715" s="7">
        <v>0</v>
      </c>
      <c r="F715" s="7">
        <v>0</v>
      </c>
      <c r="G715" s="7">
        <v>0</v>
      </c>
      <c r="H715" s="8">
        <v>1</v>
      </c>
    </row>
    <row r="716" spans="2:8">
      <c r="B716" s="6">
        <v>41073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8">
        <v>1</v>
      </c>
    </row>
    <row r="717" spans="2:8">
      <c r="B717" s="6">
        <v>41074</v>
      </c>
      <c r="C717" s="7">
        <v>20</v>
      </c>
      <c r="D717" s="7">
        <v>0</v>
      </c>
      <c r="E717" s="7">
        <v>0</v>
      </c>
      <c r="F717" s="7">
        <v>0</v>
      </c>
      <c r="G717" s="7">
        <v>0</v>
      </c>
      <c r="H717" s="8">
        <v>1</v>
      </c>
    </row>
    <row r="718" spans="2:8">
      <c r="B718" s="6">
        <v>41075</v>
      </c>
      <c r="C718" s="7">
        <v>20</v>
      </c>
      <c r="D718" s="7">
        <v>0</v>
      </c>
      <c r="E718" s="7">
        <v>0</v>
      </c>
      <c r="F718" s="7">
        <v>0</v>
      </c>
      <c r="G718" s="7">
        <v>0</v>
      </c>
      <c r="H718" s="8">
        <v>1</v>
      </c>
    </row>
    <row r="719" spans="2:8">
      <c r="B719" s="6">
        <v>41076</v>
      </c>
      <c r="C719" s="7">
        <v>42</v>
      </c>
      <c r="D719" s="7">
        <v>0</v>
      </c>
      <c r="E719" s="7">
        <v>0</v>
      </c>
      <c r="F719" s="7">
        <v>1</v>
      </c>
      <c r="G719" s="7">
        <v>1</v>
      </c>
      <c r="H719" s="8">
        <v>4</v>
      </c>
    </row>
    <row r="720" spans="2:8">
      <c r="B720" s="6">
        <v>41077</v>
      </c>
      <c r="C720" s="7">
        <v>22</v>
      </c>
      <c r="D720" s="7">
        <v>0</v>
      </c>
      <c r="E720" s="7">
        <v>0</v>
      </c>
      <c r="F720" s="7">
        <v>1</v>
      </c>
      <c r="G720" s="7">
        <v>0</v>
      </c>
      <c r="H720" s="8">
        <v>2</v>
      </c>
    </row>
    <row r="721" spans="2:8">
      <c r="B721" s="6">
        <v>41078</v>
      </c>
      <c r="C721" s="7">
        <v>23</v>
      </c>
      <c r="D721" s="7">
        <v>0</v>
      </c>
      <c r="E721" s="7">
        <v>0</v>
      </c>
      <c r="F721" s="7">
        <v>0</v>
      </c>
      <c r="G721" s="7">
        <v>0</v>
      </c>
      <c r="H721" s="8">
        <v>1</v>
      </c>
    </row>
    <row r="722" spans="2:8">
      <c r="B722" s="6">
        <v>41079</v>
      </c>
      <c r="C722" s="7">
        <v>19</v>
      </c>
      <c r="D722" s="7">
        <v>0</v>
      </c>
      <c r="E722" s="7">
        <v>0</v>
      </c>
      <c r="F722" s="7">
        <v>0</v>
      </c>
      <c r="G722" s="7">
        <v>0</v>
      </c>
      <c r="H722" s="8">
        <v>1</v>
      </c>
    </row>
    <row r="723" spans="2:8">
      <c r="B723" s="6">
        <v>41080</v>
      </c>
      <c r="C723" s="7">
        <v>21</v>
      </c>
      <c r="D723" s="7">
        <v>0</v>
      </c>
      <c r="E723" s="7">
        <v>0</v>
      </c>
      <c r="F723" s="7">
        <v>0</v>
      </c>
      <c r="G723" s="7">
        <v>0</v>
      </c>
      <c r="H723" s="8">
        <v>1</v>
      </c>
    </row>
    <row r="724" spans="2:8">
      <c r="B724" s="6">
        <v>41081</v>
      </c>
      <c r="C724" s="7">
        <v>20</v>
      </c>
      <c r="D724" s="7">
        <v>0</v>
      </c>
      <c r="E724" s="7">
        <v>0</v>
      </c>
      <c r="F724" s="7">
        <v>0</v>
      </c>
      <c r="G724" s="7">
        <v>0</v>
      </c>
      <c r="H724" s="8">
        <v>1</v>
      </c>
    </row>
    <row r="725" spans="2:8">
      <c r="B725" s="6">
        <v>41082</v>
      </c>
      <c r="C725" s="7">
        <v>32</v>
      </c>
      <c r="D725" s="7">
        <v>0</v>
      </c>
      <c r="E725" s="7">
        <v>0</v>
      </c>
      <c r="F725" s="7">
        <v>0</v>
      </c>
      <c r="G725" s="7">
        <v>0</v>
      </c>
      <c r="H725" s="8">
        <v>1</v>
      </c>
    </row>
    <row r="726" spans="2:8">
      <c r="B726" s="6">
        <v>41083</v>
      </c>
      <c r="C726" s="7">
        <v>38</v>
      </c>
      <c r="D726" s="7">
        <v>0</v>
      </c>
      <c r="E726" s="7">
        <v>0</v>
      </c>
      <c r="F726" s="7">
        <v>2</v>
      </c>
      <c r="G726" s="7">
        <v>1</v>
      </c>
      <c r="H726" s="8">
        <v>6</v>
      </c>
    </row>
    <row r="727" spans="2:8">
      <c r="B727" s="6">
        <v>41084</v>
      </c>
      <c r="C727" s="7">
        <v>34</v>
      </c>
      <c r="D727" s="7">
        <v>0</v>
      </c>
      <c r="E727" s="7">
        <v>0</v>
      </c>
      <c r="F727" s="7">
        <v>1</v>
      </c>
      <c r="G727" s="7">
        <v>1</v>
      </c>
      <c r="H727" s="8">
        <v>4</v>
      </c>
    </row>
    <row r="728" spans="2:8">
      <c r="B728" s="6">
        <v>41085</v>
      </c>
      <c r="C728" s="7">
        <v>31</v>
      </c>
      <c r="D728" s="7">
        <v>0</v>
      </c>
      <c r="E728" s="7">
        <v>0</v>
      </c>
      <c r="F728" s="7">
        <v>0</v>
      </c>
      <c r="G728" s="7">
        <v>0</v>
      </c>
      <c r="H728" s="8">
        <v>1</v>
      </c>
    </row>
    <row r="729" spans="2:8">
      <c r="B729" s="6">
        <v>41086</v>
      </c>
      <c r="C729" s="7">
        <v>33</v>
      </c>
      <c r="D729" s="7">
        <v>0</v>
      </c>
      <c r="E729" s="7">
        <v>0</v>
      </c>
      <c r="F729" s="7">
        <v>1</v>
      </c>
      <c r="G729" s="7">
        <v>0</v>
      </c>
      <c r="H729" s="8">
        <v>2</v>
      </c>
    </row>
    <row r="730" spans="2:8">
      <c r="B730" s="6">
        <v>41087</v>
      </c>
      <c r="C730" s="7">
        <v>31</v>
      </c>
      <c r="D730" s="7">
        <v>0</v>
      </c>
      <c r="E730" s="7">
        <v>0</v>
      </c>
      <c r="F730" s="7">
        <v>0</v>
      </c>
      <c r="G730" s="7">
        <v>0</v>
      </c>
      <c r="H730" s="8">
        <v>1</v>
      </c>
    </row>
    <row r="731" spans="2:8">
      <c r="B731" s="6">
        <v>41088</v>
      </c>
      <c r="C731" s="7">
        <v>42</v>
      </c>
      <c r="D731" s="7">
        <v>0</v>
      </c>
      <c r="E731" s="7">
        <v>0</v>
      </c>
      <c r="F731" s="7">
        <v>1</v>
      </c>
      <c r="G731" s="7">
        <v>0</v>
      </c>
      <c r="H731" s="8">
        <v>2</v>
      </c>
    </row>
    <row r="732" spans="2:8">
      <c r="B732" s="6">
        <v>41089</v>
      </c>
      <c r="C732" s="7">
        <v>52</v>
      </c>
      <c r="D732" s="7">
        <v>0</v>
      </c>
      <c r="E732" s="7">
        <v>0</v>
      </c>
      <c r="F732" s="7">
        <v>1</v>
      </c>
      <c r="G732" s="7">
        <v>1</v>
      </c>
      <c r="H732" s="8">
        <v>4</v>
      </c>
    </row>
    <row r="733" spans="2:8" ht="21" thickBot="1">
      <c r="B733" s="9">
        <v>41090</v>
      </c>
      <c r="C733" s="10">
        <v>55</v>
      </c>
      <c r="D733" s="10">
        <v>0</v>
      </c>
      <c r="E733" s="10">
        <v>0</v>
      </c>
      <c r="F733" s="10">
        <v>2</v>
      </c>
      <c r="G733" s="10">
        <v>2</v>
      </c>
      <c r="H733" s="11">
        <v>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43FE8-8B04-EF47-84EB-978135169C11}">
  <dimension ref="B1:J1372"/>
  <sheetViews>
    <sheetView workbookViewId="0"/>
  </sheetViews>
  <sheetFormatPr baseColWidth="10" defaultRowHeight="20"/>
  <sheetData>
    <row r="1" spans="2:10" ht="21" thickBot="1"/>
    <row r="2" spans="2:10" ht="21" thickBot="1">
      <c r="B2" s="3" t="s">
        <v>0</v>
      </c>
      <c r="C2" s="15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5" t="s">
        <v>6</v>
      </c>
      <c r="J2" s="14" t="s">
        <v>1</v>
      </c>
    </row>
    <row r="3" spans="2:10">
      <c r="B3" s="6">
        <v>41091</v>
      </c>
      <c r="C3" s="16"/>
      <c r="D3" s="7">
        <v>0</v>
      </c>
      <c r="E3" s="7">
        <v>0</v>
      </c>
      <c r="F3" s="7">
        <v>2</v>
      </c>
      <c r="G3" s="7">
        <v>1</v>
      </c>
      <c r="H3" s="8">
        <v>6</v>
      </c>
      <c r="J3" s="12">
        <v>45</v>
      </c>
    </row>
    <row r="4" spans="2:10">
      <c r="B4" s="6">
        <v>41092</v>
      </c>
      <c r="C4" s="16"/>
      <c r="D4" s="7">
        <v>0</v>
      </c>
      <c r="E4" s="7">
        <v>0</v>
      </c>
      <c r="F4" s="7">
        <v>1</v>
      </c>
      <c r="G4" s="7">
        <v>1</v>
      </c>
      <c r="H4" s="8">
        <v>4</v>
      </c>
      <c r="J4" s="12">
        <v>31</v>
      </c>
    </row>
    <row r="5" spans="2:10">
      <c r="B5" s="6">
        <v>41093</v>
      </c>
      <c r="C5" s="16"/>
      <c r="D5" s="7">
        <v>0</v>
      </c>
      <c r="E5" s="7">
        <v>0</v>
      </c>
      <c r="F5" s="7">
        <v>1</v>
      </c>
      <c r="G5" s="7">
        <v>0</v>
      </c>
      <c r="H5" s="8">
        <v>2</v>
      </c>
      <c r="J5" s="12">
        <v>12</v>
      </c>
    </row>
    <row r="6" spans="2:10">
      <c r="B6" s="6">
        <v>41094</v>
      </c>
      <c r="C6" s="16"/>
      <c r="D6" s="7">
        <v>0</v>
      </c>
      <c r="E6" s="7">
        <v>0</v>
      </c>
      <c r="F6" s="7">
        <v>0</v>
      </c>
      <c r="G6" s="7">
        <v>0</v>
      </c>
      <c r="H6" s="8">
        <v>1</v>
      </c>
      <c r="J6" s="12">
        <v>19</v>
      </c>
    </row>
    <row r="7" spans="2:10">
      <c r="B7" s="6">
        <v>41095</v>
      </c>
      <c r="C7" s="16"/>
      <c r="D7" s="7">
        <v>0</v>
      </c>
      <c r="E7" s="7">
        <v>0</v>
      </c>
      <c r="F7" s="7">
        <v>0</v>
      </c>
      <c r="G7" s="7">
        <v>0</v>
      </c>
      <c r="H7" s="8">
        <v>1</v>
      </c>
      <c r="J7" s="12">
        <v>16</v>
      </c>
    </row>
    <row r="8" spans="2:10">
      <c r="B8" s="6">
        <v>41096</v>
      </c>
      <c r="C8" s="16"/>
      <c r="D8" s="7">
        <v>0</v>
      </c>
      <c r="E8" s="7">
        <v>0</v>
      </c>
      <c r="F8" s="7">
        <v>0</v>
      </c>
      <c r="G8" s="7">
        <v>0</v>
      </c>
      <c r="H8" s="8">
        <v>1</v>
      </c>
      <c r="J8" s="12">
        <v>23</v>
      </c>
    </row>
    <row r="9" spans="2:10">
      <c r="B9" s="6">
        <v>41097</v>
      </c>
      <c r="C9" s="16"/>
      <c r="D9" s="7">
        <v>0</v>
      </c>
      <c r="E9" s="7">
        <v>0</v>
      </c>
      <c r="F9" s="7">
        <v>1</v>
      </c>
      <c r="G9" s="7">
        <v>1</v>
      </c>
      <c r="H9" s="8">
        <v>4</v>
      </c>
      <c r="J9" s="12">
        <v>34</v>
      </c>
    </row>
    <row r="10" spans="2:10">
      <c r="B10" s="6">
        <v>41098</v>
      </c>
      <c r="C10" s="16"/>
      <c r="D10" s="7">
        <v>0</v>
      </c>
      <c r="E10" s="7">
        <v>0</v>
      </c>
      <c r="F10" s="7">
        <v>1</v>
      </c>
      <c r="G10" s="7">
        <v>1</v>
      </c>
      <c r="H10" s="8">
        <v>4</v>
      </c>
      <c r="J10" s="12">
        <v>20</v>
      </c>
    </row>
    <row r="11" spans="2:10">
      <c r="B11" s="6">
        <v>41099</v>
      </c>
      <c r="C11" s="16"/>
      <c r="D11" s="7">
        <v>0</v>
      </c>
      <c r="E11" s="7">
        <v>0</v>
      </c>
      <c r="F11" s="7">
        <v>0</v>
      </c>
      <c r="G11" s="7">
        <v>0</v>
      </c>
      <c r="H11" s="8">
        <v>1</v>
      </c>
      <c r="J11" s="12">
        <v>17</v>
      </c>
    </row>
    <row r="12" spans="2:10">
      <c r="B12" s="6">
        <v>41100</v>
      </c>
      <c r="C12" s="16"/>
      <c r="D12" s="7">
        <v>0</v>
      </c>
      <c r="E12" s="7">
        <v>0</v>
      </c>
      <c r="F12" s="7">
        <v>0</v>
      </c>
      <c r="G12" s="7">
        <v>0</v>
      </c>
      <c r="H12" s="8">
        <v>1</v>
      </c>
      <c r="J12" s="12">
        <v>9</v>
      </c>
    </row>
    <row r="13" spans="2:10">
      <c r="B13" s="6">
        <v>41101</v>
      </c>
      <c r="C13" s="16"/>
      <c r="D13" s="7">
        <v>0</v>
      </c>
      <c r="E13" s="7">
        <v>0</v>
      </c>
      <c r="F13" s="7">
        <v>0</v>
      </c>
      <c r="G13" s="7">
        <v>0</v>
      </c>
      <c r="H13" s="8">
        <v>1</v>
      </c>
      <c r="J13" s="12">
        <v>21</v>
      </c>
    </row>
    <row r="14" spans="2:10">
      <c r="B14" s="6">
        <v>41102</v>
      </c>
      <c r="C14" s="16"/>
      <c r="D14" s="7">
        <v>0</v>
      </c>
      <c r="E14" s="7">
        <v>0</v>
      </c>
      <c r="F14" s="7">
        <v>0</v>
      </c>
      <c r="G14" s="7">
        <v>0</v>
      </c>
      <c r="H14" s="8">
        <v>1</v>
      </c>
      <c r="J14" s="12">
        <v>21</v>
      </c>
    </row>
    <row r="15" spans="2:10">
      <c r="B15" s="6">
        <v>41103</v>
      </c>
      <c r="C15" s="16"/>
      <c r="D15" s="7">
        <v>0</v>
      </c>
      <c r="E15" s="7">
        <v>0</v>
      </c>
      <c r="F15" s="7">
        <v>0</v>
      </c>
      <c r="G15" s="7">
        <v>0</v>
      </c>
      <c r="H15" s="8">
        <v>1</v>
      </c>
      <c r="J15" s="12">
        <v>23</v>
      </c>
    </row>
    <row r="16" spans="2:10">
      <c r="B16" s="6">
        <v>41104</v>
      </c>
      <c r="C16" s="16"/>
      <c r="D16" s="7">
        <v>0</v>
      </c>
      <c r="E16" s="7">
        <v>0</v>
      </c>
      <c r="F16" s="7">
        <v>2</v>
      </c>
      <c r="G16" s="7">
        <v>1</v>
      </c>
      <c r="H16" s="8">
        <v>6</v>
      </c>
      <c r="J16" s="12">
        <v>38</v>
      </c>
    </row>
    <row r="17" spans="2:10">
      <c r="B17" s="6">
        <v>41105</v>
      </c>
      <c r="C17" s="16"/>
      <c r="D17" s="7">
        <v>0</v>
      </c>
      <c r="E17" s="7">
        <v>0</v>
      </c>
      <c r="F17" s="7">
        <v>2</v>
      </c>
      <c r="G17" s="7">
        <v>1</v>
      </c>
      <c r="H17" s="8">
        <v>6</v>
      </c>
      <c r="J17" s="12">
        <v>38</v>
      </c>
    </row>
    <row r="18" spans="2:10">
      <c r="B18" s="6">
        <v>41106</v>
      </c>
      <c r="C18" s="16"/>
      <c r="D18" s="7">
        <v>0</v>
      </c>
      <c r="E18" s="7">
        <v>0</v>
      </c>
      <c r="F18" s="7">
        <v>1</v>
      </c>
      <c r="G18" s="7">
        <v>0</v>
      </c>
      <c r="H18" s="8">
        <v>2</v>
      </c>
      <c r="J18" s="12">
        <v>25</v>
      </c>
    </row>
    <row r="19" spans="2:10">
      <c r="B19" s="6">
        <v>41107</v>
      </c>
      <c r="C19" s="16"/>
      <c r="D19" s="7">
        <v>0</v>
      </c>
      <c r="E19" s="7">
        <v>0</v>
      </c>
      <c r="F19" s="7">
        <v>0</v>
      </c>
      <c r="G19" s="7">
        <v>0</v>
      </c>
      <c r="H19" s="8">
        <v>1</v>
      </c>
      <c r="J19" s="12">
        <v>24</v>
      </c>
    </row>
    <row r="20" spans="2:10">
      <c r="B20" s="6">
        <v>41108</v>
      </c>
      <c r="C20" s="16"/>
      <c r="D20" s="7">
        <v>0</v>
      </c>
      <c r="E20" s="7">
        <v>0</v>
      </c>
      <c r="F20" s="7">
        <v>0</v>
      </c>
      <c r="G20" s="7">
        <v>0</v>
      </c>
      <c r="H20" s="8">
        <v>1</v>
      </c>
      <c r="J20" s="12">
        <v>11</v>
      </c>
    </row>
    <row r="21" spans="2:10">
      <c r="B21" s="6">
        <v>41109</v>
      </c>
      <c r="C21" s="16"/>
      <c r="D21" s="7">
        <v>0</v>
      </c>
      <c r="E21" s="7">
        <v>0</v>
      </c>
      <c r="F21" s="7">
        <v>0</v>
      </c>
      <c r="G21" s="7">
        <v>0</v>
      </c>
      <c r="H21" s="8">
        <v>1</v>
      </c>
      <c r="J21" s="12">
        <v>19</v>
      </c>
    </row>
    <row r="22" spans="2:10">
      <c r="B22" s="6">
        <v>41110</v>
      </c>
      <c r="C22" s="16"/>
      <c r="D22" s="7">
        <v>0</v>
      </c>
      <c r="E22" s="7">
        <v>0</v>
      </c>
      <c r="F22" s="7">
        <v>0</v>
      </c>
      <c r="G22" s="7">
        <v>0</v>
      </c>
      <c r="H22" s="8">
        <v>1</v>
      </c>
      <c r="J22" s="12">
        <v>24</v>
      </c>
    </row>
    <row r="23" spans="2:10">
      <c r="B23" s="6">
        <v>41111</v>
      </c>
      <c r="C23" s="16"/>
      <c r="D23" s="7">
        <v>0</v>
      </c>
      <c r="E23" s="7">
        <v>0</v>
      </c>
      <c r="F23" s="7">
        <v>1</v>
      </c>
      <c r="G23" s="7">
        <v>1</v>
      </c>
      <c r="H23" s="8">
        <v>4</v>
      </c>
      <c r="J23" s="12">
        <v>37</v>
      </c>
    </row>
    <row r="24" spans="2:10">
      <c r="B24" s="6">
        <v>41112</v>
      </c>
      <c r="C24" s="16"/>
      <c r="D24" s="7">
        <v>0</v>
      </c>
      <c r="E24" s="7">
        <v>0</v>
      </c>
      <c r="F24" s="7">
        <v>1</v>
      </c>
      <c r="G24" s="7">
        <v>1</v>
      </c>
      <c r="H24" s="8">
        <v>4</v>
      </c>
      <c r="J24" s="12">
        <v>23</v>
      </c>
    </row>
    <row r="25" spans="2:10">
      <c r="B25" s="6">
        <v>41113</v>
      </c>
      <c r="C25" s="16"/>
      <c r="D25" s="7">
        <v>0</v>
      </c>
      <c r="E25" s="7">
        <v>0</v>
      </c>
      <c r="F25" s="7">
        <v>0</v>
      </c>
      <c r="G25" s="7">
        <v>0</v>
      </c>
      <c r="H25" s="8">
        <v>1</v>
      </c>
      <c r="J25" s="12">
        <v>27</v>
      </c>
    </row>
    <row r="26" spans="2:10">
      <c r="B26" s="6">
        <v>41114</v>
      </c>
      <c r="C26" s="16"/>
      <c r="D26" s="7">
        <v>0</v>
      </c>
      <c r="E26" s="7">
        <v>0</v>
      </c>
      <c r="F26" s="7">
        <v>1</v>
      </c>
      <c r="G26" s="7">
        <v>0</v>
      </c>
      <c r="H26" s="8">
        <v>2</v>
      </c>
      <c r="J26" s="12">
        <v>31</v>
      </c>
    </row>
    <row r="27" spans="2:10">
      <c r="B27" s="6">
        <v>41115</v>
      </c>
      <c r="C27" s="16"/>
      <c r="D27" s="7">
        <v>0</v>
      </c>
      <c r="E27" s="7">
        <v>0</v>
      </c>
      <c r="F27" s="7">
        <v>0</v>
      </c>
      <c r="G27" s="7">
        <v>0</v>
      </c>
      <c r="H27" s="8">
        <v>1</v>
      </c>
      <c r="J27" s="12">
        <v>17</v>
      </c>
    </row>
    <row r="28" spans="2:10">
      <c r="B28" s="6">
        <v>41116</v>
      </c>
      <c r="C28" s="16"/>
      <c r="D28" s="7">
        <v>0</v>
      </c>
      <c r="E28" s="7">
        <v>0</v>
      </c>
      <c r="F28" s="7">
        <v>0</v>
      </c>
      <c r="G28" s="7">
        <v>0</v>
      </c>
      <c r="H28" s="8">
        <v>1</v>
      </c>
      <c r="J28" s="12">
        <v>22</v>
      </c>
    </row>
    <row r="29" spans="2:10">
      <c r="B29" s="6">
        <v>41117</v>
      </c>
      <c r="C29" s="16"/>
      <c r="D29" s="7">
        <v>0</v>
      </c>
      <c r="E29" s="7">
        <v>0</v>
      </c>
      <c r="F29" s="7">
        <v>1</v>
      </c>
      <c r="G29" s="7">
        <v>1</v>
      </c>
      <c r="H29" s="8">
        <v>4</v>
      </c>
      <c r="J29" s="12">
        <v>25</v>
      </c>
    </row>
    <row r="30" spans="2:10">
      <c r="B30" s="6">
        <v>41118</v>
      </c>
      <c r="C30" s="16"/>
      <c r="D30" s="7">
        <v>0</v>
      </c>
      <c r="E30" s="7">
        <v>0</v>
      </c>
      <c r="F30" s="7">
        <v>3</v>
      </c>
      <c r="G30" s="7">
        <v>2</v>
      </c>
      <c r="H30" s="8">
        <v>12</v>
      </c>
      <c r="J30" s="12">
        <v>48</v>
      </c>
    </row>
    <row r="31" spans="2:10">
      <c r="B31" s="6">
        <v>41119</v>
      </c>
      <c r="C31" s="16"/>
      <c r="D31" s="7">
        <v>0</v>
      </c>
      <c r="E31" s="7">
        <v>0</v>
      </c>
      <c r="F31" s="7">
        <v>2</v>
      </c>
      <c r="G31" s="7">
        <v>1</v>
      </c>
      <c r="H31" s="8">
        <v>6</v>
      </c>
      <c r="J31" s="12">
        <v>43</v>
      </c>
    </row>
    <row r="32" spans="2:10">
      <c r="B32" s="6">
        <v>41120</v>
      </c>
      <c r="C32" s="16"/>
      <c r="D32" s="7">
        <v>0</v>
      </c>
      <c r="E32" s="7">
        <v>0</v>
      </c>
      <c r="F32" s="7">
        <v>1</v>
      </c>
      <c r="G32" s="7">
        <v>1</v>
      </c>
      <c r="H32" s="8">
        <v>4</v>
      </c>
      <c r="J32" s="12">
        <v>31</v>
      </c>
    </row>
    <row r="33" spans="2:10">
      <c r="B33" s="6">
        <v>41121</v>
      </c>
      <c r="C33" s="16"/>
      <c r="D33" s="7">
        <v>0</v>
      </c>
      <c r="E33" s="7">
        <v>0</v>
      </c>
      <c r="F33" s="7">
        <v>1</v>
      </c>
      <c r="G33" s="7">
        <v>1</v>
      </c>
      <c r="H33" s="8">
        <v>4</v>
      </c>
      <c r="J33" s="12">
        <v>42</v>
      </c>
    </row>
    <row r="34" spans="2:10">
      <c r="B34" s="6">
        <v>41122</v>
      </c>
      <c r="C34" s="16"/>
      <c r="D34" s="7">
        <v>0</v>
      </c>
      <c r="E34" s="7">
        <v>0</v>
      </c>
      <c r="F34" s="7">
        <v>0</v>
      </c>
      <c r="G34" s="7">
        <v>0</v>
      </c>
      <c r="H34" s="8">
        <v>1</v>
      </c>
      <c r="J34" s="12">
        <v>41</v>
      </c>
    </row>
    <row r="35" spans="2:10">
      <c r="B35" s="6">
        <v>41123</v>
      </c>
      <c r="C35" s="16"/>
      <c r="D35" s="7">
        <v>0</v>
      </c>
      <c r="E35" s="7">
        <v>0</v>
      </c>
      <c r="F35" s="7">
        <v>0</v>
      </c>
      <c r="G35" s="7">
        <v>0</v>
      </c>
      <c r="H35" s="8">
        <v>1</v>
      </c>
      <c r="J35" s="12">
        <v>30</v>
      </c>
    </row>
    <row r="36" spans="2:10">
      <c r="B36" s="6">
        <v>41124</v>
      </c>
      <c r="C36" s="16"/>
      <c r="D36" s="7">
        <v>0</v>
      </c>
      <c r="E36" s="7">
        <v>0</v>
      </c>
      <c r="F36" s="7">
        <v>0</v>
      </c>
      <c r="G36" s="7">
        <v>0</v>
      </c>
      <c r="H36" s="8">
        <v>1</v>
      </c>
      <c r="J36" s="12">
        <v>29</v>
      </c>
    </row>
    <row r="37" spans="2:10">
      <c r="B37" s="6">
        <v>41125</v>
      </c>
      <c r="C37" s="16"/>
      <c r="D37" s="7">
        <v>0</v>
      </c>
      <c r="E37" s="7">
        <v>0</v>
      </c>
      <c r="F37" s="7">
        <v>1</v>
      </c>
      <c r="G37" s="7">
        <v>1</v>
      </c>
      <c r="H37" s="8">
        <v>4</v>
      </c>
      <c r="J37" s="12">
        <v>31</v>
      </c>
    </row>
    <row r="38" spans="2:10">
      <c r="B38" s="6">
        <v>41126</v>
      </c>
      <c r="C38" s="16"/>
      <c r="D38" s="7">
        <v>0</v>
      </c>
      <c r="E38" s="7">
        <v>0</v>
      </c>
      <c r="F38" s="7">
        <v>1</v>
      </c>
      <c r="G38" s="7">
        <v>1</v>
      </c>
      <c r="H38" s="8">
        <v>4</v>
      </c>
      <c r="J38" s="12">
        <v>34</v>
      </c>
    </row>
    <row r="39" spans="2:10">
      <c r="B39" s="6">
        <v>41127</v>
      </c>
      <c r="C39" s="16"/>
      <c r="D39" s="7">
        <v>0</v>
      </c>
      <c r="E39" s="7">
        <v>0</v>
      </c>
      <c r="F39" s="7">
        <v>0</v>
      </c>
      <c r="G39" s="7">
        <v>0</v>
      </c>
      <c r="H39" s="8">
        <v>1</v>
      </c>
      <c r="J39" s="12">
        <v>21</v>
      </c>
    </row>
    <row r="40" spans="2:10">
      <c r="B40" s="6">
        <v>41128</v>
      </c>
      <c r="C40" s="16"/>
      <c r="D40" s="7">
        <v>0</v>
      </c>
      <c r="E40" s="7">
        <v>0</v>
      </c>
      <c r="F40" s="7">
        <v>0</v>
      </c>
      <c r="G40" s="7">
        <v>0</v>
      </c>
      <c r="H40" s="8">
        <v>1</v>
      </c>
      <c r="J40" s="12">
        <v>21</v>
      </c>
    </row>
    <row r="41" spans="2:10">
      <c r="B41" s="6">
        <v>41129</v>
      </c>
      <c r="C41" s="16"/>
      <c r="D41" s="7">
        <v>0</v>
      </c>
      <c r="E41" s="7">
        <v>0</v>
      </c>
      <c r="F41" s="7">
        <v>0</v>
      </c>
      <c r="G41" s="7">
        <v>0</v>
      </c>
      <c r="H41" s="8">
        <v>1</v>
      </c>
      <c r="J41" s="12">
        <v>22</v>
      </c>
    </row>
    <row r="42" spans="2:10">
      <c r="B42" s="6">
        <v>41130</v>
      </c>
      <c r="C42" s="16"/>
      <c r="D42" s="7">
        <v>0</v>
      </c>
      <c r="E42" s="7">
        <v>0</v>
      </c>
      <c r="F42" s="7">
        <v>0</v>
      </c>
      <c r="G42" s="7">
        <v>0</v>
      </c>
      <c r="H42" s="8">
        <v>1</v>
      </c>
      <c r="J42" s="12">
        <v>12</v>
      </c>
    </row>
    <row r="43" spans="2:10">
      <c r="B43" s="6">
        <v>41131</v>
      </c>
      <c r="C43" s="16"/>
      <c r="D43" s="7">
        <v>0</v>
      </c>
      <c r="E43" s="7">
        <v>0</v>
      </c>
      <c r="F43" s="7">
        <v>0</v>
      </c>
      <c r="G43" s="7">
        <v>0</v>
      </c>
      <c r="H43" s="8">
        <v>1</v>
      </c>
      <c r="J43" s="12">
        <v>25</v>
      </c>
    </row>
    <row r="44" spans="2:10">
      <c r="B44" s="6">
        <v>41132</v>
      </c>
      <c r="C44" s="16"/>
      <c r="D44" s="7">
        <v>0</v>
      </c>
      <c r="E44" s="7">
        <v>0</v>
      </c>
      <c r="F44" s="7">
        <v>1</v>
      </c>
      <c r="G44" s="7">
        <v>1</v>
      </c>
      <c r="H44" s="8">
        <v>4</v>
      </c>
      <c r="J44" s="12">
        <v>29</v>
      </c>
    </row>
    <row r="45" spans="2:10">
      <c r="B45" s="6">
        <v>41133</v>
      </c>
      <c r="C45" s="16"/>
      <c r="D45" s="7">
        <v>0</v>
      </c>
      <c r="E45" s="7">
        <v>0</v>
      </c>
      <c r="F45" s="7">
        <v>0</v>
      </c>
      <c r="G45" s="7">
        <v>0</v>
      </c>
      <c r="H45" s="8">
        <v>1</v>
      </c>
      <c r="J45" s="12">
        <v>14</v>
      </c>
    </row>
    <row r="46" spans="2:10">
      <c r="B46" s="6">
        <v>41134</v>
      </c>
      <c r="C46" s="16"/>
      <c r="D46" s="7">
        <v>0</v>
      </c>
      <c r="E46" s="7">
        <v>0</v>
      </c>
      <c r="F46" s="7">
        <v>0</v>
      </c>
      <c r="G46" s="7">
        <v>0</v>
      </c>
      <c r="H46" s="8">
        <v>1</v>
      </c>
      <c r="J46" s="12">
        <v>29</v>
      </c>
    </row>
    <row r="47" spans="2:10">
      <c r="B47" s="6">
        <v>41135</v>
      </c>
      <c r="C47" s="16"/>
      <c r="D47" s="7">
        <v>0</v>
      </c>
      <c r="E47" s="7">
        <v>0</v>
      </c>
      <c r="F47" s="7">
        <v>0</v>
      </c>
      <c r="G47" s="7">
        <v>0</v>
      </c>
      <c r="H47" s="8">
        <v>1</v>
      </c>
      <c r="J47" s="12">
        <v>23</v>
      </c>
    </row>
    <row r="48" spans="2:10">
      <c r="B48" s="6">
        <v>41136</v>
      </c>
      <c r="C48" s="16"/>
      <c r="D48" s="7">
        <v>0</v>
      </c>
      <c r="E48" s="7">
        <v>0</v>
      </c>
      <c r="F48" s="7">
        <v>0</v>
      </c>
      <c r="G48" s="7">
        <v>0</v>
      </c>
      <c r="H48" s="8">
        <v>1</v>
      </c>
      <c r="J48" s="12">
        <v>19</v>
      </c>
    </row>
    <row r="49" spans="2:10">
      <c r="B49" s="6">
        <v>41137</v>
      </c>
      <c r="C49" s="16"/>
      <c r="D49" s="7">
        <v>0</v>
      </c>
      <c r="E49" s="7">
        <v>0</v>
      </c>
      <c r="F49" s="7">
        <v>0</v>
      </c>
      <c r="G49" s="7">
        <v>0</v>
      </c>
      <c r="H49" s="8">
        <v>1</v>
      </c>
      <c r="J49" s="12">
        <v>16</v>
      </c>
    </row>
    <row r="50" spans="2:10">
      <c r="B50" s="6">
        <v>41138</v>
      </c>
      <c r="C50" s="16"/>
      <c r="D50" s="7">
        <v>0</v>
      </c>
      <c r="E50" s="7">
        <v>0</v>
      </c>
      <c r="F50" s="7">
        <v>0</v>
      </c>
      <c r="G50" s="7">
        <v>0</v>
      </c>
      <c r="H50" s="8">
        <v>1</v>
      </c>
      <c r="J50" s="12">
        <v>29</v>
      </c>
    </row>
    <row r="51" spans="2:10">
      <c r="B51" s="6">
        <v>41139</v>
      </c>
      <c r="C51" s="16"/>
      <c r="D51" s="7">
        <v>0</v>
      </c>
      <c r="E51" s="7">
        <v>0</v>
      </c>
      <c r="F51" s="7">
        <v>1</v>
      </c>
      <c r="G51" s="7">
        <v>1</v>
      </c>
      <c r="H51" s="8">
        <v>4</v>
      </c>
      <c r="J51" s="12">
        <v>22</v>
      </c>
    </row>
    <row r="52" spans="2:10">
      <c r="B52" s="6">
        <v>41140</v>
      </c>
      <c r="C52" s="16"/>
      <c r="D52" s="7">
        <v>0</v>
      </c>
      <c r="E52" s="7">
        <v>0</v>
      </c>
      <c r="F52" s="7">
        <v>1</v>
      </c>
      <c r="G52" s="7">
        <v>0</v>
      </c>
      <c r="H52" s="8">
        <v>2</v>
      </c>
      <c r="J52" s="12">
        <v>23</v>
      </c>
    </row>
    <row r="53" spans="2:10">
      <c r="B53" s="6">
        <v>41141</v>
      </c>
      <c r="C53" s="16"/>
      <c r="D53" s="7">
        <v>0</v>
      </c>
      <c r="E53" s="7">
        <v>0</v>
      </c>
      <c r="F53" s="7">
        <v>0</v>
      </c>
      <c r="G53" s="7">
        <v>0</v>
      </c>
      <c r="H53" s="8">
        <v>1</v>
      </c>
      <c r="J53" s="12">
        <v>25</v>
      </c>
    </row>
    <row r="54" spans="2:10">
      <c r="B54" s="6">
        <v>41142</v>
      </c>
      <c r="C54" s="16"/>
      <c r="D54" s="7">
        <v>0</v>
      </c>
      <c r="E54" s="7">
        <v>0</v>
      </c>
      <c r="F54" s="7">
        <v>0</v>
      </c>
      <c r="G54" s="7">
        <v>0</v>
      </c>
      <c r="H54" s="8">
        <v>1</v>
      </c>
      <c r="J54" s="12">
        <v>19</v>
      </c>
    </row>
    <row r="55" spans="2:10">
      <c r="B55" s="6">
        <v>41143</v>
      </c>
      <c r="C55" s="16"/>
      <c r="D55" s="7">
        <v>0</v>
      </c>
      <c r="E55" s="7">
        <v>0</v>
      </c>
      <c r="F55" s="7">
        <v>0</v>
      </c>
      <c r="G55" s="7">
        <v>0</v>
      </c>
      <c r="H55" s="8">
        <v>1</v>
      </c>
      <c r="J55" s="12">
        <v>21</v>
      </c>
    </row>
    <row r="56" spans="2:10">
      <c r="B56" s="6">
        <v>41144</v>
      </c>
      <c r="C56" s="16"/>
      <c r="D56" s="7">
        <v>0</v>
      </c>
      <c r="E56" s="7">
        <v>0</v>
      </c>
      <c r="F56" s="7">
        <v>0</v>
      </c>
      <c r="G56" s="7">
        <v>0</v>
      </c>
      <c r="H56" s="8">
        <v>1</v>
      </c>
      <c r="J56" s="12">
        <v>26</v>
      </c>
    </row>
    <row r="57" spans="2:10">
      <c r="B57" s="6">
        <v>41145</v>
      </c>
      <c r="C57" s="16"/>
      <c r="D57" s="7">
        <v>0</v>
      </c>
      <c r="E57" s="7">
        <v>0</v>
      </c>
      <c r="F57" s="7">
        <v>1</v>
      </c>
      <c r="G57" s="7">
        <v>0</v>
      </c>
      <c r="H57" s="8">
        <v>2</v>
      </c>
      <c r="J57" s="12">
        <v>23</v>
      </c>
    </row>
    <row r="58" spans="2:10">
      <c r="B58" s="6">
        <v>41146</v>
      </c>
      <c r="C58" s="16"/>
      <c r="D58" s="7">
        <v>0</v>
      </c>
      <c r="E58" s="7">
        <v>0</v>
      </c>
      <c r="F58" s="7">
        <v>2</v>
      </c>
      <c r="G58" s="7">
        <v>1</v>
      </c>
      <c r="H58" s="8">
        <v>6</v>
      </c>
      <c r="J58" s="12">
        <v>31</v>
      </c>
    </row>
    <row r="59" spans="2:10">
      <c r="B59" s="6">
        <v>41147</v>
      </c>
      <c r="C59" s="16"/>
      <c r="D59" s="7">
        <v>0</v>
      </c>
      <c r="E59" s="7">
        <v>0</v>
      </c>
      <c r="F59" s="7">
        <v>1</v>
      </c>
      <c r="G59" s="7">
        <v>1</v>
      </c>
      <c r="H59" s="8">
        <v>4</v>
      </c>
      <c r="J59" s="12">
        <v>37</v>
      </c>
    </row>
    <row r="60" spans="2:10">
      <c r="B60" s="6">
        <v>41148</v>
      </c>
      <c r="C60" s="16"/>
      <c r="D60" s="7">
        <v>0</v>
      </c>
      <c r="E60" s="7">
        <v>0</v>
      </c>
      <c r="F60" s="7">
        <v>0</v>
      </c>
      <c r="G60" s="7">
        <v>0</v>
      </c>
      <c r="H60" s="8">
        <v>1</v>
      </c>
      <c r="J60" s="12">
        <v>36</v>
      </c>
    </row>
    <row r="61" spans="2:10">
      <c r="B61" s="6">
        <v>41149</v>
      </c>
      <c r="C61" s="16"/>
      <c r="D61" s="7">
        <v>0</v>
      </c>
      <c r="E61" s="7">
        <v>0</v>
      </c>
      <c r="F61" s="7">
        <v>1</v>
      </c>
      <c r="G61" s="7">
        <v>1</v>
      </c>
      <c r="H61" s="8">
        <v>4</v>
      </c>
      <c r="J61" s="12">
        <v>27</v>
      </c>
    </row>
    <row r="62" spans="2:10">
      <c r="B62" s="6">
        <v>41150</v>
      </c>
      <c r="C62" s="16"/>
      <c r="D62" s="7">
        <v>0</v>
      </c>
      <c r="E62" s="7">
        <v>0</v>
      </c>
      <c r="F62" s="7">
        <v>0</v>
      </c>
      <c r="G62" s="7">
        <v>0</v>
      </c>
      <c r="H62" s="8">
        <v>1</v>
      </c>
      <c r="J62" s="12">
        <v>30</v>
      </c>
    </row>
    <row r="63" spans="2:10">
      <c r="B63" s="6">
        <v>41151</v>
      </c>
      <c r="C63" s="16"/>
      <c r="D63" s="7">
        <v>0</v>
      </c>
      <c r="E63" s="7">
        <v>0</v>
      </c>
      <c r="F63" s="7">
        <v>1</v>
      </c>
      <c r="G63" s="7">
        <v>0</v>
      </c>
      <c r="H63" s="8">
        <v>2</v>
      </c>
      <c r="J63" s="12">
        <v>38</v>
      </c>
    </row>
    <row r="64" spans="2:10">
      <c r="B64" s="6">
        <v>41152</v>
      </c>
      <c r="C64" s="16"/>
      <c r="D64" s="7">
        <v>0</v>
      </c>
      <c r="E64" s="7">
        <v>0</v>
      </c>
      <c r="F64" s="7">
        <v>1</v>
      </c>
      <c r="G64" s="7">
        <v>1</v>
      </c>
      <c r="H64" s="8">
        <v>4</v>
      </c>
      <c r="J64" s="12">
        <v>28</v>
      </c>
    </row>
    <row r="65" spans="2:10">
      <c r="B65" s="6">
        <v>41153</v>
      </c>
      <c r="C65" s="16"/>
      <c r="D65" s="7">
        <v>0</v>
      </c>
      <c r="E65" s="7">
        <v>0</v>
      </c>
      <c r="F65" s="7">
        <v>2</v>
      </c>
      <c r="G65" s="7">
        <v>1</v>
      </c>
      <c r="H65" s="8">
        <v>6</v>
      </c>
      <c r="J65" s="12">
        <v>44</v>
      </c>
    </row>
    <row r="66" spans="2:10">
      <c r="B66" s="6">
        <v>41154</v>
      </c>
      <c r="C66" s="16"/>
      <c r="D66" s="7">
        <v>0</v>
      </c>
      <c r="E66" s="7">
        <v>0</v>
      </c>
      <c r="F66" s="7">
        <v>1</v>
      </c>
      <c r="G66" s="7">
        <v>1</v>
      </c>
      <c r="H66" s="8">
        <v>4</v>
      </c>
      <c r="J66" s="12">
        <v>40</v>
      </c>
    </row>
    <row r="67" spans="2:10">
      <c r="B67" s="6">
        <v>41155</v>
      </c>
      <c r="C67" s="16"/>
      <c r="D67" s="7">
        <v>0</v>
      </c>
      <c r="E67" s="7">
        <v>0</v>
      </c>
      <c r="F67" s="7">
        <v>1</v>
      </c>
      <c r="G67" s="7">
        <v>0</v>
      </c>
      <c r="H67" s="8">
        <v>2</v>
      </c>
      <c r="J67" s="12">
        <v>35</v>
      </c>
    </row>
    <row r="68" spans="2:10">
      <c r="B68" s="6">
        <v>41156</v>
      </c>
      <c r="C68" s="16"/>
      <c r="D68" s="7">
        <v>0</v>
      </c>
      <c r="E68" s="7">
        <v>0</v>
      </c>
      <c r="F68" s="7">
        <v>0</v>
      </c>
      <c r="G68" s="7">
        <v>0</v>
      </c>
      <c r="H68" s="8">
        <v>1</v>
      </c>
      <c r="J68" s="12">
        <v>13</v>
      </c>
    </row>
    <row r="69" spans="2:10">
      <c r="B69" s="6">
        <v>41157</v>
      </c>
      <c r="C69" s="16"/>
      <c r="D69" s="7">
        <v>0</v>
      </c>
      <c r="E69" s="7">
        <v>0</v>
      </c>
      <c r="F69" s="7">
        <v>0</v>
      </c>
      <c r="G69" s="7">
        <v>0</v>
      </c>
      <c r="H69" s="8">
        <v>1</v>
      </c>
      <c r="J69" s="12">
        <v>15</v>
      </c>
    </row>
    <row r="70" spans="2:10">
      <c r="B70" s="6">
        <v>41158</v>
      </c>
      <c r="C70" s="16"/>
      <c r="D70" s="7">
        <v>0</v>
      </c>
      <c r="E70" s="7">
        <v>0</v>
      </c>
      <c r="F70" s="7">
        <v>0</v>
      </c>
      <c r="G70" s="7">
        <v>0</v>
      </c>
      <c r="H70" s="8">
        <v>1</v>
      </c>
      <c r="J70" s="12">
        <v>19</v>
      </c>
    </row>
    <row r="71" spans="2:10">
      <c r="B71" s="6">
        <v>41159</v>
      </c>
      <c r="C71" s="16"/>
      <c r="D71" s="7">
        <v>0</v>
      </c>
      <c r="E71" s="7">
        <v>0</v>
      </c>
      <c r="F71" s="7">
        <v>0</v>
      </c>
      <c r="G71" s="7">
        <v>0</v>
      </c>
      <c r="H71" s="8">
        <v>1</v>
      </c>
      <c r="J71" s="12">
        <v>23</v>
      </c>
    </row>
    <row r="72" spans="2:10">
      <c r="B72" s="6">
        <v>41160</v>
      </c>
      <c r="C72" s="16"/>
      <c r="D72" s="7">
        <v>0</v>
      </c>
      <c r="E72" s="7">
        <v>0</v>
      </c>
      <c r="F72" s="7">
        <v>1</v>
      </c>
      <c r="G72" s="7">
        <v>1</v>
      </c>
      <c r="H72" s="8">
        <v>4</v>
      </c>
      <c r="J72" s="12">
        <v>18</v>
      </c>
    </row>
    <row r="73" spans="2:10">
      <c r="B73" s="6">
        <v>41161</v>
      </c>
      <c r="C73" s="16"/>
      <c r="D73" s="7">
        <v>0</v>
      </c>
      <c r="E73" s="7">
        <v>0</v>
      </c>
      <c r="F73" s="7">
        <v>1</v>
      </c>
      <c r="G73" s="7">
        <v>1</v>
      </c>
      <c r="H73" s="8">
        <v>4</v>
      </c>
      <c r="J73" s="12">
        <v>33</v>
      </c>
    </row>
    <row r="74" spans="2:10">
      <c r="B74" s="6">
        <v>41162</v>
      </c>
      <c r="C74" s="16"/>
      <c r="D74" s="7">
        <v>0</v>
      </c>
      <c r="E74" s="7">
        <v>0</v>
      </c>
      <c r="F74" s="7">
        <v>0</v>
      </c>
      <c r="G74" s="7">
        <v>0</v>
      </c>
      <c r="H74" s="8">
        <v>1</v>
      </c>
      <c r="J74" s="12">
        <v>28</v>
      </c>
    </row>
    <row r="75" spans="2:10">
      <c r="B75" s="6">
        <v>41163</v>
      </c>
      <c r="C75" s="16"/>
      <c r="D75" s="7">
        <v>0</v>
      </c>
      <c r="E75" s="7">
        <v>0</v>
      </c>
      <c r="F75" s="7">
        <v>0</v>
      </c>
      <c r="G75" s="7">
        <v>0</v>
      </c>
      <c r="H75" s="8">
        <v>1</v>
      </c>
      <c r="J75" s="12">
        <v>22</v>
      </c>
    </row>
    <row r="76" spans="2:10">
      <c r="B76" s="6">
        <v>41164</v>
      </c>
      <c r="C76" s="16"/>
      <c r="D76" s="7">
        <v>0</v>
      </c>
      <c r="E76" s="7">
        <v>0</v>
      </c>
      <c r="F76" s="7">
        <v>0</v>
      </c>
      <c r="G76" s="7">
        <v>0</v>
      </c>
      <c r="H76" s="8">
        <v>1</v>
      </c>
      <c r="J76" s="12">
        <v>26</v>
      </c>
    </row>
    <row r="77" spans="2:10">
      <c r="B77" s="6">
        <v>41165</v>
      </c>
      <c r="C77" s="16"/>
      <c r="D77" s="7">
        <v>0</v>
      </c>
      <c r="E77" s="7">
        <v>0</v>
      </c>
      <c r="F77" s="7">
        <v>0</v>
      </c>
      <c r="G77" s="7">
        <v>0</v>
      </c>
      <c r="H77" s="8">
        <v>1</v>
      </c>
      <c r="J77" s="12">
        <v>26</v>
      </c>
    </row>
    <row r="78" spans="2:10">
      <c r="B78" s="6">
        <v>41166</v>
      </c>
      <c r="C78" s="16"/>
      <c r="D78" s="7">
        <v>0</v>
      </c>
      <c r="E78" s="7">
        <v>0</v>
      </c>
      <c r="F78" s="7">
        <v>0</v>
      </c>
      <c r="G78" s="7">
        <v>0</v>
      </c>
      <c r="H78" s="8">
        <v>1</v>
      </c>
      <c r="J78" s="12">
        <v>25</v>
      </c>
    </row>
    <row r="79" spans="2:10">
      <c r="B79" s="6">
        <v>41167</v>
      </c>
      <c r="C79" s="16"/>
      <c r="D79" s="7">
        <v>0</v>
      </c>
      <c r="E79" s="7">
        <v>0</v>
      </c>
      <c r="F79" s="7">
        <v>2</v>
      </c>
      <c r="G79" s="7">
        <v>1</v>
      </c>
      <c r="H79" s="8">
        <v>6</v>
      </c>
      <c r="J79" s="12">
        <v>36</v>
      </c>
    </row>
    <row r="80" spans="2:10">
      <c r="B80" s="6">
        <v>41168</v>
      </c>
      <c r="C80" s="16"/>
      <c r="D80" s="7">
        <v>0</v>
      </c>
      <c r="E80" s="7">
        <v>0</v>
      </c>
      <c r="F80" s="7">
        <v>2</v>
      </c>
      <c r="G80" s="7">
        <v>2</v>
      </c>
      <c r="H80" s="8">
        <v>9</v>
      </c>
      <c r="J80" s="12">
        <v>45</v>
      </c>
    </row>
    <row r="81" spans="2:10">
      <c r="B81" s="6">
        <v>41169</v>
      </c>
      <c r="C81" s="16"/>
      <c r="D81" s="7">
        <v>0</v>
      </c>
      <c r="E81" s="7">
        <v>0</v>
      </c>
      <c r="F81" s="7">
        <v>1</v>
      </c>
      <c r="G81" s="7">
        <v>0</v>
      </c>
      <c r="H81" s="8">
        <v>2</v>
      </c>
      <c r="J81" s="12">
        <v>26</v>
      </c>
    </row>
    <row r="82" spans="2:10">
      <c r="B82" s="6">
        <v>41170</v>
      </c>
      <c r="C82" s="16"/>
      <c r="D82" s="7">
        <v>0</v>
      </c>
      <c r="E82" s="7">
        <v>0</v>
      </c>
      <c r="F82" s="7">
        <v>1</v>
      </c>
      <c r="G82" s="7">
        <v>0</v>
      </c>
      <c r="H82" s="8">
        <v>2</v>
      </c>
      <c r="J82" s="12">
        <v>34</v>
      </c>
    </row>
    <row r="83" spans="2:10">
      <c r="B83" s="6">
        <v>41171</v>
      </c>
      <c r="C83" s="16"/>
      <c r="D83" s="7">
        <v>0</v>
      </c>
      <c r="E83" s="7">
        <v>0</v>
      </c>
      <c r="F83" s="7">
        <v>1</v>
      </c>
      <c r="G83" s="7">
        <v>0</v>
      </c>
      <c r="H83" s="8">
        <v>2</v>
      </c>
      <c r="J83" s="12">
        <v>24</v>
      </c>
    </row>
    <row r="84" spans="2:10">
      <c r="B84" s="6">
        <v>41172</v>
      </c>
      <c r="C84" s="16"/>
      <c r="D84" s="7">
        <v>0</v>
      </c>
      <c r="E84" s="7">
        <v>0</v>
      </c>
      <c r="F84" s="7">
        <v>1</v>
      </c>
      <c r="G84" s="7">
        <v>0</v>
      </c>
      <c r="H84" s="8">
        <v>2</v>
      </c>
      <c r="J84" s="12">
        <v>28</v>
      </c>
    </row>
    <row r="85" spans="2:10">
      <c r="B85" s="6">
        <v>41173</v>
      </c>
      <c r="C85" s="16"/>
      <c r="D85" s="7">
        <v>0</v>
      </c>
      <c r="E85" s="7">
        <v>0</v>
      </c>
      <c r="F85" s="7">
        <v>1</v>
      </c>
      <c r="G85" s="7">
        <v>0</v>
      </c>
      <c r="H85" s="8">
        <v>2</v>
      </c>
      <c r="J85" s="12">
        <v>36</v>
      </c>
    </row>
    <row r="86" spans="2:10">
      <c r="B86" s="6">
        <v>41174</v>
      </c>
      <c r="C86" s="16"/>
      <c r="D86" s="7">
        <v>0</v>
      </c>
      <c r="E86" s="7">
        <v>0</v>
      </c>
      <c r="F86" s="7">
        <v>2</v>
      </c>
      <c r="G86" s="7">
        <v>1</v>
      </c>
      <c r="H86" s="8">
        <v>6</v>
      </c>
      <c r="J86" s="12">
        <v>49</v>
      </c>
    </row>
    <row r="87" spans="2:10">
      <c r="B87" s="6">
        <v>41175</v>
      </c>
      <c r="C87" s="16"/>
      <c r="D87" s="7">
        <v>0</v>
      </c>
      <c r="E87" s="7">
        <v>0</v>
      </c>
      <c r="F87" s="7">
        <v>1</v>
      </c>
      <c r="G87" s="7">
        <v>1</v>
      </c>
      <c r="H87" s="8">
        <v>4</v>
      </c>
      <c r="J87" s="12">
        <v>51</v>
      </c>
    </row>
    <row r="88" spans="2:10">
      <c r="B88" s="6">
        <v>41176</v>
      </c>
      <c r="C88" s="16"/>
      <c r="D88" s="7">
        <v>0</v>
      </c>
      <c r="E88" s="7">
        <v>0</v>
      </c>
      <c r="F88" s="7">
        <v>1</v>
      </c>
      <c r="G88" s="7">
        <v>0</v>
      </c>
      <c r="H88" s="8">
        <v>2</v>
      </c>
      <c r="J88" s="12">
        <v>69</v>
      </c>
    </row>
    <row r="89" spans="2:10">
      <c r="B89" s="6">
        <v>41177</v>
      </c>
      <c r="C89" s="16"/>
      <c r="D89" s="7">
        <v>0</v>
      </c>
      <c r="E89" s="7">
        <v>0</v>
      </c>
      <c r="F89" s="7">
        <v>1</v>
      </c>
      <c r="G89" s="7">
        <v>1</v>
      </c>
      <c r="H89" s="8">
        <v>4</v>
      </c>
      <c r="J89" s="12">
        <v>32</v>
      </c>
    </row>
    <row r="90" spans="2:10">
      <c r="B90" s="6">
        <v>41178</v>
      </c>
      <c r="C90" s="16"/>
      <c r="D90" s="7">
        <v>0</v>
      </c>
      <c r="E90" s="7">
        <v>0</v>
      </c>
      <c r="F90" s="7">
        <v>0</v>
      </c>
      <c r="G90" s="7">
        <v>0</v>
      </c>
      <c r="H90" s="8">
        <v>1</v>
      </c>
      <c r="J90" s="12">
        <v>45</v>
      </c>
    </row>
    <row r="91" spans="2:10">
      <c r="B91" s="6">
        <v>41179</v>
      </c>
      <c r="C91" s="16"/>
      <c r="D91" s="7">
        <v>0</v>
      </c>
      <c r="E91" s="7">
        <v>0</v>
      </c>
      <c r="F91" s="7">
        <v>1</v>
      </c>
      <c r="G91" s="7">
        <v>0</v>
      </c>
      <c r="H91" s="8">
        <v>2</v>
      </c>
      <c r="J91" s="12">
        <v>40</v>
      </c>
    </row>
    <row r="92" spans="2:10">
      <c r="B92" s="6">
        <v>41180</v>
      </c>
      <c r="C92" s="16"/>
      <c r="D92" s="7">
        <v>0</v>
      </c>
      <c r="E92" s="7">
        <v>0</v>
      </c>
      <c r="F92" s="7">
        <v>1</v>
      </c>
      <c r="G92" s="7">
        <v>1</v>
      </c>
      <c r="H92" s="8">
        <v>4</v>
      </c>
      <c r="J92" s="12">
        <v>49</v>
      </c>
    </row>
    <row r="93" spans="2:10">
      <c r="B93" s="6">
        <v>41181</v>
      </c>
      <c r="C93" s="16"/>
      <c r="D93" s="7">
        <v>0</v>
      </c>
      <c r="E93" s="7">
        <v>0</v>
      </c>
      <c r="F93" s="7">
        <v>3</v>
      </c>
      <c r="G93" s="7">
        <v>2</v>
      </c>
      <c r="H93" s="8">
        <v>12</v>
      </c>
      <c r="J93" s="12">
        <v>53</v>
      </c>
    </row>
    <row r="94" spans="2:10">
      <c r="B94" s="6">
        <v>41182</v>
      </c>
      <c r="C94" s="16"/>
      <c r="D94" s="7">
        <v>0</v>
      </c>
      <c r="E94" s="7">
        <v>0</v>
      </c>
      <c r="F94" s="7">
        <v>2</v>
      </c>
      <c r="G94" s="7">
        <v>2</v>
      </c>
      <c r="H94" s="8">
        <v>9</v>
      </c>
      <c r="J94" s="12">
        <v>52</v>
      </c>
    </row>
    <row r="95" spans="2:10">
      <c r="B95" s="6">
        <v>41183</v>
      </c>
      <c r="C95" s="16"/>
      <c r="D95" s="7">
        <v>0</v>
      </c>
      <c r="E95" s="7">
        <v>0</v>
      </c>
      <c r="F95" s="7">
        <v>1</v>
      </c>
      <c r="G95" s="7">
        <v>1</v>
      </c>
      <c r="H95" s="8">
        <v>4</v>
      </c>
      <c r="J95" s="12">
        <v>56</v>
      </c>
    </row>
    <row r="96" spans="2:10">
      <c r="B96" s="6">
        <v>41184</v>
      </c>
      <c r="C96" s="16"/>
      <c r="D96" s="7">
        <v>0</v>
      </c>
      <c r="E96" s="7">
        <v>0</v>
      </c>
      <c r="F96" s="7">
        <v>1</v>
      </c>
      <c r="G96" s="7">
        <v>0</v>
      </c>
      <c r="H96" s="8">
        <v>2</v>
      </c>
      <c r="J96" s="12">
        <v>33</v>
      </c>
    </row>
    <row r="97" spans="2:10">
      <c r="B97" s="6">
        <v>41185</v>
      </c>
      <c r="C97" s="16"/>
      <c r="D97" s="7">
        <v>0</v>
      </c>
      <c r="E97" s="7">
        <v>0</v>
      </c>
      <c r="F97" s="7">
        <v>0</v>
      </c>
      <c r="G97" s="7">
        <v>0</v>
      </c>
      <c r="H97" s="8">
        <v>1</v>
      </c>
      <c r="J97" s="12">
        <v>22</v>
      </c>
    </row>
    <row r="98" spans="2:10">
      <c r="B98" s="6">
        <v>41186</v>
      </c>
      <c r="C98" s="16"/>
      <c r="D98" s="7">
        <v>0</v>
      </c>
      <c r="E98" s="7">
        <v>0</v>
      </c>
      <c r="F98" s="7">
        <v>0</v>
      </c>
      <c r="G98" s="7">
        <v>0</v>
      </c>
      <c r="H98" s="8">
        <v>1</v>
      </c>
      <c r="J98" s="12">
        <v>26</v>
      </c>
    </row>
    <row r="99" spans="2:10">
      <c r="B99" s="6">
        <v>41187</v>
      </c>
      <c r="C99" s="16"/>
      <c r="D99" s="7">
        <v>0</v>
      </c>
      <c r="E99" s="7">
        <v>0</v>
      </c>
      <c r="F99" s="7">
        <v>0</v>
      </c>
      <c r="G99" s="7">
        <v>0</v>
      </c>
      <c r="H99" s="8">
        <v>1</v>
      </c>
      <c r="J99" s="12">
        <v>37</v>
      </c>
    </row>
    <row r="100" spans="2:10">
      <c r="B100" s="6">
        <v>41188</v>
      </c>
      <c r="C100" s="16"/>
      <c r="D100" s="7">
        <v>0</v>
      </c>
      <c r="E100" s="7">
        <v>0</v>
      </c>
      <c r="F100" s="7">
        <v>2</v>
      </c>
      <c r="G100" s="7">
        <v>1</v>
      </c>
      <c r="H100" s="8">
        <v>6</v>
      </c>
      <c r="J100" s="12">
        <v>35</v>
      </c>
    </row>
    <row r="101" spans="2:10">
      <c r="B101" s="6">
        <v>41189</v>
      </c>
      <c r="C101" s="16"/>
      <c r="D101" s="7">
        <v>0</v>
      </c>
      <c r="E101" s="7">
        <v>0</v>
      </c>
      <c r="F101" s="7">
        <v>2</v>
      </c>
      <c r="G101" s="7">
        <v>2</v>
      </c>
      <c r="H101" s="8">
        <v>9</v>
      </c>
      <c r="J101" s="12">
        <v>39</v>
      </c>
    </row>
    <row r="102" spans="2:10">
      <c r="B102" s="6">
        <v>41190</v>
      </c>
      <c r="C102" s="16"/>
      <c r="D102" s="7">
        <v>0</v>
      </c>
      <c r="E102" s="7">
        <v>0</v>
      </c>
      <c r="F102" s="7">
        <v>1</v>
      </c>
      <c r="G102" s="7">
        <v>0</v>
      </c>
      <c r="H102" s="8">
        <v>2</v>
      </c>
      <c r="J102" s="12">
        <v>29</v>
      </c>
    </row>
    <row r="103" spans="2:10">
      <c r="B103" s="6">
        <v>41191</v>
      </c>
      <c r="C103" s="16"/>
      <c r="D103" s="7">
        <v>0</v>
      </c>
      <c r="E103" s="7">
        <v>0</v>
      </c>
      <c r="F103" s="7">
        <v>0</v>
      </c>
      <c r="G103" s="7">
        <v>0</v>
      </c>
      <c r="H103" s="8">
        <v>1</v>
      </c>
      <c r="J103" s="12">
        <v>25</v>
      </c>
    </row>
    <row r="104" spans="2:10">
      <c r="B104" s="6">
        <v>41192</v>
      </c>
      <c r="C104" s="16"/>
      <c r="D104" s="7">
        <v>0</v>
      </c>
      <c r="E104" s="7">
        <v>0</v>
      </c>
      <c r="F104" s="7">
        <v>0</v>
      </c>
      <c r="G104" s="7">
        <v>0</v>
      </c>
      <c r="H104" s="8">
        <v>1</v>
      </c>
      <c r="J104" s="12">
        <v>19</v>
      </c>
    </row>
    <row r="105" spans="2:10">
      <c r="B105" s="6">
        <v>41193</v>
      </c>
      <c r="C105" s="16"/>
      <c r="D105" s="7">
        <v>0</v>
      </c>
      <c r="E105" s="7">
        <v>0</v>
      </c>
      <c r="F105" s="7">
        <v>0</v>
      </c>
      <c r="G105" s="7">
        <v>0</v>
      </c>
      <c r="H105" s="8">
        <v>1</v>
      </c>
      <c r="J105" s="12">
        <v>16</v>
      </c>
    </row>
    <row r="106" spans="2:10">
      <c r="B106" s="6">
        <v>41194</v>
      </c>
      <c r="C106" s="16"/>
      <c r="D106" s="7">
        <v>0</v>
      </c>
      <c r="E106" s="7">
        <v>0</v>
      </c>
      <c r="F106" s="7">
        <v>0</v>
      </c>
      <c r="G106" s="7">
        <v>0</v>
      </c>
      <c r="H106" s="8">
        <v>1</v>
      </c>
      <c r="J106" s="12">
        <v>28</v>
      </c>
    </row>
    <row r="107" spans="2:10">
      <c r="B107" s="6">
        <v>41195</v>
      </c>
      <c r="C107" s="16"/>
      <c r="D107" s="7">
        <v>0</v>
      </c>
      <c r="E107" s="7">
        <v>0</v>
      </c>
      <c r="F107" s="7">
        <v>1</v>
      </c>
      <c r="G107" s="7">
        <v>1</v>
      </c>
      <c r="H107" s="8">
        <v>4</v>
      </c>
      <c r="J107" s="12">
        <v>40</v>
      </c>
    </row>
    <row r="108" spans="2:10">
      <c r="B108" s="6">
        <v>41196</v>
      </c>
      <c r="C108" s="16"/>
      <c r="D108" s="7">
        <v>0</v>
      </c>
      <c r="E108" s="7">
        <v>0</v>
      </c>
      <c r="F108" s="7">
        <v>1</v>
      </c>
      <c r="G108" s="7">
        <v>0</v>
      </c>
      <c r="H108" s="8">
        <v>2</v>
      </c>
      <c r="J108" s="12">
        <v>35</v>
      </c>
    </row>
    <row r="109" spans="2:10">
      <c r="B109" s="6">
        <v>41197</v>
      </c>
      <c r="C109" s="16"/>
      <c r="D109" s="7">
        <v>0</v>
      </c>
      <c r="E109" s="7">
        <v>0</v>
      </c>
      <c r="F109" s="7">
        <v>0</v>
      </c>
      <c r="G109" s="7">
        <v>0</v>
      </c>
      <c r="H109" s="8">
        <v>1</v>
      </c>
      <c r="J109" s="12">
        <v>22</v>
      </c>
    </row>
    <row r="110" spans="2:10">
      <c r="B110" s="6">
        <v>41198</v>
      </c>
      <c r="C110" s="16"/>
      <c r="D110" s="7">
        <v>0</v>
      </c>
      <c r="E110" s="7">
        <v>0</v>
      </c>
      <c r="F110" s="7">
        <v>0</v>
      </c>
      <c r="G110" s="7">
        <v>0</v>
      </c>
      <c r="H110" s="8">
        <v>1</v>
      </c>
      <c r="J110" s="12">
        <v>14</v>
      </c>
    </row>
    <row r="111" spans="2:10">
      <c r="B111" s="6">
        <v>41199</v>
      </c>
      <c r="C111" s="16"/>
      <c r="D111" s="7">
        <v>0</v>
      </c>
      <c r="E111" s="7">
        <v>0</v>
      </c>
      <c r="F111" s="7">
        <v>0</v>
      </c>
      <c r="G111" s="7">
        <v>0</v>
      </c>
      <c r="H111" s="8">
        <v>1</v>
      </c>
      <c r="J111" s="12">
        <v>21</v>
      </c>
    </row>
    <row r="112" spans="2:10">
      <c r="B112" s="6">
        <v>41200</v>
      </c>
      <c r="C112" s="16"/>
      <c r="D112" s="7">
        <v>0</v>
      </c>
      <c r="E112" s="7">
        <v>0</v>
      </c>
      <c r="F112" s="7">
        <v>0</v>
      </c>
      <c r="G112" s="7">
        <v>0</v>
      </c>
      <c r="H112" s="8">
        <v>1</v>
      </c>
      <c r="J112" s="12">
        <v>16</v>
      </c>
    </row>
    <row r="113" spans="2:10">
      <c r="B113" s="6">
        <v>41201</v>
      </c>
      <c r="C113" s="16"/>
      <c r="D113" s="7">
        <v>0</v>
      </c>
      <c r="E113" s="7">
        <v>0</v>
      </c>
      <c r="F113" s="7">
        <v>0</v>
      </c>
      <c r="G113" s="7">
        <v>0</v>
      </c>
      <c r="H113" s="8">
        <v>1</v>
      </c>
      <c r="J113" s="12">
        <v>35</v>
      </c>
    </row>
    <row r="114" spans="2:10">
      <c r="B114" s="6">
        <v>41202</v>
      </c>
      <c r="C114" s="16"/>
      <c r="D114" s="7">
        <v>0</v>
      </c>
      <c r="E114" s="7">
        <v>0</v>
      </c>
      <c r="F114" s="7">
        <v>1</v>
      </c>
      <c r="G114" s="7">
        <v>1</v>
      </c>
      <c r="H114" s="8">
        <v>4</v>
      </c>
      <c r="J114" s="12">
        <v>46</v>
      </c>
    </row>
    <row r="115" spans="2:10">
      <c r="B115" s="6">
        <v>41203</v>
      </c>
      <c r="C115" s="16"/>
      <c r="D115" s="7">
        <v>0</v>
      </c>
      <c r="E115" s="7">
        <v>0</v>
      </c>
      <c r="F115" s="7">
        <v>1</v>
      </c>
      <c r="G115" s="7">
        <v>0</v>
      </c>
      <c r="H115" s="8">
        <v>2</v>
      </c>
      <c r="J115" s="12">
        <v>29</v>
      </c>
    </row>
    <row r="116" spans="2:10">
      <c r="B116" s="6">
        <v>41204</v>
      </c>
      <c r="C116" s="16"/>
      <c r="D116" s="7">
        <v>0</v>
      </c>
      <c r="E116" s="7">
        <v>0</v>
      </c>
      <c r="F116" s="7">
        <v>0</v>
      </c>
      <c r="G116" s="7">
        <v>0</v>
      </c>
      <c r="H116" s="8">
        <v>1</v>
      </c>
      <c r="J116" s="12">
        <v>27</v>
      </c>
    </row>
    <row r="117" spans="2:10">
      <c r="B117" s="6">
        <v>41205</v>
      </c>
      <c r="C117" s="16"/>
      <c r="D117" s="7">
        <v>0</v>
      </c>
      <c r="E117" s="7">
        <v>0</v>
      </c>
      <c r="F117" s="7">
        <v>0</v>
      </c>
      <c r="G117" s="7">
        <v>0</v>
      </c>
      <c r="H117" s="8">
        <v>1</v>
      </c>
      <c r="J117" s="12">
        <v>20</v>
      </c>
    </row>
    <row r="118" spans="2:10">
      <c r="B118" s="6">
        <v>41206</v>
      </c>
      <c r="C118" s="16"/>
      <c r="D118" s="7">
        <v>0</v>
      </c>
      <c r="E118" s="7">
        <v>0</v>
      </c>
      <c r="F118" s="7">
        <v>0</v>
      </c>
      <c r="G118" s="7">
        <v>0</v>
      </c>
      <c r="H118" s="8">
        <v>1</v>
      </c>
      <c r="J118" s="12">
        <v>33</v>
      </c>
    </row>
    <row r="119" spans="2:10">
      <c r="B119" s="6">
        <v>41207</v>
      </c>
      <c r="C119" s="16"/>
      <c r="D119" s="7">
        <v>0</v>
      </c>
      <c r="E119" s="7">
        <v>0</v>
      </c>
      <c r="F119" s="7">
        <v>0</v>
      </c>
      <c r="G119" s="7">
        <v>0</v>
      </c>
      <c r="H119" s="8">
        <v>1</v>
      </c>
      <c r="J119" s="12">
        <v>31</v>
      </c>
    </row>
    <row r="120" spans="2:10">
      <c r="B120" s="6">
        <v>41208</v>
      </c>
      <c r="C120" s="16"/>
      <c r="D120" s="7">
        <v>0</v>
      </c>
      <c r="E120" s="7">
        <v>0</v>
      </c>
      <c r="F120" s="7">
        <v>1</v>
      </c>
      <c r="G120" s="7">
        <v>0</v>
      </c>
      <c r="H120" s="8">
        <v>2</v>
      </c>
      <c r="J120" s="12">
        <v>38</v>
      </c>
    </row>
    <row r="121" spans="2:10">
      <c r="B121" s="6">
        <v>41209</v>
      </c>
      <c r="C121" s="16"/>
      <c r="D121" s="7">
        <v>0</v>
      </c>
      <c r="E121" s="7">
        <v>0</v>
      </c>
      <c r="F121" s="7">
        <v>2</v>
      </c>
      <c r="G121" s="7">
        <v>1</v>
      </c>
      <c r="H121" s="8">
        <v>6</v>
      </c>
      <c r="J121" s="12">
        <v>58</v>
      </c>
    </row>
    <row r="122" spans="2:10">
      <c r="B122" s="6">
        <v>41210</v>
      </c>
      <c r="C122" s="16"/>
      <c r="D122" s="7">
        <v>0</v>
      </c>
      <c r="E122" s="7">
        <v>0</v>
      </c>
      <c r="F122" s="7">
        <v>1</v>
      </c>
      <c r="G122" s="7">
        <v>1</v>
      </c>
      <c r="H122" s="8">
        <v>4</v>
      </c>
      <c r="J122" s="12">
        <v>50</v>
      </c>
    </row>
    <row r="123" spans="2:10">
      <c r="B123" s="6">
        <v>41211</v>
      </c>
      <c r="C123" s="16"/>
      <c r="D123" s="7">
        <v>0</v>
      </c>
      <c r="E123" s="7">
        <v>0</v>
      </c>
      <c r="F123" s="7">
        <v>1</v>
      </c>
      <c r="G123" s="7">
        <v>1</v>
      </c>
      <c r="H123" s="8">
        <v>4</v>
      </c>
      <c r="J123" s="12">
        <v>50</v>
      </c>
    </row>
    <row r="124" spans="2:10">
      <c r="B124" s="6">
        <v>41212</v>
      </c>
      <c r="C124" s="16"/>
      <c r="D124" s="7">
        <v>0</v>
      </c>
      <c r="E124" s="7">
        <v>0</v>
      </c>
      <c r="F124" s="7">
        <v>0</v>
      </c>
      <c r="G124" s="7">
        <v>0</v>
      </c>
      <c r="H124" s="8">
        <v>1</v>
      </c>
      <c r="J124" s="12">
        <v>51</v>
      </c>
    </row>
    <row r="125" spans="2:10">
      <c r="B125" s="6">
        <v>41213</v>
      </c>
      <c r="C125" s="16"/>
      <c r="D125" s="7">
        <v>0</v>
      </c>
      <c r="E125" s="7">
        <v>0</v>
      </c>
      <c r="F125" s="7">
        <v>1</v>
      </c>
      <c r="G125" s="7">
        <v>1</v>
      </c>
      <c r="H125" s="8">
        <v>4</v>
      </c>
      <c r="J125" s="12">
        <v>49</v>
      </c>
    </row>
    <row r="126" spans="2:10">
      <c r="B126" s="6">
        <v>41214</v>
      </c>
      <c r="C126" s="16"/>
      <c r="D126" s="7">
        <v>0</v>
      </c>
      <c r="E126" s="7">
        <v>0</v>
      </c>
      <c r="F126" s="7">
        <v>0</v>
      </c>
      <c r="G126" s="7">
        <v>0</v>
      </c>
      <c r="H126" s="8">
        <v>1</v>
      </c>
      <c r="J126" s="12">
        <v>34</v>
      </c>
    </row>
    <row r="127" spans="2:10">
      <c r="B127" s="6">
        <v>41215</v>
      </c>
      <c r="C127" s="16"/>
      <c r="D127" s="7">
        <v>0</v>
      </c>
      <c r="E127" s="7">
        <v>0</v>
      </c>
      <c r="F127" s="7">
        <v>0</v>
      </c>
      <c r="G127" s="7">
        <v>0</v>
      </c>
      <c r="H127" s="8">
        <v>1</v>
      </c>
      <c r="J127" s="12">
        <v>27</v>
      </c>
    </row>
    <row r="128" spans="2:10">
      <c r="B128" s="6">
        <v>41216</v>
      </c>
      <c r="C128" s="16"/>
      <c r="D128" s="7">
        <v>0</v>
      </c>
      <c r="E128" s="7">
        <v>0</v>
      </c>
      <c r="F128" s="7">
        <v>2</v>
      </c>
      <c r="G128" s="7">
        <v>1</v>
      </c>
      <c r="H128" s="8">
        <v>6</v>
      </c>
      <c r="J128" s="12">
        <v>43</v>
      </c>
    </row>
    <row r="129" spans="2:10">
      <c r="B129" s="6">
        <v>41217</v>
      </c>
      <c r="C129" s="16"/>
      <c r="D129" s="7">
        <v>0</v>
      </c>
      <c r="E129" s="7">
        <v>0</v>
      </c>
      <c r="F129" s="7">
        <v>1</v>
      </c>
      <c r="G129" s="7">
        <v>1</v>
      </c>
      <c r="H129" s="8">
        <v>4</v>
      </c>
      <c r="J129" s="12">
        <v>35</v>
      </c>
    </row>
    <row r="130" spans="2:10">
      <c r="B130" s="6">
        <v>41218</v>
      </c>
      <c r="C130" s="16"/>
      <c r="D130" s="7">
        <v>0</v>
      </c>
      <c r="E130" s="7">
        <v>0</v>
      </c>
      <c r="F130" s="7">
        <v>0</v>
      </c>
      <c r="G130" s="7">
        <v>0</v>
      </c>
      <c r="H130" s="8">
        <v>1</v>
      </c>
      <c r="J130" s="12">
        <v>25</v>
      </c>
    </row>
    <row r="131" spans="2:10">
      <c r="B131" s="6">
        <v>41219</v>
      </c>
      <c r="C131" s="16"/>
      <c r="D131" s="7">
        <v>0</v>
      </c>
      <c r="E131" s="7">
        <v>0</v>
      </c>
      <c r="F131" s="7">
        <v>0</v>
      </c>
      <c r="G131" s="7">
        <v>0</v>
      </c>
      <c r="H131" s="8">
        <v>1</v>
      </c>
      <c r="J131" s="12">
        <v>26</v>
      </c>
    </row>
    <row r="132" spans="2:10">
      <c r="B132" s="6">
        <v>41220</v>
      </c>
      <c r="C132" s="16"/>
      <c r="D132" s="7">
        <v>0</v>
      </c>
      <c r="E132" s="7">
        <v>0</v>
      </c>
      <c r="F132" s="7">
        <v>0</v>
      </c>
      <c r="G132" s="7">
        <v>0</v>
      </c>
      <c r="H132" s="8">
        <v>1</v>
      </c>
      <c r="J132" s="12">
        <v>21</v>
      </c>
    </row>
    <row r="133" spans="2:10">
      <c r="B133" s="6">
        <v>41221</v>
      </c>
      <c r="C133" s="16"/>
      <c r="D133" s="7">
        <v>0</v>
      </c>
      <c r="E133" s="7">
        <v>0</v>
      </c>
      <c r="F133" s="7">
        <v>0</v>
      </c>
      <c r="G133" s="7">
        <v>0</v>
      </c>
      <c r="H133" s="8">
        <v>1</v>
      </c>
      <c r="J133" s="12">
        <v>14</v>
      </c>
    </row>
    <row r="134" spans="2:10">
      <c r="B134" s="6">
        <v>41222</v>
      </c>
      <c r="C134" s="16"/>
      <c r="D134" s="7">
        <v>0</v>
      </c>
      <c r="E134" s="7">
        <v>0</v>
      </c>
      <c r="F134" s="7">
        <v>0</v>
      </c>
      <c r="G134" s="7">
        <v>0</v>
      </c>
      <c r="H134" s="8">
        <v>1</v>
      </c>
      <c r="J134" s="12">
        <v>27</v>
      </c>
    </row>
    <row r="135" spans="2:10">
      <c r="B135" s="6">
        <v>41223</v>
      </c>
      <c r="C135" s="16"/>
      <c r="D135" s="7">
        <v>0</v>
      </c>
      <c r="E135" s="7">
        <v>0</v>
      </c>
      <c r="F135" s="7">
        <v>1</v>
      </c>
      <c r="G135" s="7">
        <v>1</v>
      </c>
      <c r="H135" s="8">
        <v>4</v>
      </c>
      <c r="J135" s="12">
        <v>37</v>
      </c>
    </row>
    <row r="136" spans="2:10">
      <c r="B136" s="6">
        <v>41224</v>
      </c>
      <c r="C136" s="16"/>
      <c r="D136" s="7">
        <v>0</v>
      </c>
      <c r="E136" s="7">
        <v>0</v>
      </c>
      <c r="F136" s="7">
        <v>0</v>
      </c>
      <c r="G136" s="7">
        <v>0</v>
      </c>
      <c r="H136" s="8">
        <v>1</v>
      </c>
      <c r="J136" s="12">
        <v>26</v>
      </c>
    </row>
    <row r="137" spans="2:10">
      <c r="B137" s="6">
        <v>41225</v>
      </c>
      <c r="C137" s="16"/>
      <c r="D137" s="7">
        <v>0</v>
      </c>
      <c r="E137" s="7">
        <v>0</v>
      </c>
      <c r="F137" s="7">
        <v>0</v>
      </c>
      <c r="G137" s="7">
        <v>0</v>
      </c>
      <c r="H137" s="8">
        <v>1</v>
      </c>
      <c r="J137" s="12">
        <v>21</v>
      </c>
    </row>
    <row r="138" spans="2:10">
      <c r="B138" s="6">
        <v>41226</v>
      </c>
      <c r="C138" s="16"/>
      <c r="D138" s="7">
        <v>0</v>
      </c>
      <c r="E138" s="7">
        <v>0</v>
      </c>
      <c r="F138" s="7">
        <v>0</v>
      </c>
      <c r="G138" s="7">
        <v>0</v>
      </c>
      <c r="H138" s="8">
        <v>1</v>
      </c>
      <c r="J138" s="12">
        <v>22</v>
      </c>
    </row>
    <row r="139" spans="2:10">
      <c r="B139" s="6">
        <v>41227</v>
      </c>
      <c r="C139" s="16"/>
      <c r="D139" s="7">
        <v>0</v>
      </c>
      <c r="E139" s="7">
        <v>0</v>
      </c>
      <c r="F139" s="7">
        <v>0</v>
      </c>
      <c r="G139" s="7">
        <v>0</v>
      </c>
      <c r="H139" s="8">
        <v>1</v>
      </c>
      <c r="J139" s="12">
        <v>12</v>
      </c>
    </row>
    <row r="140" spans="2:10">
      <c r="B140" s="6">
        <v>41228</v>
      </c>
      <c r="C140" s="16"/>
      <c r="D140" s="7">
        <v>0</v>
      </c>
      <c r="E140" s="7">
        <v>0</v>
      </c>
      <c r="F140" s="7">
        <v>0</v>
      </c>
      <c r="G140" s="7">
        <v>0</v>
      </c>
      <c r="H140" s="8">
        <v>1</v>
      </c>
      <c r="J140" s="12">
        <v>33</v>
      </c>
    </row>
    <row r="141" spans="2:10">
      <c r="B141" s="6">
        <v>41229</v>
      </c>
      <c r="C141" s="16"/>
      <c r="D141" s="7">
        <v>0</v>
      </c>
      <c r="E141" s="7">
        <v>0</v>
      </c>
      <c r="F141" s="7">
        <v>0</v>
      </c>
      <c r="G141" s="7">
        <v>0</v>
      </c>
      <c r="H141" s="8">
        <v>1</v>
      </c>
      <c r="J141" s="12">
        <v>26</v>
      </c>
    </row>
    <row r="142" spans="2:10">
      <c r="B142" s="6">
        <v>41230</v>
      </c>
      <c r="C142" s="16"/>
      <c r="D142" s="7">
        <v>0</v>
      </c>
      <c r="E142" s="7">
        <v>0</v>
      </c>
      <c r="F142" s="7">
        <v>1</v>
      </c>
      <c r="G142" s="7">
        <v>1</v>
      </c>
      <c r="H142" s="8">
        <v>4</v>
      </c>
      <c r="J142" s="12">
        <v>38</v>
      </c>
    </row>
    <row r="143" spans="2:10">
      <c r="B143" s="6">
        <v>41231</v>
      </c>
      <c r="C143" s="16"/>
      <c r="D143" s="7">
        <v>0</v>
      </c>
      <c r="E143" s="7">
        <v>0</v>
      </c>
      <c r="F143" s="7">
        <v>1</v>
      </c>
      <c r="G143" s="7">
        <v>0</v>
      </c>
      <c r="H143" s="8">
        <v>2</v>
      </c>
      <c r="J143" s="12">
        <v>39</v>
      </c>
    </row>
    <row r="144" spans="2:10">
      <c r="B144" s="6">
        <v>41232</v>
      </c>
      <c r="C144" s="16"/>
      <c r="D144" s="7">
        <v>0</v>
      </c>
      <c r="E144" s="7">
        <v>0</v>
      </c>
      <c r="F144" s="7">
        <v>0</v>
      </c>
      <c r="G144" s="7">
        <v>0</v>
      </c>
      <c r="H144" s="8">
        <v>1</v>
      </c>
      <c r="J144" s="12">
        <v>25</v>
      </c>
    </row>
    <row r="145" spans="2:10">
      <c r="B145" s="6">
        <v>41233</v>
      </c>
      <c r="C145" s="16"/>
      <c r="D145" s="7">
        <v>0</v>
      </c>
      <c r="E145" s="7">
        <v>0</v>
      </c>
      <c r="F145" s="7">
        <v>0</v>
      </c>
      <c r="G145" s="7">
        <v>0</v>
      </c>
      <c r="H145" s="8">
        <v>1</v>
      </c>
      <c r="J145" s="12">
        <v>28</v>
      </c>
    </row>
    <row r="146" spans="2:10">
      <c r="B146" s="6">
        <v>41234</v>
      </c>
      <c r="C146" s="16"/>
      <c r="D146" s="7">
        <v>0</v>
      </c>
      <c r="E146" s="7">
        <v>0</v>
      </c>
      <c r="F146" s="7">
        <v>0</v>
      </c>
      <c r="G146" s="7">
        <v>0</v>
      </c>
      <c r="H146" s="8">
        <v>1</v>
      </c>
      <c r="J146" s="12">
        <v>38</v>
      </c>
    </row>
    <row r="147" spans="2:10">
      <c r="B147" s="6">
        <v>41235</v>
      </c>
      <c r="C147" s="16"/>
      <c r="D147" s="7">
        <v>0</v>
      </c>
      <c r="E147" s="7">
        <v>0</v>
      </c>
      <c r="F147" s="7">
        <v>0</v>
      </c>
      <c r="G147" s="7">
        <v>0</v>
      </c>
      <c r="H147" s="8">
        <v>1</v>
      </c>
      <c r="J147" s="12">
        <v>45</v>
      </c>
    </row>
    <row r="148" spans="2:10">
      <c r="B148" s="6">
        <v>41236</v>
      </c>
      <c r="C148" s="16"/>
      <c r="D148" s="7">
        <v>0</v>
      </c>
      <c r="E148" s="7">
        <v>0</v>
      </c>
      <c r="F148" s="7">
        <v>2</v>
      </c>
      <c r="G148" s="7">
        <v>1</v>
      </c>
      <c r="H148" s="8">
        <v>6</v>
      </c>
      <c r="J148" s="12">
        <v>49</v>
      </c>
    </row>
    <row r="149" spans="2:10">
      <c r="B149" s="6">
        <v>41237</v>
      </c>
      <c r="C149" s="16"/>
      <c r="D149" s="7">
        <v>0</v>
      </c>
      <c r="E149" s="7">
        <v>0</v>
      </c>
      <c r="F149" s="7">
        <v>2</v>
      </c>
      <c r="G149" s="7">
        <v>1</v>
      </c>
      <c r="H149" s="8">
        <v>6</v>
      </c>
      <c r="J149" s="12">
        <v>42</v>
      </c>
    </row>
    <row r="150" spans="2:10">
      <c r="B150" s="6">
        <v>41238</v>
      </c>
      <c r="C150" s="16"/>
      <c r="D150" s="7">
        <v>0</v>
      </c>
      <c r="E150" s="7">
        <v>0</v>
      </c>
      <c r="F150" s="7">
        <v>1</v>
      </c>
      <c r="G150" s="7">
        <v>1</v>
      </c>
      <c r="H150" s="8">
        <v>4</v>
      </c>
      <c r="J150" s="12">
        <v>46</v>
      </c>
    </row>
    <row r="151" spans="2:10">
      <c r="B151" s="6">
        <v>41239</v>
      </c>
      <c r="C151" s="16"/>
      <c r="D151" s="7">
        <v>0</v>
      </c>
      <c r="E151" s="7">
        <v>0</v>
      </c>
      <c r="F151" s="7">
        <v>0</v>
      </c>
      <c r="G151" s="7">
        <v>0</v>
      </c>
      <c r="H151" s="8">
        <v>1</v>
      </c>
      <c r="J151" s="12">
        <v>40</v>
      </c>
    </row>
    <row r="152" spans="2:10">
      <c r="B152" s="6">
        <v>41240</v>
      </c>
      <c r="C152" s="16"/>
      <c r="D152" s="7">
        <v>0</v>
      </c>
      <c r="E152" s="7">
        <v>0</v>
      </c>
      <c r="F152" s="7">
        <v>1</v>
      </c>
      <c r="G152" s="7">
        <v>0</v>
      </c>
      <c r="H152" s="8">
        <v>2</v>
      </c>
      <c r="J152" s="12">
        <v>32</v>
      </c>
    </row>
    <row r="153" spans="2:10">
      <c r="B153" s="6">
        <v>41241</v>
      </c>
      <c r="C153" s="16"/>
      <c r="D153" s="7">
        <v>0</v>
      </c>
      <c r="E153" s="7">
        <v>0</v>
      </c>
      <c r="F153" s="7">
        <v>0</v>
      </c>
      <c r="G153" s="7">
        <v>0</v>
      </c>
      <c r="H153" s="8">
        <v>1</v>
      </c>
      <c r="J153" s="12">
        <v>43</v>
      </c>
    </row>
    <row r="154" spans="2:10">
      <c r="B154" s="6">
        <v>41242</v>
      </c>
      <c r="C154" s="16"/>
      <c r="D154" s="7">
        <v>0</v>
      </c>
      <c r="E154" s="7">
        <v>0</v>
      </c>
      <c r="F154" s="7">
        <v>0</v>
      </c>
      <c r="G154" s="7">
        <v>0</v>
      </c>
      <c r="H154" s="8">
        <v>1</v>
      </c>
      <c r="J154" s="12">
        <v>44</v>
      </c>
    </row>
    <row r="155" spans="2:10">
      <c r="B155" s="6">
        <v>41243</v>
      </c>
      <c r="C155" s="16"/>
      <c r="D155" s="7">
        <v>0</v>
      </c>
      <c r="E155" s="7">
        <v>0</v>
      </c>
      <c r="F155" s="7">
        <v>1</v>
      </c>
      <c r="G155" s="7">
        <v>1</v>
      </c>
      <c r="H155" s="8">
        <v>4</v>
      </c>
      <c r="J155" s="12">
        <v>49</v>
      </c>
    </row>
    <row r="156" spans="2:10">
      <c r="B156" s="6">
        <v>41244</v>
      </c>
      <c r="C156" s="16"/>
      <c r="D156" s="7">
        <v>0</v>
      </c>
      <c r="E156" s="7">
        <v>0</v>
      </c>
      <c r="F156" s="7">
        <v>2</v>
      </c>
      <c r="G156" s="7">
        <v>1</v>
      </c>
      <c r="H156" s="8">
        <v>6</v>
      </c>
      <c r="J156" s="12">
        <v>45</v>
      </c>
    </row>
    <row r="157" spans="2:10">
      <c r="B157" s="6">
        <v>41245</v>
      </c>
      <c r="C157" s="16"/>
      <c r="D157" s="7">
        <v>0</v>
      </c>
      <c r="E157" s="7">
        <v>0</v>
      </c>
      <c r="F157" s="7">
        <v>1</v>
      </c>
      <c r="G157" s="7">
        <v>1</v>
      </c>
      <c r="H157" s="8">
        <v>4</v>
      </c>
      <c r="J157" s="12">
        <v>37</v>
      </c>
    </row>
    <row r="158" spans="2:10">
      <c r="B158" s="6">
        <v>41246</v>
      </c>
      <c r="C158" s="16"/>
      <c r="D158" s="7">
        <v>0</v>
      </c>
      <c r="E158" s="7">
        <v>0</v>
      </c>
      <c r="F158" s="7">
        <v>0</v>
      </c>
      <c r="G158" s="7">
        <v>0</v>
      </c>
      <c r="H158" s="8">
        <v>1</v>
      </c>
      <c r="J158" s="12">
        <v>40</v>
      </c>
    </row>
    <row r="159" spans="2:10">
      <c r="B159" s="6">
        <v>41247</v>
      </c>
      <c r="C159" s="16"/>
      <c r="D159" s="7">
        <v>0</v>
      </c>
      <c r="E159" s="7">
        <v>0</v>
      </c>
      <c r="F159" s="7">
        <v>0</v>
      </c>
      <c r="G159" s="7">
        <v>0</v>
      </c>
      <c r="H159" s="8">
        <v>1</v>
      </c>
      <c r="J159" s="12">
        <v>17</v>
      </c>
    </row>
    <row r="160" spans="2:10">
      <c r="B160" s="6">
        <v>41248</v>
      </c>
      <c r="C160" s="16"/>
      <c r="D160" s="7">
        <v>0</v>
      </c>
      <c r="E160" s="7">
        <v>0</v>
      </c>
      <c r="F160" s="7">
        <v>0</v>
      </c>
      <c r="G160" s="7">
        <v>0</v>
      </c>
      <c r="H160" s="8">
        <v>1</v>
      </c>
      <c r="J160" s="12">
        <v>26</v>
      </c>
    </row>
    <row r="161" spans="2:10">
      <c r="B161" s="6">
        <v>41249</v>
      </c>
      <c r="C161" s="16"/>
      <c r="D161" s="7">
        <v>0</v>
      </c>
      <c r="E161" s="7">
        <v>0</v>
      </c>
      <c r="F161" s="7">
        <v>0</v>
      </c>
      <c r="G161" s="7">
        <v>0</v>
      </c>
      <c r="H161" s="8">
        <v>1</v>
      </c>
      <c r="J161" s="12">
        <v>16</v>
      </c>
    </row>
    <row r="162" spans="2:10">
      <c r="B162" s="6">
        <v>41250</v>
      </c>
      <c r="C162" s="16"/>
      <c r="D162" s="7">
        <v>0</v>
      </c>
      <c r="E162" s="7">
        <v>0</v>
      </c>
      <c r="F162" s="7">
        <v>0</v>
      </c>
      <c r="G162" s="7">
        <v>0</v>
      </c>
      <c r="H162" s="8">
        <v>1</v>
      </c>
      <c r="J162" s="12">
        <v>19</v>
      </c>
    </row>
    <row r="163" spans="2:10">
      <c r="B163" s="6">
        <v>41251</v>
      </c>
      <c r="C163" s="16"/>
      <c r="D163" s="7">
        <v>0</v>
      </c>
      <c r="E163" s="7">
        <v>0</v>
      </c>
      <c r="F163" s="7">
        <v>1</v>
      </c>
      <c r="G163" s="7">
        <v>1</v>
      </c>
      <c r="H163" s="8">
        <v>4</v>
      </c>
      <c r="J163" s="12">
        <v>44</v>
      </c>
    </row>
    <row r="164" spans="2:10">
      <c r="B164" s="6">
        <v>41252</v>
      </c>
      <c r="C164" s="16"/>
      <c r="D164" s="7">
        <v>0</v>
      </c>
      <c r="E164" s="7">
        <v>0</v>
      </c>
      <c r="F164" s="7">
        <v>1</v>
      </c>
      <c r="G164" s="7">
        <v>0</v>
      </c>
      <c r="H164" s="8">
        <v>2</v>
      </c>
      <c r="J164" s="12">
        <v>35</v>
      </c>
    </row>
    <row r="165" spans="2:10">
      <c r="B165" s="6">
        <v>41253</v>
      </c>
      <c r="C165" s="16"/>
      <c r="D165" s="7">
        <v>0</v>
      </c>
      <c r="E165" s="7">
        <v>0</v>
      </c>
      <c r="F165" s="7">
        <v>0</v>
      </c>
      <c r="G165" s="7">
        <v>0</v>
      </c>
      <c r="H165" s="8">
        <v>1</v>
      </c>
      <c r="J165" s="12">
        <v>39</v>
      </c>
    </row>
    <row r="166" spans="2:10">
      <c r="B166" s="6">
        <v>41254</v>
      </c>
      <c r="C166" s="16"/>
      <c r="D166" s="7">
        <v>0</v>
      </c>
      <c r="E166" s="7">
        <v>0</v>
      </c>
      <c r="F166" s="7">
        <v>0</v>
      </c>
      <c r="G166" s="7">
        <v>0</v>
      </c>
      <c r="H166" s="8">
        <v>1</v>
      </c>
      <c r="J166" s="12">
        <v>22</v>
      </c>
    </row>
    <row r="167" spans="2:10">
      <c r="B167" s="6">
        <v>41255</v>
      </c>
      <c r="C167" s="16"/>
      <c r="D167" s="7">
        <v>0</v>
      </c>
      <c r="E167" s="7">
        <v>0</v>
      </c>
      <c r="F167" s="7">
        <v>0</v>
      </c>
      <c r="G167" s="7">
        <v>0</v>
      </c>
      <c r="H167" s="8">
        <v>1</v>
      </c>
      <c r="J167" s="12">
        <v>27</v>
      </c>
    </row>
    <row r="168" spans="2:10">
      <c r="B168" s="6">
        <v>41256</v>
      </c>
      <c r="C168" s="16"/>
      <c r="D168" s="7">
        <v>0</v>
      </c>
      <c r="E168" s="7">
        <v>0</v>
      </c>
      <c r="F168" s="7">
        <v>0</v>
      </c>
      <c r="G168" s="7">
        <v>0</v>
      </c>
      <c r="H168" s="8">
        <v>1</v>
      </c>
      <c r="J168" s="12">
        <v>34</v>
      </c>
    </row>
    <row r="169" spans="2:10">
      <c r="B169" s="6">
        <v>41257</v>
      </c>
      <c r="C169" s="16"/>
      <c r="D169" s="7">
        <v>0</v>
      </c>
      <c r="E169" s="7">
        <v>0</v>
      </c>
      <c r="F169" s="7">
        <v>0</v>
      </c>
      <c r="G169" s="7">
        <v>0</v>
      </c>
      <c r="H169" s="8">
        <v>1</v>
      </c>
      <c r="J169" s="12">
        <v>37</v>
      </c>
    </row>
    <row r="170" spans="2:10">
      <c r="B170" s="6">
        <v>41258</v>
      </c>
      <c r="C170" s="16"/>
      <c r="D170" s="7">
        <v>0</v>
      </c>
      <c r="E170" s="7">
        <v>0</v>
      </c>
      <c r="F170" s="7">
        <v>1</v>
      </c>
      <c r="G170" s="7">
        <v>1</v>
      </c>
      <c r="H170" s="8">
        <v>4</v>
      </c>
      <c r="J170" s="12">
        <v>50</v>
      </c>
    </row>
    <row r="171" spans="2:10">
      <c r="B171" s="6">
        <v>41259</v>
      </c>
      <c r="C171" s="16"/>
      <c r="D171" s="7">
        <v>0</v>
      </c>
      <c r="E171" s="7">
        <v>0</v>
      </c>
      <c r="F171" s="7">
        <v>1</v>
      </c>
      <c r="G171" s="7">
        <v>0</v>
      </c>
      <c r="H171" s="8">
        <v>2</v>
      </c>
      <c r="J171" s="12">
        <v>49</v>
      </c>
    </row>
    <row r="172" spans="2:10">
      <c r="B172" s="6">
        <v>41260</v>
      </c>
      <c r="C172" s="16"/>
      <c r="D172" s="7">
        <v>0</v>
      </c>
      <c r="E172" s="7">
        <v>0</v>
      </c>
      <c r="F172" s="7">
        <v>0</v>
      </c>
      <c r="G172" s="7">
        <v>0</v>
      </c>
      <c r="H172" s="8">
        <v>1</v>
      </c>
      <c r="J172" s="12">
        <v>43</v>
      </c>
    </row>
    <row r="173" spans="2:10">
      <c r="B173" s="6">
        <v>41261</v>
      </c>
      <c r="C173" s="16"/>
      <c r="D173" s="7">
        <v>0</v>
      </c>
      <c r="E173" s="7">
        <v>0</v>
      </c>
      <c r="F173" s="7">
        <v>0</v>
      </c>
      <c r="G173" s="7">
        <v>0</v>
      </c>
      <c r="H173" s="8">
        <v>1</v>
      </c>
      <c r="J173" s="12">
        <v>41</v>
      </c>
    </row>
    <row r="174" spans="2:10">
      <c r="B174" s="6">
        <v>41262</v>
      </c>
      <c r="C174" s="16"/>
      <c r="D174" s="7">
        <v>0</v>
      </c>
      <c r="E174" s="7">
        <v>0</v>
      </c>
      <c r="F174" s="7">
        <v>0</v>
      </c>
      <c r="G174" s="7">
        <v>0</v>
      </c>
      <c r="H174" s="8">
        <v>1</v>
      </c>
      <c r="J174" s="12">
        <v>39</v>
      </c>
    </row>
    <row r="175" spans="2:10">
      <c r="B175" s="6">
        <v>41263</v>
      </c>
      <c r="C175" s="16"/>
      <c r="D175" s="7">
        <v>0</v>
      </c>
      <c r="E175" s="7">
        <v>0</v>
      </c>
      <c r="F175" s="7">
        <v>0</v>
      </c>
      <c r="G175" s="7">
        <v>0</v>
      </c>
      <c r="H175" s="8">
        <v>1</v>
      </c>
      <c r="J175" s="12">
        <v>50</v>
      </c>
    </row>
    <row r="176" spans="2:10">
      <c r="B176" s="6">
        <v>41264</v>
      </c>
      <c r="C176" s="16"/>
      <c r="D176" s="7">
        <v>0</v>
      </c>
      <c r="E176" s="7">
        <v>0</v>
      </c>
      <c r="F176" s="7">
        <v>0</v>
      </c>
      <c r="G176" s="7">
        <v>0</v>
      </c>
      <c r="H176" s="8">
        <v>1</v>
      </c>
      <c r="J176" s="12">
        <v>45</v>
      </c>
    </row>
    <row r="177" spans="2:10">
      <c r="B177" s="6">
        <v>41265</v>
      </c>
      <c r="C177" s="16"/>
      <c r="D177" s="7">
        <v>0</v>
      </c>
      <c r="E177" s="7">
        <v>0</v>
      </c>
      <c r="F177" s="7">
        <v>2</v>
      </c>
      <c r="G177" s="7">
        <v>1</v>
      </c>
      <c r="H177" s="8">
        <v>6</v>
      </c>
      <c r="J177" s="12">
        <v>49</v>
      </c>
    </row>
    <row r="178" spans="2:10">
      <c r="B178" s="6">
        <v>41266</v>
      </c>
      <c r="C178" s="16"/>
      <c r="D178" s="7">
        <v>0</v>
      </c>
      <c r="E178" s="7">
        <v>0</v>
      </c>
      <c r="F178" s="7">
        <v>2</v>
      </c>
      <c r="G178" s="7">
        <v>3</v>
      </c>
      <c r="H178" s="8">
        <v>12</v>
      </c>
      <c r="J178" s="12">
        <v>46</v>
      </c>
    </row>
    <row r="179" spans="2:10">
      <c r="B179" s="6">
        <v>41267</v>
      </c>
      <c r="C179" s="16"/>
      <c r="D179" s="7">
        <v>0</v>
      </c>
      <c r="E179" s="7">
        <v>0</v>
      </c>
      <c r="F179" s="7">
        <v>1</v>
      </c>
      <c r="G179" s="7">
        <v>0</v>
      </c>
      <c r="H179" s="8">
        <v>2</v>
      </c>
      <c r="J179" s="12">
        <v>44</v>
      </c>
    </row>
    <row r="180" spans="2:10">
      <c r="B180" s="6">
        <v>41268</v>
      </c>
      <c r="C180" s="16"/>
      <c r="D180" s="7">
        <v>0</v>
      </c>
      <c r="E180" s="7">
        <v>0</v>
      </c>
      <c r="F180" s="7">
        <v>1</v>
      </c>
      <c r="G180" s="7">
        <v>1</v>
      </c>
      <c r="H180" s="8">
        <v>4</v>
      </c>
      <c r="J180" s="12">
        <v>43</v>
      </c>
    </row>
    <row r="181" spans="2:10">
      <c r="B181" s="6">
        <v>41269</v>
      </c>
      <c r="C181" s="16"/>
      <c r="D181" s="7">
        <v>0</v>
      </c>
      <c r="E181" s="7">
        <v>0</v>
      </c>
      <c r="F181" s="7">
        <v>0</v>
      </c>
      <c r="G181" s="7">
        <v>0</v>
      </c>
      <c r="H181" s="8">
        <v>1</v>
      </c>
      <c r="J181" s="12">
        <v>55</v>
      </c>
    </row>
    <row r="182" spans="2:10">
      <c r="B182" s="6">
        <v>41270</v>
      </c>
      <c r="C182" s="16"/>
      <c r="D182" s="7">
        <v>0</v>
      </c>
      <c r="E182" s="7">
        <v>0</v>
      </c>
      <c r="F182" s="7">
        <v>1</v>
      </c>
      <c r="G182" s="7">
        <v>0</v>
      </c>
      <c r="H182" s="8">
        <v>2</v>
      </c>
      <c r="J182" s="12">
        <v>48</v>
      </c>
    </row>
    <row r="183" spans="2:10">
      <c r="B183" s="6">
        <v>41271</v>
      </c>
      <c r="C183" s="16"/>
      <c r="D183" s="7">
        <v>0</v>
      </c>
      <c r="E183" s="7">
        <v>0</v>
      </c>
      <c r="F183" s="7">
        <v>1</v>
      </c>
      <c r="G183" s="7">
        <v>1</v>
      </c>
      <c r="H183" s="8">
        <v>4</v>
      </c>
      <c r="J183" s="12">
        <v>41</v>
      </c>
    </row>
    <row r="184" spans="2:10">
      <c r="B184" s="6">
        <v>41272</v>
      </c>
      <c r="C184" s="16"/>
      <c r="D184" s="7">
        <v>0</v>
      </c>
      <c r="E184" s="7">
        <v>0</v>
      </c>
      <c r="F184" s="7">
        <v>2</v>
      </c>
      <c r="G184" s="7">
        <v>2</v>
      </c>
      <c r="H184" s="8">
        <v>9</v>
      </c>
      <c r="J184" s="12">
        <v>33</v>
      </c>
    </row>
    <row r="185" spans="2:10">
      <c r="B185" s="6">
        <v>41273</v>
      </c>
      <c r="C185" s="16"/>
      <c r="D185" s="7">
        <v>0</v>
      </c>
      <c r="E185" s="7">
        <v>0</v>
      </c>
      <c r="F185" s="7">
        <v>1</v>
      </c>
      <c r="G185" s="7">
        <v>2</v>
      </c>
      <c r="H185" s="8">
        <v>6</v>
      </c>
      <c r="J185" s="12">
        <v>23</v>
      </c>
    </row>
    <row r="186" spans="2:10">
      <c r="B186" s="6">
        <v>41274</v>
      </c>
      <c r="C186" s="16"/>
      <c r="D186" s="7">
        <v>0</v>
      </c>
      <c r="E186" s="7">
        <v>1</v>
      </c>
      <c r="F186" s="7">
        <v>-1</v>
      </c>
      <c r="G186" s="7">
        <v>-1</v>
      </c>
      <c r="H186" s="8">
        <v>0</v>
      </c>
      <c r="J186" s="12">
        <v>0</v>
      </c>
    </row>
    <row r="187" spans="2:10">
      <c r="B187" s="6">
        <v>41275</v>
      </c>
      <c r="C187" s="16"/>
      <c r="D187" s="7">
        <v>0</v>
      </c>
      <c r="E187" s="7">
        <v>1</v>
      </c>
      <c r="F187" s="7">
        <v>-1</v>
      </c>
      <c r="G187" s="7">
        <v>-1</v>
      </c>
      <c r="H187" s="8">
        <v>0</v>
      </c>
      <c r="J187" s="12">
        <v>0</v>
      </c>
    </row>
    <row r="188" spans="2:10">
      <c r="B188" s="6">
        <v>41276</v>
      </c>
      <c r="C188" s="16"/>
      <c r="D188" s="7">
        <v>0</v>
      </c>
      <c r="E188" s="7">
        <v>1</v>
      </c>
      <c r="F188" s="7">
        <v>-1</v>
      </c>
      <c r="G188" s="7">
        <v>-1</v>
      </c>
      <c r="H188" s="8">
        <v>0</v>
      </c>
      <c r="J188" s="12">
        <v>0</v>
      </c>
    </row>
    <row r="189" spans="2:10">
      <c r="B189" s="6">
        <v>41277</v>
      </c>
      <c r="C189" s="16"/>
      <c r="D189" s="7">
        <v>0</v>
      </c>
      <c r="E189" s="7">
        <v>1</v>
      </c>
      <c r="F189" s="7">
        <v>-1</v>
      </c>
      <c r="G189" s="7">
        <v>-1</v>
      </c>
      <c r="H189" s="8">
        <v>0</v>
      </c>
      <c r="J189" s="12">
        <v>0</v>
      </c>
    </row>
    <row r="190" spans="2:10">
      <c r="B190" s="6">
        <v>41278</v>
      </c>
      <c r="C190" s="16"/>
      <c r="D190" s="7">
        <v>0</v>
      </c>
      <c r="E190" s="7">
        <v>0</v>
      </c>
      <c r="F190" s="7">
        <v>0</v>
      </c>
      <c r="G190" s="7">
        <v>0</v>
      </c>
      <c r="H190" s="8">
        <v>1</v>
      </c>
      <c r="J190" s="12">
        <v>38</v>
      </c>
    </row>
    <row r="191" spans="2:10">
      <c r="B191" s="6">
        <v>41279</v>
      </c>
      <c r="C191" s="16"/>
      <c r="D191" s="7">
        <v>0</v>
      </c>
      <c r="E191" s="7">
        <v>0</v>
      </c>
      <c r="F191" s="7">
        <v>0</v>
      </c>
      <c r="G191" s="7">
        <v>0</v>
      </c>
      <c r="H191" s="8">
        <v>1</v>
      </c>
      <c r="J191" s="12">
        <v>26</v>
      </c>
    </row>
    <row r="192" spans="2:10">
      <c r="B192" s="6">
        <v>41280</v>
      </c>
      <c r="C192" s="16"/>
      <c r="D192" s="7">
        <v>0</v>
      </c>
      <c r="E192" s="7">
        <v>0</v>
      </c>
      <c r="F192" s="7">
        <v>0</v>
      </c>
      <c r="G192" s="7">
        <v>0</v>
      </c>
      <c r="H192" s="8">
        <v>1</v>
      </c>
      <c r="J192" s="12">
        <v>24</v>
      </c>
    </row>
    <row r="193" spans="2:10">
      <c r="B193" s="6">
        <v>41281</v>
      </c>
      <c r="C193" s="16"/>
      <c r="D193" s="7">
        <v>0</v>
      </c>
      <c r="E193" s="7">
        <v>0</v>
      </c>
      <c r="F193" s="7">
        <v>0</v>
      </c>
      <c r="G193" s="7">
        <v>0</v>
      </c>
      <c r="H193" s="8">
        <v>1</v>
      </c>
      <c r="J193" s="12">
        <v>22</v>
      </c>
    </row>
    <row r="194" spans="2:10">
      <c r="B194" s="6">
        <v>41282</v>
      </c>
      <c r="C194" s="16"/>
      <c r="D194" s="7">
        <v>0</v>
      </c>
      <c r="E194" s="7">
        <v>0</v>
      </c>
      <c r="F194" s="7">
        <v>0</v>
      </c>
      <c r="G194" s="7">
        <v>0</v>
      </c>
      <c r="H194" s="8">
        <v>1</v>
      </c>
      <c r="J194" s="12">
        <v>12</v>
      </c>
    </row>
    <row r="195" spans="2:10">
      <c r="B195" s="6">
        <v>41283</v>
      </c>
      <c r="C195" s="16"/>
      <c r="D195" s="7">
        <v>0</v>
      </c>
      <c r="E195" s="7">
        <v>0</v>
      </c>
      <c r="F195" s="7">
        <v>0</v>
      </c>
      <c r="G195" s="7">
        <v>0</v>
      </c>
      <c r="H195" s="8">
        <v>1</v>
      </c>
      <c r="J195" s="12">
        <v>18</v>
      </c>
    </row>
    <row r="196" spans="2:10">
      <c r="B196" s="6">
        <v>41284</v>
      </c>
      <c r="C196" s="16"/>
      <c r="D196" s="7">
        <v>0</v>
      </c>
      <c r="E196" s="7">
        <v>0</v>
      </c>
      <c r="F196" s="7">
        <v>0</v>
      </c>
      <c r="G196" s="7">
        <v>0</v>
      </c>
      <c r="H196" s="8">
        <v>1</v>
      </c>
      <c r="J196" s="12">
        <v>19</v>
      </c>
    </row>
    <row r="197" spans="2:10">
      <c r="B197" s="6">
        <v>41285</v>
      </c>
      <c r="C197" s="16"/>
      <c r="D197" s="7">
        <v>0</v>
      </c>
      <c r="E197" s="7">
        <v>0</v>
      </c>
      <c r="F197" s="7">
        <v>0</v>
      </c>
      <c r="G197" s="7">
        <v>0</v>
      </c>
      <c r="H197" s="8">
        <v>1</v>
      </c>
      <c r="J197" s="12">
        <v>27</v>
      </c>
    </row>
    <row r="198" spans="2:10">
      <c r="B198" s="6">
        <v>41286</v>
      </c>
      <c r="C198" s="16"/>
      <c r="D198" s="7">
        <v>0</v>
      </c>
      <c r="E198" s="7">
        <v>0</v>
      </c>
      <c r="F198" s="7">
        <v>1</v>
      </c>
      <c r="G198" s="7">
        <v>0</v>
      </c>
      <c r="H198" s="8">
        <v>2</v>
      </c>
      <c r="J198" s="12">
        <v>39</v>
      </c>
    </row>
    <row r="199" spans="2:10">
      <c r="B199" s="6">
        <v>41287</v>
      </c>
      <c r="C199" s="16"/>
      <c r="D199" s="7">
        <v>0</v>
      </c>
      <c r="E199" s="7">
        <v>0</v>
      </c>
      <c r="F199" s="7">
        <v>0</v>
      </c>
      <c r="G199" s="7">
        <v>0</v>
      </c>
      <c r="H199" s="8">
        <v>1</v>
      </c>
      <c r="J199" s="12">
        <v>50</v>
      </c>
    </row>
    <row r="200" spans="2:10">
      <c r="B200" s="6">
        <v>41288</v>
      </c>
      <c r="C200" s="16"/>
      <c r="D200" s="7">
        <v>0</v>
      </c>
      <c r="E200" s="7">
        <v>0</v>
      </c>
      <c r="F200" s="7">
        <v>0</v>
      </c>
      <c r="G200" s="7">
        <v>0</v>
      </c>
      <c r="H200" s="8">
        <v>1</v>
      </c>
      <c r="J200" s="12">
        <v>16</v>
      </c>
    </row>
    <row r="201" spans="2:10">
      <c r="B201" s="6">
        <v>41289</v>
      </c>
      <c r="C201" s="16"/>
      <c r="D201" s="7">
        <v>0</v>
      </c>
      <c r="E201" s="7">
        <v>0</v>
      </c>
      <c r="F201" s="7">
        <v>0</v>
      </c>
      <c r="G201" s="7">
        <v>0</v>
      </c>
      <c r="H201" s="8">
        <v>1</v>
      </c>
      <c r="J201" s="12">
        <v>31</v>
      </c>
    </row>
    <row r="202" spans="2:10">
      <c r="B202" s="6">
        <v>41290</v>
      </c>
      <c r="C202" s="16"/>
      <c r="D202" s="7">
        <v>0</v>
      </c>
      <c r="E202" s="7">
        <v>0</v>
      </c>
      <c r="F202" s="7">
        <v>0</v>
      </c>
      <c r="G202" s="7">
        <v>0</v>
      </c>
      <c r="H202" s="8">
        <v>1</v>
      </c>
      <c r="J202" s="12">
        <v>33</v>
      </c>
    </row>
    <row r="203" spans="2:10">
      <c r="B203" s="6">
        <v>41291</v>
      </c>
      <c r="C203" s="16"/>
      <c r="D203" s="7">
        <v>0</v>
      </c>
      <c r="E203" s="7">
        <v>0</v>
      </c>
      <c r="F203" s="7">
        <v>0</v>
      </c>
      <c r="G203" s="7">
        <v>0</v>
      </c>
      <c r="H203" s="8">
        <v>1</v>
      </c>
      <c r="J203" s="12">
        <v>27</v>
      </c>
    </row>
    <row r="204" spans="2:10">
      <c r="B204" s="6">
        <v>41292</v>
      </c>
      <c r="C204" s="16"/>
      <c r="D204" s="7">
        <v>0</v>
      </c>
      <c r="E204" s="7">
        <v>0</v>
      </c>
      <c r="F204" s="7">
        <v>0</v>
      </c>
      <c r="G204" s="7">
        <v>0</v>
      </c>
      <c r="H204" s="8">
        <v>1</v>
      </c>
      <c r="J204" s="12">
        <v>26</v>
      </c>
    </row>
    <row r="205" spans="2:10">
      <c r="B205" s="6">
        <v>41293</v>
      </c>
      <c r="C205" s="16"/>
      <c r="D205" s="7">
        <v>0</v>
      </c>
      <c r="E205" s="7">
        <v>0</v>
      </c>
      <c r="F205" s="7">
        <v>1</v>
      </c>
      <c r="G205" s="7">
        <v>1</v>
      </c>
      <c r="H205" s="8">
        <v>4</v>
      </c>
      <c r="J205" s="12">
        <v>56</v>
      </c>
    </row>
    <row r="206" spans="2:10">
      <c r="B206" s="6">
        <v>41294</v>
      </c>
      <c r="C206" s="16"/>
      <c r="D206" s="7">
        <v>0</v>
      </c>
      <c r="E206" s="7">
        <v>0</v>
      </c>
      <c r="F206" s="7">
        <v>1</v>
      </c>
      <c r="G206" s="7">
        <v>0</v>
      </c>
      <c r="H206" s="8">
        <v>2</v>
      </c>
      <c r="J206" s="12">
        <v>43</v>
      </c>
    </row>
    <row r="207" spans="2:10">
      <c r="B207" s="6">
        <v>41295</v>
      </c>
      <c r="C207" s="16"/>
      <c r="D207" s="7">
        <v>0</v>
      </c>
      <c r="E207" s="7">
        <v>0</v>
      </c>
      <c r="F207" s="7">
        <v>0</v>
      </c>
      <c r="G207" s="7">
        <v>0</v>
      </c>
      <c r="H207" s="8">
        <v>1</v>
      </c>
      <c r="J207" s="12">
        <v>38</v>
      </c>
    </row>
    <row r="208" spans="2:10">
      <c r="B208" s="6">
        <v>41296</v>
      </c>
      <c r="C208" s="16"/>
      <c r="D208" s="7">
        <v>0</v>
      </c>
      <c r="E208" s="7">
        <v>0</v>
      </c>
      <c r="F208" s="7">
        <v>0</v>
      </c>
      <c r="G208" s="7">
        <v>0</v>
      </c>
      <c r="H208" s="8">
        <v>1</v>
      </c>
      <c r="J208" s="12">
        <v>21</v>
      </c>
    </row>
    <row r="209" spans="2:10">
      <c r="B209" s="6">
        <v>41297</v>
      </c>
      <c r="C209" s="16"/>
      <c r="D209" s="7">
        <v>0</v>
      </c>
      <c r="E209" s="7">
        <v>0</v>
      </c>
      <c r="F209" s="7">
        <v>0</v>
      </c>
      <c r="G209" s="7">
        <v>0</v>
      </c>
      <c r="H209" s="8">
        <v>1</v>
      </c>
      <c r="J209" s="12">
        <v>37</v>
      </c>
    </row>
    <row r="210" spans="2:10">
      <c r="B210" s="6">
        <v>41298</v>
      </c>
      <c r="C210" s="16"/>
      <c r="D210" s="7">
        <v>0</v>
      </c>
      <c r="E210" s="7">
        <v>0</v>
      </c>
      <c r="F210" s="7">
        <v>0</v>
      </c>
      <c r="G210" s="7">
        <v>0</v>
      </c>
      <c r="H210" s="8">
        <v>1</v>
      </c>
      <c r="J210" s="12">
        <v>29</v>
      </c>
    </row>
    <row r="211" spans="2:10">
      <c r="B211" s="6">
        <v>41299</v>
      </c>
      <c r="C211" s="16"/>
      <c r="D211" s="7">
        <v>0</v>
      </c>
      <c r="E211" s="7">
        <v>0</v>
      </c>
      <c r="F211" s="7">
        <v>1</v>
      </c>
      <c r="G211" s="7">
        <v>0</v>
      </c>
      <c r="H211" s="8">
        <v>2</v>
      </c>
      <c r="J211" s="12">
        <v>43</v>
      </c>
    </row>
    <row r="212" spans="2:10">
      <c r="B212" s="6">
        <v>41300</v>
      </c>
      <c r="C212" s="16"/>
      <c r="D212" s="7">
        <v>0</v>
      </c>
      <c r="E212" s="7">
        <v>0</v>
      </c>
      <c r="F212" s="7">
        <v>2</v>
      </c>
      <c r="G212" s="7">
        <v>1</v>
      </c>
      <c r="H212" s="8">
        <v>6</v>
      </c>
      <c r="J212" s="12">
        <v>56</v>
      </c>
    </row>
    <row r="213" spans="2:10">
      <c r="B213" s="6">
        <v>41301</v>
      </c>
      <c r="C213" s="16"/>
      <c r="D213" s="7">
        <v>0</v>
      </c>
      <c r="E213" s="7">
        <v>0</v>
      </c>
      <c r="F213" s="7">
        <v>1</v>
      </c>
      <c r="G213" s="7">
        <v>1</v>
      </c>
      <c r="H213" s="8">
        <v>4</v>
      </c>
      <c r="J213" s="12">
        <v>50</v>
      </c>
    </row>
    <row r="214" spans="2:10">
      <c r="B214" s="6">
        <v>41302</v>
      </c>
      <c r="C214" s="16"/>
      <c r="D214" s="7">
        <v>0</v>
      </c>
      <c r="E214" s="7">
        <v>0</v>
      </c>
      <c r="F214" s="7">
        <v>1</v>
      </c>
      <c r="G214" s="7">
        <v>0</v>
      </c>
      <c r="H214" s="8">
        <v>2</v>
      </c>
      <c r="J214" s="12">
        <v>42</v>
      </c>
    </row>
    <row r="215" spans="2:10">
      <c r="B215" s="6">
        <v>41303</v>
      </c>
      <c r="C215" s="16"/>
      <c r="D215" s="7">
        <v>0</v>
      </c>
      <c r="E215" s="7">
        <v>0</v>
      </c>
      <c r="F215" s="7">
        <v>1</v>
      </c>
      <c r="G215" s="7">
        <v>0</v>
      </c>
      <c r="H215" s="8">
        <v>2</v>
      </c>
      <c r="J215" s="12">
        <v>42</v>
      </c>
    </row>
    <row r="216" spans="2:10">
      <c r="B216" s="6">
        <v>41304</v>
      </c>
      <c r="C216" s="16"/>
      <c r="D216" s="7">
        <v>0</v>
      </c>
      <c r="E216" s="7">
        <v>0</v>
      </c>
      <c r="F216" s="7">
        <v>1</v>
      </c>
      <c r="G216" s="7">
        <v>0</v>
      </c>
      <c r="H216" s="8">
        <v>2</v>
      </c>
      <c r="J216" s="12">
        <v>45</v>
      </c>
    </row>
    <row r="217" spans="2:10">
      <c r="B217" s="6">
        <v>41305</v>
      </c>
      <c r="C217" s="16"/>
      <c r="D217" s="7">
        <v>0</v>
      </c>
      <c r="E217" s="7">
        <v>0</v>
      </c>
      <c r="F217" s="7">
        <v>2</v>
      </c>
      <c r="G217" s="7">
        <v>1</v>
      </c>
      <c r="H217" s="8">
        <v>6</v>
      </c>
      <c r="J217" s="12">
        <v>39</v>
      </c>
    </row>
    <row r="218" spans="2:10">
      <c r="B218" s="6">
        <v>41306</v>
      </c>
      <c r="C218" s="16"/>
      <c r="D218" s="7">
        <v>0</v>
      </c>
      <c r="E218" s="7">
        <v>0</v>
      </c>
      <c r="F218" s="7">
        <v>1</v>
      </c>
      <c r="G218" s="7">
        <v>1</v>
      </c>
      <c r="H218" s="8">
        <v>4</v>
      </c>
      <c r="J218" s="12">
        <v>48</v>
      </c>
    </row>
    <row r="219" spans="2:10">
      <c r="B219" s="6">
        <v>41307</v>
      </c>
      <c r="C219" s="16"/>
      <c r="D219" s="7">
        <v>0</v>
      </c>
      <c r="E219" s="7">
        <v>0</v>
      </c>
      <c r="F219" s="7">
        <v>2</v>
      </c>
      <c r="G219" s="7">
        <v>1</v>
      </c>
      <c r="H219" s="8">
        <v>6</v>
      </c>
      <c r="J219" s="12">
        <v>48</v>
      </c>
    </row>
    <row r="220" spans="2:10">
      <c r="B220" s="6">
        <v>41308</v>
      </c>
      <c r="C220" s="16"/>
      <c r="D220" s="7">
        <v>0</v>
      </c>
      <c r="E220" s="7">
        <v>0</v>
      </c>
      <c r="F220" s="7">
        <v>1</v>
      </c>
      <c r="G220" s="7">
        <v>1</v>
      </c>
      <c r="H220" s="8">
        <v>4</v>
      </c>
      <c r="J220" s="12">
        <v>41</v>
      </c>
    </row>
    <row r="221" spans="2:10">
      <c r="B221" s="6">
        <v>41309</v>
      </c>
      <c r="C221" s="16"/>
      <c r="D221" s="7">
        <v>0</v>
      </c>
      <c r="E221" s="7">
        <v>0</v>
      </c>
      <c r="F221" s="7">
        <v>1</v>
      </c>
      <c r="G221" s="7">
        <v>0</v>
      </c>
      <c r="H221" s="8">
        <v>2</v>
      </c>
      <c r="J221" s="12">
        <v>30</v>
      </c>
    </row>
    <row r="222" spans="2:10">
      <c r="B222" s="6">
        <v>41310</v>
      </c>
      <c r="C222" s="16"/>
      <c r="D222" s="7">
        <v>0</v>
      </c>
      <c r="E222" s="7">
        <v>0</v>
      </c>
      <c r="F222" s="7">
        <v>1</v>
      </c>
      <c r="G222" s="7">
        <v>0</v>
      </c>
      <c r="H222" s="8">
        <v>2</v>
      </c>
      <c r="J222" s="12">
        <v>29</v>
      </c>
    </row>
    <row r="223" spans="2:10">
      <c r="B223" s="6">
        <v>41311</v>
      </c>
      <c r="C223" s="16"/>
      <c r="D223" s="7">
        <v>0</v>
      </c>
      <c r="E223" s="7">
        <v>0</v>
      </c>
      <c r="F223" s="7">
        <v>0</v>
      </c>
      <c r="G223" s="7">
        <v>0</v>
      </c>
      <c r="H223" s="8">
        <v>1</v>
      </c>
      <c r="J223" s="12">
        <v>21</v>
      </c>
    </row>
    <row r="224" spans="2:10">
      <c r="B224" s="6">
        <v>41312</v>
      </c>
      <c r="C224" s="16"/>
      <c r="D224" s="7">
        <v>0</v>
      </c>
      <c r="E224" s="7">
        <v>0</v>
      </c>
      <c r="F224" s="7">
        <v>0</v>
      </c>
      <c r="G224" s="7">
        <v>0</v>
      </c>
      <c r="H224" s="8">
        <v>1</v>
      </c>
      <c r="J224" s="12">
        <v>25</v>
      </c>
    </row>
    <row r="225" spans="2:10">
      <c r="B225" s="6">
        <v>41313</v>
      </c>
      <c r="C225" s="16"/>
      <c r="D225" s="7">
        <v>0</v>
      </c>
      <c r="E225" s="7">
        <v>0</v>
      </c>
      <c r="F225" s="7">
        <v>1</v>
      </c>
      <c r="G225" s="7">
        <v>0</v>
      </c>
      <c r="H225" s="8">
        <v>2</v>
      </c>
      <c r="J225" s="12">
        <v>40</v>
      </c>
    </row>
    <row r="226" spans="2:10">
      <c r="B226" s="6">
        <v>41314</v>
      </c>
      <c r="C226" s="16"/>
      <c r="D226" s="7">
        <v>0</v>
      </c>
      <c r="E226" s="7">
        <v>0</v>
      </c>
      <c r="F226" s="7">
        <v>2</v>
      </c>
      <c r="G226" s="7">
        <v>1</v>
      </c>
      <c r="H226" s="8">
        <v>6</v>
      </c>
      <c r="J226" s="12">
        <v>36</v>
      </c>
    </row>
    <row r="227" spans="2:10">
      <c r="B227" s="6">
        <v>41315</v>
      </c>
      <c r="C227" s="16"/>
      <c r="D227" s="7">
        <v>0</v>
      </c>
      <c r="E227" s="7">
        <v>0</v>
      </c>
      <c r="F227" s="7">
        <v>2</v>
      </c>
      <c r="G227" s="7">
        <v>2</v>
      </c>
      <c r="H227" s="8">
        <v>9</v>
      </c>
      <c r="J227" s="12">
        <v>44</v>
      </c>
    </row>
    <row r="228" spans="2:10">
      <c r="B228" s="6">
        <v>41316</v>
      </c>
      <c r="C228" s="16"/>
      <c r="D228" s="7">
        <v>0</v>
      </c>
      <c r="E228" s="7">
        <v>0</v>
      </c>
      <c r="F228" s="7">
        <v>0</v>
      </c>
      <c r="G228" s="7">
        <v>0</v>
      </c>
      <c r="H228" s="8">
        <v>1</v>
      </c>
      <c r="J228" s="12">
        <v>38</v>
      </c>
    </row>
    <row r="229" spans="2:10">
      <c r="B229" s="6">
        <v>41317</v>
      </c>
      <c r="C229" s="16"/>
      <c r="D229" s="7">
        <v>0</v>
      </c>
      <c r="E229" s="7">
        <v>0</v>
      </c>
      <c r="F229" s="7">
        <v>0</v>
      </c>
      <c r="G229" s="7">
        <v>0</v>
      </c>
      <c r="H229" s="8">
        <v>1</v>
      </c>
      <c r="J229" s="12">
        <v>43</v>
      </c>
    </row>
    <row r="230" spans="2:10">
      <c r="B230" s="6">
        <v>41318</v>
      </c>
      <c r="C230" s="16"/>
      <c r="D230" s="7">
        <v>0</v>
      </c>
      <c r="E230" s="7">
        <v>0</v>
      </c>
      <c r="F230" s="7">
        <v>0</v>
      </c>
      <c r="G230" s="7">
        <v>0</v>
      </c>
      <c r="H230" s="8">
        <v>1</v>
      </c>
      <c r="J230" s="12">
        <v>39</v>
      </c>
    </row>
    <row r="231" spans="2:10">
      <c r="B231" s="6">
        <v>41319</v>
      </c>
      <c r="C231" s="16"/>
      <c r="D231" s="7">
        <v>0</v>
      </c>
      <c r="E231" s="7">
        <v>0</v>
      </c>
      <c r="F231" s="7">
        <v>0</v>
      </c>
      <c r="G231" s="7">
        <v>0</v>
      </c>
      <c r="H231" s="8">
        <v>1</v>
      </c>
      <c r="J231" s="12">
        <v>43</v>
      </c>
    </row>
    <row r="232" spans="2:10">
      <c r="B232" s="6">
        <v>41320</v>
      </c>
      <c r="C232" s="16"/>
      <c r="D232" s="7">
        <v>0</v>
      </c>
      <c r="E232" s="7">
        <v>0</v>
      </c>
      <c r="F232" s="7">
        <v>0</v>
      </c>
      <c r="G232" s="7">
        <v>0</v>
      </c>
      <c r="H232" s="8">
        <v>1</v>
      </c>
      <c r="J232" s="12">
        <v>46</v>
      </c>
    </row>
    <row r="233" spans="2:10">
      <c r="B233" s="6">
        <v>41321</v>
      </c>
      <c r="C233" s="16"/>
      <c r="D233" s="7">
        <v>0</v>
      </c>
      <c r="E233" s="7">
        <v>0</v>
      </c>
      <c r="F233" s="7">
        <v>1</v>
      </c>
      <c r="G233" s="7">
        <v>1</v>
      </c>
      <c r="H233" s="8">
        <v>4</v>
      </c>
      <c r="J233" s="12">
        <v>52</v>
      </c>
    </row>
    <row r="234" spans="2:10">
      <c r="B234" s="6">
        <v>41322</v>
      </c>
      <c r="C234" s="16"/>
      <c r="D234" s="7">
        <v>0</v>
      </c>
      <c r="E234" s="7">
        <v>0</v>
      </c>
      <c r="F234" s="7">
        <v>1</v>
      </c>
      <c r="G234" s="7">
        <v>0</v>
      </c>
      <c r="H234" s="8">
        <v>2</v>
      </c>
      <c r="J234" s="12">
        <v>47</v>
      </c>
    </row>
    <row r="235" spans="2:10">
      <c r="B235" s="6">
        <v>41323</v>
      </c>
      <c r="C235" s="16"/>
      <c r="D235" s="7">
        <v>0</v>
      </c>
      <c r="E235" s="7">
        <v>0</v>
      </c>
      <c r="F235" s="7">
        <v>0</v>
      </c>
      <c r="G235" s="7">
        <v>0</v>
      </c>
      <c r="H235" s="8">
        <v>1</v>
      </c>
      <c r="J235" s="12">
        <v>41</v>
      </c>
    </row>
    <row r="236" spans="2:10">
      <c r="B236" s="6">
        <v>41324</v>
      </c>
      <c r="C236" s="16"/>
      <c r="D236" s="7">
        <v>0</v>
      </c>
      <c r="E236" s="7">
        <v>0</v>
      </c>
      <c r="F236" s="7">
        <v>0</v>
      </c>
      <c r="G236" s="7">
        <v>0</v>
      </c>
      <c r="H236" s="8">
        <v>1</v>
      </c>
      <c r="J236" s="12">
        <v>36</v>
      </c>
    </row>
    <row r="237" spans="2:10">
      <c r="B237" s="6">
        <v>41325</v>
      </c>
      <c r="C237" s="16"/>
      <c r="D237" s="7">
        <v>0</v>
      </c>
      <c r="E237" s="7">
        <v>0</v>
      </c>
      <c r="F237" s="7">
        <v>0</v>
      </c>
      <c r="G237" s="7">
        <v>0</v>
      </c>
      <c r="H237" s="8">
        <v>1</v>
      </c>
      <c r="J237" s="12">
        <v>43</v>
      </c>
    </row>
    <row r="238" spans="2:10">
      <c r="B238" s="6">
        <v>41326</v>
      </c>
      <c r="C238" s="16"/>
      <c r="D238" s="7">
        <v>0</v>
      </c>
      <c r="E238" s="7">
        <v>0</v>
      </c>
      <c r="F238" s="7">
        <v>0</v>
      </c>
      <c r="G238" s="7">
        <v>0</v>
      </c>
      <c r="H238" s="8">
        <v>1</v>
      </c>
      <c r="J238" s="12">
        <v>37</v>
      </c>
    </row>
    <row r="239" spans="2:10">
      <c r="B239" s="6">
        <v>41327</v>
      </c>
      <c r="C239" s="16"/>
      <c r="D239" s="7">
        <v>0</v>
      </c>
      <c r="E239" s="7">
        <v>0</v>
      </c>
      <c r="F239" s="7">
        <v>1</v>
      </c>
      <c r="G239" s="7">
        <v>1</v>
      </c>
      <c r="H239" s="8">
        <v>4</v>
      </c>
      <c r="J239" s="12">
        <v>52</v>
      </c>
    </row>
    <row r="240" spans="2:10">
      <c r="B240" s="6">
        <v>41328</v>
      </c>
      <c r="C240" s="16"/>
      <c r="D240" s="7">
        <v>0</v>
      </c>
      <c r="E240" s="7">
        <v>0</v>
      </c>
      <c r="F240" s="7">
        <v>3</v>
      </c>
      <c r="G240" s="7">
        <v>2</v>
      </c>
      <c r="H240" s="8">
        <v>12</v>
      </c>
      <c r="J240" s="12">
        <v>56</v>
      </c>
    </row>
    <row r="241" spans="2:10">
      <c r="B241" s="6">
        <v>41329</v>
      </c>
      <c r="C241" s="16"/>
      <c r="D241" s="7">
        <v>0</v>
      </c>
      <c r="E241" s="7">
        <v>0</v>
      </c>
      <c r="F241" s="7">
        <v>2</v>
      </c>
      <c r="G241" s="7">
        <v>1</v>
      </c>
      <c r="H241" s="8">
        <v>6</v>
      </c>
      <c r="J241" s="12">
        <v>58</v>
      </c>
    </row>
    <row r="242" spans="2:10">
      <c r="B242" s="6">
        <v>41330</v>
      </c>
      <c r="C242" s="16"/>
      <c r="D242" s="7">
        <v>0</v>
      </c>
      <c r="E242" s="7">
        <v>0</v>
      </c>
      <c r="F242" s="7">
        <v>1</v>
      </c>
      <c r="G242" s="7">
        <v>1</v>
      </c>
      <c r="H242" s="8">
        <v>4</v>
      </c>
      <c r="J242" s="12">
        <v>66</v>
      </c>
    </row>
    <row r="243" spans="2:10">
      <c r="B243" s="6">
        <v>41331</v>
      </c>
      <c r="C243" s="16"/>
      <c r="D243" s="7">
        <v>0</v>
      </c>
      <c r="E243" s="7">
        <v>0</v>
      </c>
      <c r="F243" s="7">
        <v>1</v>
      </c>
      <c r="G243" s="7">
        <v>1</v>
      </c>
      <c r="H243" s="8">
        <v>4</v>
      </c>
      <c r="J243" s="12">
        <v>61</v>
      </c>
    </row>
    <row r="244" spans="2:10">
      <c r="B244" s="6">
        <v>41332</v>
      </c>
      <c r="C244" s="16"/>
      <c r="D244" s="7">
        <v>0</v>
      </c>
      <c r="E244" s="7">
        <v>0</v>
      </c>
      <c r="F244" s="7">
        <v>1</v>
      </c>
      <c r="G244" s="7">
        <v>1</v>
      </c>
      <c r="H244" s="8">
        <v>4</v>
      </c>
      <c r="J244" s="12">
        <v>60</v>
      </c>
    </row>
    <row r="245" spans="2:10">
      <c r="B245" s="6">
        <v>41333</v>
      </c>
      <c r="C245" s="16"/>
      <c r="D245" s="7">
        <v>0</v>
      </c>
      <c r="E245" s="7">
        <v>0</v>
      </c>
      <c r="F245" s="7">
        <v>2</v>
      </c>
      <c r="G245" s="7">
        <v>1</v>
      </c>
      <c r="H245" s="8">
        <v>6</v>
      </c>
      <c r="J245" s="12">
        <v>66</v>
      </c>
    </row>
    <row r="246" spans="2:10">
      <c r="B246" s="6">
        <v>41334</v>
      </c>
      <c r="C246" s="16"/>
      <c r="D246" s="7">
        <v>0</v>
      </c>
      <c r="E246" s="7">
        <v>0</v>
      </c>
      <c r="F246" s="7">
        <v>1</v>
      </c>
      <c r="G246" s="7">
        <v>1</v>
      </c>
      <c r="H246" s="8">
        <v>4</v>
      </c>
      <c r="J246" s="12">
        <v>55</v>
      </c>
    </row>
    <row r="247" spans="2:10">
      <c r="B247" s="6">
        <v>41335</v>
      </c>
      <c r="C247" s="16"/>
      <c r="D247" s="7">
        <v>0</v>
      </c>
      <c r="E247" s="7">
        <v>0</v>
      </c>
      <c r="F247" s="7">
        <v>2</v>
      </c>
      <c r="G247" s="7">
        <v>1</v>
      </c>
      <c r="H247" s="8">
        <v>6</v>
      </c>
      <c r="J247" s="12">
        <v>58</v>
      </c>
    </row>
    <row r="248" spans="2:10">
      <c r="B248" s="6">
        <v>41336</v>
      </c>
      <c r="C248" s="16"/>
      <c r="D248" s="7">
        <v>0</v>
      </c>
      <c r="E248" s="7">
        <v>0</v>
      </c>
      <c r="F248" s="7">
        <v>1</v>
      </c>
      <c r="G248" s="7">
        <v>1</v>
      </c>
      <c r="H248" s="8">
        <v>4</v>
      </c>
      <c r="J248" s="12">
        <v>46</v>
      </c>
    </row>
    <row r="249" spans="2:10">
      <c r="B249" s="6">
        <v>41337</v>
      </c>
      <c r="C249" s="16"/>
      <c r="D249" s="7">
        <v>0</v>
      </c>
      <c r="E249" s="7">
        <v>0</v>
      </c>
      <c r="F249" s="7">
        <v>0</v>
      </c>
      <c r="G249" s="7">
        <v>0</v>
      </c>
      <c r="H249" s="8">
        <v>1</v>
      </c>
      <c r="J249" s="12">
        <v>50</v>
      </c>
    </row>
    <row r="250" spans="2:10">
      <c r="B250" s="6">
        <v>41338</v>
      </c>
      <c r="C250" s="16"/>
      <c r="D250" s="7">
        <v>0</v>
      </c>
      <c r="E250" s="7">
        <v>0</v>
      </c>
      <c r="F250" s="7">
        <v>0</v>
      </c>
      <c r="G250" s="7">
        <v>0</v>
      </c>
      <c r="H250" s="8">
        <v>1</v>
      </c>
      <c r="J250" s="12">
        <v>43</v>
      </c>
    </row>
    <row r="251" spans="2:10">
      <c r="B251" s="6">
        <v>41339</v>
      </c>
      <c r="C251" s="16"/>
      <c r="D251" s="7">
        <v>0</v>
      </c>
      <c r="E251" s="7">
        <v>0</v>
      </c>
      <c r="F251" s="7">
        <v>0</v>
      </c>
      <c r="G251" s="7">
        <v>0</v>
      </c>
      <c r="H251" s="8">
        <v>1</v>
      </c>
      <c r="J251" s="12">
        <v>34</v>
      </c>
    </row>
    <row r="252" spans="2:10">
      <c r="B252" s="6">
        <v>41340</v>
      </c>
      <c r="C252" s="16"/>
      <c r="D252" s="7">
        <v>0</v>
      </c>
      <c r="E252" s="7">
        <v>0</v>
      </c>
      <c r="F252" s="7">
        <v>0</v>
      </c>
      <c r="G252" s="7">
        <v>0</v>
      </c>
      <c r="H252" s="8">
        <v>1</v>
      </c>
      <c r="J252" s="12">
        <v>40</v>
      </c>
    </row>
    <row r="253" spans="2:10">
      <c r="B253" s="6">
        <v>41341</v>
      </c>
      <c r="C253" s="16"/>
      <c r="D253" s="7">
        <v>0</v>
      </c>
      <c r="E253" s="7">
        <v>0</v>
      </c>
      <c r="F253" s="7">
        <v>0</v>
      </c>
      <c r="G253" s="7">
        <v>0</v>
      </c>
      <c r="H253" s="8">
        <v>1</v>
      </c>
      <c r="J253" s="12">
        <v>46</v>
      </c>
    </row>
    <row r="254" spans="2:10">
      <c r="B254" s="6">
        <v>41342</v>
      </c>
      <c r="C254" s="16"/>
      <c r="D254" s="7">
        <v>0</v>
      </c>
      <c r="E254" s="7">
        <v>0</v>
      </c>
      <c r="F254" s="7">
        <v>1</v>
      </c>
      <c r="G254" s="7">
        <v>1</v>
      </c>
      <c r="H254" s="8">
        <v>4</v>
      </c>
      <c r="J254" s="12">
        <v>45</v>
      </c>
    </row>
    <row r="255" spans="2:10">
      <c r="B255" s="6">
        <v>41343</v>
      </c>
      <c r="C255" s="16"/>
      <c r="D255" s="7">
        <v>0</v>
      </c>
      <c r="E255" s="7">
        <v>0</v>
      </c>
      <c r="F255" s="7">
        <v>1</v>
      </c>
      <c r="G255" s="7">
        <v>1</v>
      </c>
      <c r="H255" s="8">
        <v>4</v>
      </c>
      <c r="J255" s="12">
        <v>50</v>
      </c>
    </row>
    <row r="256" spans="2:10">
      <c r="B256" s="6">
        <v>41344</v>
      </c>
      <c r="C256" s="16"/>
      <c r="D256" s="7">
        <v>0</v>
      </c>
      <c r="E256" s="7">
        <v>0</v>
      </c>
      <c r="F256" s="7">
        <v>0</v>
      </c>
      <c r="G256" s="7">
        <v>0</v>
      </c>
      <c r="H256" s="8">
        <v>1</v>
      </c>
      <c r="J256" s="12">
        <v>50</v>
      </c>
    </row>
    <row r="257" spans="2:10">
      <c r="B257" s="6">
        <v>41345</v>
      </c>
      <c r="C257" s="16"/>
      <c r="D257" s="7">
        <v>0</v>
      </c>
      <c r="E257" s="7">
        <v>0</v>
      </c>
      <c r="F257" s="7">
        <v>0</v>
      </c>
      <c r="G257" s="7">
        <v>0</v>
      </c>
      <c r="H257" s="8">
        <v>1</v>
      </c>
      <c r="J257" s="12">
        <v>53</v>
      </c>
    </row>
    <row r="258" spans="2:10">
      <c r="B258" s="6">
        <v>41346</v>
      </c>
      <c r="C258" s="16"/>
      <c r="D258" s="7">
        <v>0</v>
      </c>
      <c r="E258" s="7">
        <v>0</v>
      </c>
      <c r="F258" s="7">
        <v>0</v>
      </c>
      <c r="G258" s="7">
        <v>0</v>
      </c>
      <c r="H258" s="8">
        <v>1</v>
      </c>
      <c r="J258" s="12">
        <v>49</v>
      </c>
    </row>
    <row r="259" spans="2:10">
      <c r="B259" s="6">
        <v>41347</v>
      </c>
      <c r="C259" s="16"/>
      <c r="D259" s="7">
        <v>0</v>
      </c>
      <c r="E259" s="7">
        <v>0</v>
      </c>
      <c r="F259" s="7">
        <v>0</v>
      </c>
      <c r="G259" s="7">
        <v>0</v>
      </c>
      <c r="H259" s="8">
        <v>1</v>
      </c>
      <c r="J259" s="12">
        <v>43</v>
      </c>
    </row>
    <row r="260" spans="2:10">
      <c r="B260" s="6">
        <v>41348</v>
      </c>
      <c r="C260" s="16"/>
      <c r="D260" s="7">
        <v>0</v>
      </c>
      <c r="E260" s="7">
        <v>0</v>
      </c>
      <c r="F260" s="7">
        <v>2</v>
      </c>
      <c r="G260" s="7">
        <v>1</v>
      </c>
      <c r="H260" s="8">
        <v>6</v>
      </c>
      <c r="J260" s="12">
        <v>73</v>
      </c>
    </row>
    <row r="261" spans="2:10">
      <c r="B261" s="6">
        <v>41349</v>
      </c>
      <c r="C261" s="16"/>
      <c r="D261" s="7">
        <v>0</v>
      </c>
      <c r="E261" s="7">
        <v>0</v>
      </c>
      <c r="F261" s="7">
        <v>3</v>
      </c>
      <c r="G261" s="7">
        <v>2</v>
      </c>
      <c r="H261" s="8">
        <v>12</v>
      </c>
      <c r="J261" s="12">
        <v>66</v>
      </c>
    </row>
    <row r="262" spans="2:10">
      <c r="B262" s="6">
        <v>41350</v>
      </c>
      <c r="C262" s="16"/>
      <c r="D262" s="7">
        <v>0</v>
      </c>
      <c r="E262" s="7">
        <v>0</v>
      </c>
      <c r="F262" s="7">
        <v>2</v>
      </c>
      <c r="G262" s="7">
        <v>2</v>
      </c>
      <c r="H262" s="8">
        <v>9</v>
      </c>
      <c r="J262" s="12">
        <v>59</v>
      </c>
    </row>
    <row r="263" spans="2:10">
      <c r="B263" s="6">
        <v>41351</v>
      </c>
      <c r="C263" s="16"/>
      <c r="D263" s="7">
        <v>0</v>
      </c>
      <c r="E263" s="7">
        <v>0</v>
      </c>
      <c r="F263" s="7">
        <v>2</v>
      </c>
      <c r="G263" s="7">
        <v>2</v>
      </c>
      <c r="H263" s="8">
        <v>9</v>
      </c>
      <c r="J263" s="12">
        <v>73</v>
      </c>
    </row>
    <row r="264" spans="2:10">
      <c r="B264" s="6">
        <v>41352</v>
      </c>
      <c r="C264" s="16"/>
      <c r="D264" s="7">
        <v>0</v>
      </c>
      <c r="E264" s="7">
        <v>0</v>
      </c>
      <c r="F264" s="7">
        <v>2</v>
      </c>
      <c r="G264" s="7">
        <v>2</v>
      </c>
      <c r="H264" s="8">
        <v>9</v>
      </c>
      <c r="J264" s="12">
        <v>68</v>
      </c>
    </row>
    <row r="265" spans="2:10">
      <c r="B265" s="6">
        <v>41353</v>
      </c>
      <c r="C265" s="16"/>
      <c r="D265" s="7">
        <v>0</v>
      </c>
      <c r="E265" s="7">
        <v>0</v>
      </c>
      <c r="F265" s="7">
        <v>5</v>
      </c>
      <c r="G265" s="7">
        <v>4</v>
      </c>
      <c r="H265" s="8">
        <v>30</v>
      </c>
      <c r="J265" s="12">
        <v>74</v>
      </c>
    </row>
    <row r="266" spans="2:10">
      <c r="B266" s="6">
        <v>41354</v>
      </c>
      <c r="C266" s="16"/>
      <c r="D266" s="7">
        <v>0</v>
      </c>
      <c r="E266" s="7">
        <v>0</v>
      </c>
      <c r="F266" s="7">
        <v>5</v>
      </c>
      <c r="G266" s="7">
        <v>4</v>
      </c>
      <c r="H266" s="8">
        <v>30</v>
      </c>
      <c r="J266" s="12">
        <v>71</v>
      </c>
    </row>
    <row r="267" spans="2:10">
      <c r="B267" s="6">
        <v>41355</v>
      </c>
      <c r="C267" s="16"/>
      <c r="D267" s="7">
        <v>0</v>
      </c>
      <c r="E267" s="7">
        <v>0</v>
      </c>
      <c r="F267" s="7">
        <v>4</v>
      </c>
      <c r="G267" s="7">
        <v>3</v>
      </c>
      <c r="H267" s="8">
        <v>20</v>
      </c>
      <c r="J267" s="12">
        <v>65</v>
      </c>
    </row>
    <row r="268" spans="2:10">
      <c r="B268" s="6">
        <v>41356</v>
      </c>
      <c r="C268" s="16"/>
      <c r="D268" s="7">
        <v>0</v>
      </c>
      <c r="E268" s="7">
        <v>0</v>
      </c>
      <c r="F268" s="7">
        <v>5</v>
      </c>
      <c r="G268" s="7">
        <v>4</v>
      </c>
      <c r="H268" s="8">
        <v>30</v>
      </c>
      <c r="J268" s="12">
        <v>60</v>
      </c>
    </row>
    <row r="269" spans="2:10">
      <c r="B269" s="6">
        <v>41357</v>
      </c>
      <c r="C269" s="16"/>
      <c r="D269" s="7">
        <v>0</v>
      </c>
      <c r="E269" s="7">
        <v>0</v>
      </c>
      <c r="F269" s="7">
        <v>4</v>
      </c>
      <c r="G269" s="7">
        <v>3</v>
      </c>
      <c r="H269" s="8">
        <v>20</v>
      </c>
      <c r="J269" s="12">
        <v>66</v>
      </c>
    </row>
    <row r="270" spans="2:10">
      <c r="B270" s="6">
        <v>41358</v>
      </c>
      <c r="C270" s="16"/>
      <c r="D270" s="7">
        <v>0</v>
      </c>
      <c r="E270" s="7">
        <v>0</v>
      </c>
      <c r="F270" s="7">
        <v>3</v>
      </c>
      <c r="G270" s="7">
        <v>3</v>
      </c>
      <c r="H270" s="8">
        <v>16</v>
      </c>
      <c r="J270" s="12">
        <v>76</v>
      </c>
    </row>
    <row r="271" spans="2:10">
      <c r="B271" s="6">
        <v>41359</v>
      </c>
      <c r="C271" s="16"/>
      <c r="D271" s="7">
        <v>0</v>
      </c>
      <c r="E271" s="7">
        <v>0</v>
      </c>
      <c r="F271" s="7">
        <v>3</v>
      </c>
      <c r="G271" s="7">
        <v>3</v>
      </c>
      <c r="H271" s="8">
        <v>16</v>
      </c>
      <c r="J271" s="12">
        <v>81</v>
      </c>
    </row>
    <row r="272" spans="2:10">
      <c r="B272" s="6">
        <v>41360</v>
      </c>
      <c r="C272" s="16"/>
      <c r="D272" s="7">
        <v>0</v>
      </c>
      <c r="E272" s="7">
        <v>0</v>
      </c>
      <c r="F272" s="7">
        <v>4</v>
      </c>
      <c r="G272" s="7">
        <v>3</v>
      </c>
      <c r="H272" s="8">
        <v>20</v>
      </c>
      <c r="J272" s="12">
        <v>74</v>
      </c>
    </row>
    <row r="273" spans="2:10">
      <c r="B273" s="6">
        <v>41361</v>
      </c>
      <c r="C273" s="16"/>
      <c r="D273" s="7">
        <v>0</v>
      </c>
      <c r="E273" s="7">
        <v>0</v>
      </c>
      <c r="F273" s="7">
        <v>4</v>
      </c>
      <c r="G273" s="7">
        <v>4</v>
      </c>
      <c r="H273" s="8">
        <v>25</v>
      </c>
      <c r="J273" s="12">
        <v>83</v>
      </c>
    </row>
    <row r="274" spans="2:10">
      <c r="B274" s="6">
        <v>41362</v>
      </c>
      <c r="C274" s="16"/>
      <c r="D274" s="7">
        <v>0</v>
      </c>
      <c r="E274" s="7">
        <v>0</v>
      </c>
      <c r="F274" s="7">
        <v>4</v>
      </c>
      <c r="G274" s="7">
        <v>4</v>
      </c>
      <c r="H274" s="8">
        <v>25</v>
      </c>
      <c r="J274" s="12">
        <v>71</v>
      </c>
    </row>
    <row r="275" spans="2:10">
      <c r="B275" s="6">
        <v>41363</v>
      </c>
      <c r="C275" s="16"/>
      <c r="D275" s="7">
        <v>0</v>
      </c>
      <c r="E275" s="7">
        <v>0</v>
      </c>
      <c r="F275" s="7">
        <v>5</v>
      </c>
      <c r="G275" s="7">
        <v>5</v>
      </c>
      <c r="H275" s="8">
        <v>36</v>
      </c>
      <c r="J275" s="12">
        <v>84</v>
      </c>
    </row>
    <row r="276" spans="2:10">
      <c r="B276" s="6">
        <v>41364</v>
      </c>
      <c r="C276" s="16"/>
      <c r="D276" s="7">
        <v>0</v>
      </c>
      <c r="E276" s="7">
        <v>0</v>
      </c>
      <c r="F276" s="7">
        <v>5</v>
      </c>
      <c r="G276" s="7">
        <v>4</v>
      </c>
      <c r="H276" s="8">
        <v>30</v>
      </c>
      <c r="J276" s="12">
        <v>69</v>
      </c>
    </row>
    <row r="277" spans="2:10">
      <c r="B277" s="6">
        <v>41365</v>
      </c>
      <c r="C277" s="16"/>
      <c r="D277" s="7">
        <v>0</v>
      </c>
      <c r="E277" s="7">
        <v>0</v>
      </c>
      <c r="F277" s="7">
        <v>4</v>
      </c>
      <c r="G277" s="7">
        <v>2</v>
      </c>
      <c r="H277" s="8">
        <v>15</v>
      </c>
      <c r="J277" s="12">
        <v>67</v>
      </c>
    </row>
    <row r="278" spans="2:10">
      <c r="B278" s="6">
        <v>41366</v>
      </c>
      <c r="C278" s="16"/>
      <c r="D278" s="7">
        <v>0</v>
      </c>
      <c r="E278" s="7">
        <v>0</v>
      </c>
      <c r="F278" s="7">
        <v>2</v>
      </c>
      <c r="G278" s="7">
        <v>1</v>
      </c>
      <c r="H278" s="8">
        <v>6</v>
      </c>
      <c r="J278" s="12">
        <v>55</v>
      </c>
    </row>
    <row r="279" spans="2:10">
      <c r="B279" s="6">
        <v>41367</v>
      </c>
      <c r="C279" s="16"/>
      <c r="D279" s="7">
        <v>0</v>
      </c>
      <c r="E279" s="7">
        <v>0</v>
      </c>
      <c r="F279" s="7">
        <v>2</v>
      </c>
      <c r="G279" s="7">
        <v>0</v>
      </c>
      <c r="H279" s="8">
        <v>3</v>
      </c>
      <c r="J279" s="12">
        <v>59</v>
      </c>
    </row>
    <row r="280" spans="2:10">
      <c r="B280" s="6">
        <v>41368</v>
      </c>
      <c r="C280" s="16"/>
      <c r="D280" s="7">
        <v>0</v>
      </c>
      <c r="E280" s="7">
        <v>0</v>
      </c>
      <c r="F280" s="7">
        <v>1</v>
      </c>
      <c r="G280" s="7">
        <v>0</v>
      </c>
      <c r="H280" s="8">
        <v>2</v>
      </c>
      <c r="J280" s="12">
        <v>42</v>
      </c>
    </row>
    <row r="281" spans="2:10">
      <c r="B281" s="6">
        <v>41369</v>
      </c>
      <c r="C281" s="16"/>
      <c r="D281" s="7">
        <v>0</v>
      </c>
      <c r="E281" s="7">
        <v>0</v>
      </c>
      <c r="F281" s="7">
        <v>0</v>
      </c>
      <c r="G281" s="7">
        <v>0</v>
      </c>
      <c r="H281" s="8">
        <v>1</v>
      </c>
      <c r="J281" s="12">
        <v>43</v>
      </c>
    </row>
    <row r="282" spans="2:10">
      <c r="B282" s="6">
        <v>41370</v>
      </c>
      <c r="C282" s="16"/>
      <c r="D282" s="7">
        <v>0</v>
      </c>
      <c r="E282" s="7">
        <v>0</v>
      </c>
      <c r="F282" s="7">
        <v>3</v>
      </c>
      <c r="G282" s="7">
        <v>2</v>
      </c>
      <c r="H282" s="8">
        <v>12</v>
      </c>
      <c r="J282" s="12">
        <v>60</v>
      </c>
    </row>
    <row r="283" spans="2:10">
      <c r="B283" s="6">
        <v>41371</v>
      </c>
      <c r="C283" s="16"/>
      <c r="D283" s="7">
        <v>0</v>
      </c>
      <c r="E283" s="7">
        <v>0</v>
      </c>
      <c r="F283" s="7">
        <v>2</v>
      </c>
      <c r="G283" s="7">
        <v>1</v>
      </c>
      <c r="H283" s="8">
        <v>6</v>
      </c>
      <c r="J283" s="12">
        <v>55</v>
      </c>
    </row>
    <row r="284" spans="2:10">
      <c r="B284" s="6">
        <v>41372</v>
      </c>
      <c r="C284" s="16"/>
      <c r="D284" s="7">
        <v>0</v>
      </c>
      <c r="E284" s="7">
        <v>0</v>
      </c>
      <c r="F284" s="7">
        <v>0</v>
      </c>
      <c r="G284" s="7">
        <v>0</v>
      </c>
      <c r="H284" s="8">
        <v>1</v>
      </c>
      <c r="J284" s="12">
        <v>41</v>
      </c>
    </row>
    <row r="285" spans="2:10">
      <c r="B285" s="6">
        <v>41373</v>
      </c>
      <c r="C285" s="16"/>
      <c r="D285" s="7">
        <v>0</v>
      </c>
      <c r="E285" s="7">
        <v>0</v>
      </c>
      <c r="F285" s="7">
        <v>0</v>
      </c>
      <c r="G285" s="7">
        <v>0</v>
      </c>
      <c r="H285" s="8">
        <v>1</v>
      </c>
      <c r="J285" s="12">
        <v>36</v>
      </c>
    </row>
    <row r="286" spans="2:10">
      <c r="B286" s="6">
        <v>41374</v>
      </c>
      <c r="C286" s="16"/>
      <c r="D286" s="7">
        <v>0</v>
      </c>
      <c r="E286" s="7">
        <v>0</v>
      </c>
      <c r="F286" s="7">
        <v>0</v>
      </c>
      <c r="G286" s="7">
        <v>0</v>
      </c>
      <c r="H286" s="8">
        <v>1</v>
      </c>
      <c r="J286" s="12">
        <v>41</v>
      </c>
    </row>
    <row r="287" spans="2:10">
      <c r="B287" s="6">
        <v>41375</v>
      </c>
      <c r="C287" s="16"/>
      <c r="D287" s="7">
        <v>0</v>
      </c>
      <c r="E287" s="7">
        <v>0</v>
      </c>
      <c r="F287" s="7">
        <v>0</v>
      </c>
      <c r="G287" s="7">
        <v>0</v>
      </c>
      <c r="H287" s="8">
        <v>1</v>
      </c>
      <c r="J287" s="12">
        <v>27</v>
      </c>
    </row>
    <row r="288" spans="2:10">
      <c r="B288" s="6">
        <v>41376</v>
      </c>
      <c r="C288" s="16"/>
      <c r="D288" s="7">
        <v>0</v>
      </c>
      <c r="E288" s="7">
        <v>0</v>
      </c>
      <c r="F288" s="7">
        <v>0</v>
      </c>
      <c r="G288" s="7">
        <v>0</v>
      </c>
      <c r="H288" s="8">
        <v>1</v>
      </c>
      <c r="J288" s="12">
        <v>43</v>
      </c>
    </row>
    <row r="289" spans="2:10">
      <c r="B289" s="6">
        <v>41377</v>
      </c>
      <c r="C289" s="16"/>
      <c r="D289" s="7">
        <v>0</v>
      </c>
      <c r="E289" s="7">
        <v>0</v>
      </c>
      <c r="F289" s="7">
        <v>2</v>
      </c>
      <c r="G289" s="7">
        <v>2</v>
      </c>
      <c r="H289" s="8">
        <v>9</v>
      </c>
      <c r="J289" s="12">
        <v>43</v>
      </c>
    </row>
    <row r="290" spans="2:10">
      <c r="B290" s="6">
        <v>41378</v>
      </c>
      <c r="C290" s="16"/>
      <c r="D290" s="7">
        <v>0</v>
      </c>
      <c r="E290" s="7">
        <v>0</v>
      </c>
      <c r="F290" s="7">
        <v>2</v>
      </c>
      <c r="G290" s="7">
        <v>1</v>
      </c>
      <c r="H290" s="8">
        <v>6</v>
      </c>
      <c r="J290" s="12">
        <v>49</v>
      </c>
    </row>
    <row r="291" spans="2:10">
      <c r="B291" s="6">
        <v>41379</v>
      </c>
      <c r="C291" s="16"/>
      <c r="D291" s="7">
        <v>0</v>
      </c>
      <c r="E291" s="7">
        <v>0</v>
      </c>
      <c r="F291" s="7">
        <v>0</v>
      </c>
      <c r="G291" s="7">
        <v>0</v>
      </c>
      <c r="H291" s="8">
        <v>1</v>
      </c>
      <c r="J291" s="12">
        <v>44</v>
      </c>
    </row>
    <row r="292" spans="2:10">
      <c r="B292" s="6">
        <v>41380</v>
      </c>
      <c r="C292" s="16"/>
      <c r="D292" s="7">
        <v>0</v>
      </c>
      <c r="E292" s="7">
        <v>0</v>
      </c>
      <c r="F292" s="7">
        <v>0</v>
      </c>
      <c r="G292" s="7">
        <v>0</v>
      </c>
      <c r="H292" s="8">
        <v>1</v>
      </c>
      <c r="J292" s="12">
        <v>29</v>
      </c>
    </row>
    <row r="293" spans="2:10">
      <c r="B293" s="6">
        <v>41381</v>
      </c>
      <c r="C293" s="16"/>
      <c r="D293" s="7">
        <v>0</v>
      </c>
      <c r="E293" s="7">
        <v>0</v>
      </c>
      <c r="F293" s="7">
        <v>0</v>
      </c>
      <c r="G293" s="7">
        <v>0</v>
      </c>
      <c r="H293" s="8">
        <v>1</v>
      </c>
      <c r="J293" s="12">
        <v>7</v>
      </c>
    </row>
    <row r="294" spans="2:10">
      <c r="B294" s="6">
        <v>41382</v>
      </c>
      <c r="C294" s="16"/>
      <c r="D294" s="7">
        <v>0</v>
      </c>
      <c r="E294" s="7">
        <v>0</v>
      </c>
      <c r="F294" s="7">
        <v>0</v>
      </c>
      <c r="G294" s="7">
        <v>0</v>
      </c>
      <c r="H294" s="8">
        <v>1</v>
      </c>
      <c r="J294" s="12">
        <v>29</v>
      </c>
    </row>
    <row r="295" spans="2:10">
      <c r="B295" s="6">
        <v>41383</v>
      </c>
      <c r="C295" s="16"/>
      <c r="D295" s="7">
        <v>0</v>
      </c>
      <c r="E295" s="7">
        <v>0</v>
      </c>
      <c r="F295" s="7">
        <v>0</v>
      </c>
      <c r="G295" s="7">
        <v>0</v>
      </c>
      <c r="H295" s="8">
        <v>1</v>
      </c>
      <c r="J295" s="12">
        <v>36</v>
      </c>
    </row>
    <row r="296" spans="2:10">
      <c r="B296" s="6">
        <v>41384</v>
      </c>
      <c r="C296" s="16"/>
      <c r="D296" s="7">
        <v>0</v>
      </c>
      <c r="E296" s="7">
        <v>0</v>
      </c>
      <c r="F296" s="7">
        <v>2</v>
      </c>
      <c r="G296" s="7">
        <v>1</v>
      </c>
      <c r="H296" s="8">
        <v>6</v>
      </c>
      <c r="J296" s="12">
        <v>46</v>
      </c>
    </row>
    <row r="297" spans="2:10">
      <c r="B297" s="6">
        <v>41385</v>
      </c>
      <c r="C297" s="16"/>
      <c r="D297" s="7">
        <v>0</v>
      </c>
      <c r="E297" s="7">
        <v>0</v>
      </c>
      <c r="F297" s="7">
        <v>1</v>
      </c>
      <c r="G297" s="7">
        <v>0</v>
      </c>
      <c r="H297" s="8">
        <v>2</v>
      </c>
      <c r="J297" s="12">
        <v>44</v>
      </c>
    </row>
    <row r="298" spans="2:10">
      <c r="B298" s="6">
        <v>41386</v>
      </c>
      <c r="C298" s="16"/>
      <c r="D298" s="7">
        <v>0</v>
      </c>
      <c r="E298" s="7">
        <v>0</v>
      </c>
      <c r="F298" s="7">
        <v>0</v>
      </c>
      <c r="G298" s="7">
        <v>0</v>
      </c>
      <c r="H298" s="8">
        <v>1</v>
      </c>
      <c r="J298" s="12">
        <v>33</v>
      </c>
    </row>
    <row r="299" spans="2:10">
      <c r="B299" s="6">
        <v>41387</v>
      </c>
      <c r="C299" s="16"/>
      <c r="D299" s="7">
        <v>0</v>
      </c>
      <c r="E299" s="7">
        <v>0</v>
      </c>
      <c r="F299" s="7">
        <v>0</v>
      </c>
      <c r="G299" s="7">
        <v>0</v>
      </c>
      <c r="H299" s="8">
        <v>1</v>
      </c>
      <c r="J299" s="12">
        <v>36</v>
      </c>
    </row>
    <row r="300" spans="2:10">
      <c r="B300" s="6">
        <v>41388</v>
      </c>
      <c r="C300" s="16"/>
      <c r="D300" s="7">
        <v>0</v>
      </c>
      <c r="E300" s="7">
        <v>0</v>
      </c>
      <c r="F300" s="7">
        <v>0</v>
      </c>
      <c r="G300" s="7">
        <v>0</v>
      </c>
      <c r="H300" s="8">
        <v>1</v>
      </c>
      <c r="J300" s="12">
        <v>37</v>
      </c>
    </row>
    <row r="301" spans="2:10">
      <c r="B301" s="6">
        <v>41389</v>
      </c>
      <c r="C301" s="16"/>
      <c r="D301" s="7">
        <v>0</v>
      </c>
      <c r="E301" s="7">
        <v>0</v>
      </c>
      <c r="F301" s="7">
        <v>0</v>
      </c>
      <c r="G301" s="7">
        <v>0</v>
      </c>
      <c r="H301" s="8">
        <v>1</v>
      </c>
      <c r="J301" s="12">
        <v>47</v>
      </c>
    </row>
    <row r="302" spans="2:10">
      <c r="B302" s="6">
        <v>41390</v>
      </c>
      <c r="C302" s="16"/>
      <c r="D302" s="7">
        <v>0</v>
      </c>
      <c r="E302" s="7">
        <v>0</v>
      </c>
      <c r="F302" s="7">
        <v>1</v>
      </c>
      <c r="G302" s="7">
        <v>1</v>
      </c>
      <c r="H302" s="8">
        <v>4</v>
      </c>
      <c r="J302" s="12">
        <v>42</v>
      </c>
    </row>
    <row r="303" spans="2:10">
      <c r="B303" s="6">
        <v>41391</v>
      </c>
      <c r="C303" s="16"/>
      <c r="D303" s="7">
        <v>0</v>
      </c>
      <c r="E303" s="7">
        <v>0</v>
      </c>
      <c r="F303" s="7">
        <v>2</v>
      </c>
      <c r="G303" s="7">
        <v>2</v>
      </c>
      <c r="H303" s="8">
        <v>9</v>
      </c>
      <c r="J303" s="12">
        <v>52</v>
      </c>
    </row>
    <row r="304" spans="2:10">
      <c r="B304" s="6">
        <v>41392</v>
      </c>
      <c r="C304" s="16"/>
      <c r="D304" s="7">
        <v>0</v>
      </c>
      <c r="E304" s="7">
        <v>0</v>
      </c>
      <c r="F304" s="7">
        <v>2</v>
      </c>
      <c r="G304" s="7">
        <v>1</v>
      </c>
      <c r="H304" s="8">
        <v>6</v>
      </c>
      <c r="J304" s="12">
        <v>66</v>
      </c>
    </row>
    <row r="305" spans="2:10">
      <c r="B305" s="6">
        <v>41393</v>
      </c>
      <c r="C305" s="16"/>
      <c r="D305" s="7">
        <v>0</v>
      </c>
      <c r="E305" s="7">
        <v>0</v>
      </c>
      <c r="F305" s="7">
        <v>1</v>
      </c>
      <c r="G305" s="7">
        <v>0</v>
      </c>
      <c r="H305" s="8">
        <v>2</v>
      </c>
      <c r="J305" s="12">
        <v>59</v>
      </c>
    </row>
    <row r="306" spans="2:10">
      <c r="B306" s="6">
        <v>41394</v>
      </c>
      <c r="C306" s="16"/>
      <c r="D306" s="7">
        <v>0</v>
      </c>
      <c r="E306" s="7">
        <v>0</v>
      </c>
      <c r="F306" s="7">
        <v>2</v>
      </c>
      <c r="G306" s="7">
        <v>1</v>
      </c>
      <c r="H306" s="8">
        <v>6</v>
      </c>
      <c r="J306" s="12">
        <v>56</v>
      </c>
    </row>
    <row r="307" spans="2:10">
      <c r="B307" s="6">
        <v>41395</v>
      </c>
      <c r="C307" s="16"/>
      <c r="D307" s="7">
        <v>0</v>
      </c>
      <c r="E307" s="7">
        <v>0</v>
      </c>
      <c r="F307" s="7">
        <v>0</v>
      </c>
      <c r="G307" s="7">
        <v>0</v>
      </c>
      <c r="H307" s="8">
        <v>1</v>
      </c>
      <c r="J307" s="12">
        <v>47</v>
      </c>
    </row>
    <row r="308" spans="2:10">
      <c r="B308" s="6">
        <v>41396</v>
      </c>
      <c r="C308" s="16"/>
      <c r="D308" s="7">
        <v>0</v>
      </c>
      <c r="E308" s="7">
        <v>0</v>
      </c>
      <c r="F308" s="7">
        <v>0</v>
      </c>
      <c r="G308" s="7">
        <v>0</v>
      </c>
      <c r="H308" s="8">
        <v>1</v>
      </c>
      <c r="J308" s="12">
        <v>27</v>
      </c>
    </row>
    <row r="309" spans="2:10">
      <c r="B309" s="6">
        <v>41397</v>
      </c>
      <c r="C309" s="16"/>
      <c r="D309" s="7">
        <v>0</v>
      </c>
      <c r="E309" s="7">
        <v>0</v>
      </c>
      <c r="F309" s="7">
        <v>1</v>
      </c>
      <c r="G309" s="7">
        <v>1</v>
      </c>
      <c r="H309" s="8">
        <v>4</v>
      </c>
      <c r="J309" s="12">
        <v>46</v>
      </c>
    </row>
    <row r="310" spans="2:10">
      <c r="B310" s="6">
        <v>41398</v>
      </c>
      <c r="C310" s="16"/>
      <c r="D310" s="7">
        <v>0</v>
      </c>
      <c r="E310" s="7">
        <v>0</v>
      </c>
      <c r="F310" s="7">
        <v>2</v>
      </c>
      <c r="G310" s="7">
        <v>1</v>
      </c>
      <c r="H310" s="8">
        <v>6</v>
      </c>
      <c r="J310" s="12">
        <v>27</v>
      </c>
    </row>
    <row r="311" spans="2:10">
      <c r="B311" s="6">
        <v>41399</v>
      </c>
      <c r="C311" s="16"/>
      <c r="D311" s="7">
        <v>0</v>
      </c>
      <c r="E311" s="7">
        <v>0</v>
      </c>
      <c r="F311" s="7">
        <v>1</v>
      </c>
      <c r="G311" s="7">
        <v>0</v>
      </c>
      <c r="H311" s="8">
        <v>2</v>
      </c>
      <c r="J311" s="12">
        <v>17</v>
      </c>
    </row>
    <row r="312" spans="2:10">
      <c r="B312" s="6">
        <v>41400</v>
      </c>
      <c r="C312" s="16"/>
      <c r="D312" s="7">
        <v>0</v>
      </c>
      <c r="E312" s="7">
        <v>0</v>
      </c>
      <c r="F312" s="7">
        <v>0</v>
      </c>
      <c r="G312" s="7">
        <v>0</v>
      </c>
      <c r="H312" s="8">
        <v>1</v>
      </c>
      <c r="J312" s="12">
        <v>24</v>
      </c>
    </row>
    <row r="313" spans="2:10">
      <c r="B313" s="6">
        <v>41401</v>
      </c>
      <c r="C313" s="16"/>
      <c r="D313" s="7">
        <v>0</v>
      </c>
      <c r="E313" s="7">
        <v>0</v>
      </c>
      <c r="F313" s="7">
        <v>0</v>
      </c>
      <c r="G313" s="7">
        <v>0</v>
      </c>
      <c r="H313" s="8">
        <v>1</v>
      </c>
      <c r="J313" s="12">
        <v>30</v>
      </c>
    </row>
    <row r="314" spans="2:10">
      <c r="B314" s="6">
        <v>41402</v>
      </c>
      <c r="C314" s="16"/>
      <c r="D314" s="7">
        <v>0</v>
      </c>
      <c r="E314" s="7">
        <v>0</v>
      </c>
      <c r="F314" s="7">
        <v>0</v>
      </c>
      <c r="G314" s="7">
        <v>0</v>
      </c>
      <c r="H314" s="8">
        <v>1</v>
      </c>
      <c r="J314" s="12">
        <v>24</v>
      </c>
    </row>
    <row r="315" spans="2:10">
      <c r="B315" s="6">
        <v>41403</v>
      </c>
      <c r="C315" s="16"/>
      <c r="D315" s="7">
        <v>0</v>
      </c>
      <c r="E315" s="7">
        <v>0</v>
      </c>
      <c r="F315" s="7">
        <v>0</v>
      </c>
      <c r="G315" s="7">
        <v>0</v>
      </c>
      <c r="H315" s="8">
        <v>1</v>
      </c>
      <c r="J315" s="12">
        <v>17</v>
      </c>
    </row>
    <row r="316" spans="2:10">
      <c r="B316" s="6">
        <v>41404</v>
      </c>
      <c r="C316" s="16"/>
      <c r="D316" s="7">
        <v>0</v>
      </c>
      <c r="E316" s="7">
        <v>0</v>
      </c>
      <c r="F316" s="7">
        <v>0</v>
      </c>
      <c r="G316" s="7">
        <v>0</v>
      </c>
      <c r="H316" s="8">
        <v>1</v>
      </c>
      <c r="J316" s="12">
        <v>26</v>
      </c>
    </row>
    <row r="317" spans="2:10">
      <c r="B317" s="6">
        <v>41405</v>
      </c>
      <c r="C317" s="16"/>
      <c r="D317" s="7">
        <v>0</v>
      </c>
      <c r="E317" s="7">
        <v>0</v>
      </c>
      <c r="F317" s="7">
        <v>1</v>
      </c>
      <c r="G317" s="7">
        <v>1</v>
      </c>
      <c r="H317" s="8">
        <v>4</v>
      </c>
      <c r="J317" s="12">
        <v>44</v>
      </c>
    </row>
    <row r="318" spans="2:10">
      <c r="B318" s="6">
        <v>41406</v>
      </c>
      <c r="C318" s="16"/>
      <c r="D318" s="7">
        <v>0</v>
      </c>
      <c r="E318" s="7">
        <v>0</v>
      </c>
      <c r="F318" s="7">
        <v>0</v>
      </c>
      <c r="G318" s="7">
        <v>0</v>
      </c>
      <c r="H318" s="8">
        <v>1</v>
      </c>
      <c r="J318" s="12">
        <v>38</v>
      </c>
    </row>
    <row r="319" spans="2:10">
      <c r="B319" s="6">
        <v>41407</v>
      </c>
      <c r="C319" s="16"/>
      <c r="D319" s="7">
        <v>0</v>
      </c>
      <c r="E319" s="7">
        <v>0</v>
      </c>
      <c r="F319" s="7">
        <v>0</v>
      </c>
      <c r="G319" s="7">
        <v>0</v>
      </c>
      <c r="H319" s="8">
        <v>1</v>
      </c>
      <c r="J319" s="12">
        <v>32</v>
      </c>
    </row>
    <row r="320" spans="2:10">
      <c r="B320" s="6">
        <v>41408</v>
      </c>
      <c r="C320" s="16"/>
      <c r="D320" s="7">
        <v>0</v>
      </c>
      <c r="E320" s="7">
        <v>0</v>
      </c>
      <c r="F320" s="7">
        <v>0</v>
      </c>
      <c r="G320" s="7">
        <v>0</v>
      </c>
      <c r="H320" s="8">
        <v>1</v>
      </c>
      <c r="J320" s="12">
        <v>22</v>
      </c>
    </row>
    <row r="321" spans="2:10">
      <c r="B321" s="6">
        <v>41409</v>
      </c>
      <c r="C321" s="16"/>
      <c r="D321" s="7">
        <v>0</v>
      </c>
      <c r="E321" s="7">
        <v>0</v>
      </c>
      <c r="F321" s="7">
        <v>0</v>
      </c>
      <c r="G321" s="7">
        <v>0</v>
      </c>
      <c r="H321" s="8">
        <v>1</v>
      </c>
      <c r="J321" s="12">
        <v>24</v>
      </c>
    </row>
    <row r="322" spans="2:10">
      <c r="B322" s="6">
        <v>41410</v>
      </c>
      <c r="C322" s="16"/>
      <c r="D322" s="7">
        <v>0</v>
      </c>
      <c r="E322" s="7">
        <v>0</v>
      </c>
      <c r="F322" s="7">
        <v>0</v>
      </c>
      <c r="G322" s="7">
        <v>0</v>
      </c>
      <c r="H322" s="8">
        <v>1</v>
      </c>
      <c r="J322" s="12">
        <v>29</v>
      </c>
    </row>
    <row r="323" spans="2:10">
      <c r="B323" s="6">
        <v>41411</v>
      </c>
      <c r="C323" s="16"/>
      <c r="D323" s="7">
        <v>0</v>
      </c>
      <c r="E323" s="7">
        <v>0</v>
      </c>
      <c r="F323" s="7">
        <v>1</v>
      </c>
      <c r="G323" s="7">
        <v>0</v>
      </c>
      <c r="H323" s="8">
        <v>2</v>
      </c>
      <c r="J323" s="12">
        <v>38</v>
      </c>
    </row>
    <row r="324" spans="2:10">
      <c r="B324" s="6">
        <v>41412</v>
      </c>
      <c r="C324" s="16"/>
      <c r="D324" s="7">
        <v>0</v>
      </c>
      <c r="E324" s="7">
        <v>0</v>
      </c>
      <c r="F324" s="7">
        <v>1</v>
      </c>
      <c r="G324" s="7">
        <v>1</v>
      </c>
      <c r="H324" s="8">
        <v>4</v>
      </c>
      <c r="J324" s="12">
        <v>47</v>
      </c>
    </row>
    <row r="325" spans="2:10">
      <c r="B325" s="6">
        <v>41413</v>
      </c>
      <c r="C325" s="16"/>
      <c r="D325" s="7">
        <v>0</v>
      </c>
      <c r="E325" s="7">
        <v>0</v>
      </c>
      <c r="F325" s="7">
        <v>1</v>
      </c>
      <c r="G325" s="7">
        <v>0</v>
      </c>
      <c r="H325" s="8">
        <v>2</v>
      </c>
      <c r="J325" s="12">
        <v>52</v>
      </c>
    </row>
    <row r="326" spans="2:10">
      <c r="B326" s="6">
        <v>41414</v>
      </c>
      <c r="C326" s="16"/>
      <c r="D326" s="7">
        <v>0</v>
      </c>
      <c r="E326" s="7">
        <v>0</v>
      </c>
      <c r="F326" s="7">
        <v>0</v>
      </c>
      <c r="G326" s="7">
        <v>0</v>
      </c>
      <c r="H326" s="8">
        <v>1</v>
      </c>
      <c r="J326" s="12">
        <v>37</v>
      </c>
    </row>
    <row r="327" spans="2:10">
      <c r="B327" s="6">
        <v>41415</v>
      </c>
      <c r="C327" s="16"/>
      <c r="D327" s="7">
        <v>0</v>
      </c>
      <c r="E327" s="7">
        <v>0</v>
      </c>
      <c r="F327" s="7">
        <v>0</v>
      </c>
      <c r="G327" s="7">
        <v>0</v>
      </c>
      <c r="H327" s="8">
        <v>1</v>
      </c>
      <c r="J327" s="12">
        <v>23</v>
      </c>
    </row>
    <row r="328" spans="2:10">
      <c r="B328" s="6">
        <v>41416</v>
      </c>
      <c r="C328" s="16"/>
      <c r="D328" s="7">
        <v>0</v>
      </c>
      <c r="E328" s="7">
        <v>0</v>
      </c>
      <c r="F328" s="7">
        <v>0</v>
      </c>
      <c r="G328" s="7">
        <v>0</v>
      </c>
      <c r="H328" s="8">
        <v>1</v>
      </c>
      <c r="J328" s="12">
        <v>22</v>
      </c>
    </row>
    <row r="329" spans="2:10">
      <c r="B329" s="6">
        <v>41417</v>
      </c>
      <c r="C329" s="16"/>
      <c r="D329" s="7">
        <v>0</v>
      </c>
      <c r="E329" s="7">
        <v>0</v>
      </c>
      <c r="F329" s="7">
        <v>0</v>
      </c>
      <c r="G329" s="7">
        <v>0</v>
      </c>
      <c r="H329" s="8">
        <v>1</v>
      </c>
      <c r="J329" s="12">
        <v>26</v>
      </c>
    </row>
    <row r="330" spans="2:10">
      <c r="B330" s="6">
        <v>41418</v>
      </c>
      <c r="C330" s="16"/>
      <c r="D330" s="7">
        <v>0</v>
      </c>
      <c r="E330" s="7">
        <v>0</v>
      </c>
      <c r="F330" s="7">
        <v>1</v>
      </c>
      <c r="G330" s="7">
        <v>1</v>
      </c>
      <c r="H330" s="8">
        <v>4</v>
      </c>
      <c r="J330" s="12">
        <v>30</v>
      </c>
    </row>
    <row r="331" spans="2:10">
      <c r="B331" s="6">
        <v>41419</v>
      </c>
      <c r="C331" s="16"/>
      <c r="D331" s="7">
        <v>0</v>
      </c>
      <c r="E331" s="7">
        <v>0</v>
      </c>
      <c r="F331" s="7">
        <v>2</v>
      </c>
      <c r="G331" s="7">
        <v>1</v>
      </c>
      <c r="H331" s="8">
        <v>6</v>
      </c>
      <c r="J331" s="12">
        <v>52</v>
      </c>
    </row>
    <row r="332" spans="2:10">
      <c r="B332" s="6">
        <v>41420</v>
      </c>
      <c r="C332" s="16"/>
      <c r="D332" s="7">
        <v>0</v>
      </c>
      <c r="E332" s="7">
        <v>0</v>
      </c>
      <c r="F332" s="7">
        <v>1</v>
      </c>
      <c r="G332" s="7">
        <v>1</v>
      </c>
      <c r="H332" s="8">
        <v>4</v>
      </c>
      <c r="J332" s="12">
        <v>42</v>
      </c>
    </row>
    <row r="333" spans="2:10">
      <c r="B333" s="6">
        <v>41421</v>
      </c>
      <c r="C333" s="16"/>
      <c r="D333" s="7">
        <v>0</v>
      </c>
      <c r="E333" s="7">
        <v>0</v>
      </c>
      <c r="F333" s="7">
        <v>0</v>
      </c>
      <c r="G333" s="7">
        <v>0</v>
      </c>
      <c r="H333" s="8">
        <v>1</v>
      </c>
      <c r="J333" s="12">
        <v>47</v>
      </c>
    </row>
    <row r="334" spans="2:10">
      <c r="B334" s="6">
        <v>41422</v>
      </c>
      <c r="C334" s="16"/>
      <c r="D334" s="7">
        <v>0</v>
      </c>
      <c r="E334" s="7">
        <v>0</v>
      </c>
      <c r="F334" s="7">
        <v>0</v>
      </c>
      <c r="G334" s="7">
        <v>0</v>
      </c>
      <c r="H334" s="8">
        <v>1</v>
      </c>
      <c r="J334" s="12">
        <v>32</v>
      </c>
    </row>
    <row r="335" spans="2:10">
      <c r="B335" s="6">
        <v>41423</v>
      </c>
      <c r="C335" s="16"/>
      <c r="D335" s="7">
        <v>0</v>
      </c>
      <c r="E335" s="7">
        <v>0</v>
      </c>
      <c r="F335" s="7">
        <v>1</v>
      </c>
      <c r="G335" s="7">
        <v>1</v>
      </c>
      <c r="H335" s="8">
        <v>4</v>
      </c>
      <c r="J335" s="12">
        <v>40</v>
      </c>
    </row>
    <row r="336" spans="2:10">
      <c r="B336" s="6">
        <v>41424</v>
      </c>
      <c r="C336" s="16"/>
      <c r="D336" s="7">
        <v>0</v>
      </c>
      <c r="E336" s="7">
        <v>0</v>
      </c>
      <c r="F336" s="7">
        <v>1</v>
      </c>
      <c r="G336" s="7">
        <v>0</v>
      </c>
      <c r="H336" s="8">
        <v>2</v>
      </c>
      <c r="J336" s="12">
        <v>42</v>
      </c>
    </row>
    <row r="337" spans="2:10">
      <c r="B337" s="6">
        <v>41425</v>
      </c>
      <c r="C337" s="16"/>
      <c r="D337" s="7">
        <v>0</v>
      </c>
      <c r="E337" s="7">
        <v>0</v>
      </c>
      <c r="F337" s="7">
        <v>1</v>
      </c>
      <c r="G337" s="7">
        <v>1</v>
      </c>
      <c r="H337" s="8">
        <v>4</v>
      </c>
      <c r="J337" s="12">
        <v>54</v>
      </c>
    </row>
    <row r="338" spans="2:10">
      <c r="B338" s="6">
        <v>41426</v>
      </c>
      <c r="C338" s="16"/>
      <c r="D338" s="7">
        <v>0</v>
      </c>
      <c r="E338" s="7">
        <v>0</v>
      </c>
      <c r="F338" s="7">
        <v>2</v>
      </c>
      <c r="G338" s="7">
        <v>1</v>
      </c>
      <c r="H338" s="8">
        <v>6</v>
      </c>
      <c r="J338" s="12">
        <v>57</v>
      </c>
    </row>
    <row r="339" spans="2:10">
      <c r="B339" s="6">
        <v>41427</v>
      </c>
      <c r="C339" s="16"/>
      <c r="D339" s="7">
        <v>0</v>
      </c>
      <c r="E339" s="7">
        <v>0</v>
      </c>
      <c r="F339" s="7">
        <v>1</v>
      </c>
      <c r="G339" s="7">
        <v>1</v>
      </c>
      <c r="H339" s="8">
        <v>4</v>
      </c>
      <c r="J339" s="12">
        <v>42</v>
      </c>
    </row>
    <row r="340" spans="2:10">
      <c r="B340" s="6">
        <v>41428</v>
      </c>
      <c r="C340" s="16"/>
      <c r="D340" s="7">
        <v>0</v>
      </c>
      <c r="E340" s="7">
        <v>0</v>
      </c>
      <c r="F340" s="7">
        <v>0</v>
      </c>
      <c r="G340" s="7">
        <v>0</v>
      </c>
      <c r="H340" s="8">
        <v>1</v>
      </c>
      <c r="J340" s="12">
        <v>31</v>
      </c>
    </row>
    <row r="341" spans="2:10">
      <c r="B341" s="6">
        <v>41429</v>
      </c>
      <c r="C341" s="16"/>
      <c r="D341" s="7">
        <v>0</v>
      </c>
      <c r="E341" s="7">
        <v>0</v>
      </c>
      <c r="F341" s="7">
        <v>0</v>
      </c>
      <c r="G341" s="7">
        <v>0</v>
      </c>
      <c r="H341" s="8">
        <v>1</v>
      </c>
      <c r="J341" s="12">
        <v>18</v>
      </c>
    </row>
    <row r="342" spans="2:10">
      <c r="B342" s="6">
        <v>41430</v>
      </c>
      <c r="C342" s="16"/>
      <c r="D342" s="7">
        <v>0</v>
      </c>
      <c r="E342" s="7">
        <v>0</v>
      </c>
      <c r="F342" s="7">
        <v>0</v>
      </c>
      <c r="G342" s="7">
        <v>0</v>
      </c>
      <c r="H342" s="8">
        <v>1</v>
      </c>
      <c r="J342" s="12">
        <v>18</v>
      </c>
    </row>
    <row r="343" spans="2:10">
      <c r="B343" s="6">
        <v>41431</v>
      </c>
      <c r="C343" s="16"/>
      <c r="D343" s="7">
        <v>0</v>
      </c>
      <c r="E343" s="7">
        <v>0</v>
      </c>
      <c r="F343" s="7">
        <v>0</v>
      </c>
      <c r="G343" s="7">
        <v>0</v>
      </c>
      <c r="H343" s="8">
        <v>1</v>
      </c>
      <c r="J343" s="12">
        <v>29</v>
      </c>
    </row>
    <row r="344" spans="2:10">
      <c r="B344" s="6">
        <v>41432</v>
      </c>
      <c r="C344" s="16"/>
      <c r="D344" s="7">
        <v>0</v>
      </c>
      <c r="E344" s="7">
        <v>0</v>
      </c>
      <c r="F344" s="7">
        <v>0</v>
      </c>
      <c r="G344" s="7">
        <v>0</v>
      </c>
      <c r="H344" s="8">
        <v>1</v>
      </c>
      <c r="J344" s="12">
        <v>21</v>
      </c>
    </row>
    <row r="345" spans="2:10">
      <c r="B345" s="6">
        <v>41433</v>
      </c>
      <c r="C345" s="16"/>
      <c r="D345" s="7">
        <v>0</v>
      </c>
      <c r="E345" s="7">
        <v>0</v>
      </c>
      <c r="F345" s="7">
        <v>1</v>
      </c>
      <c r="G345" s="7">
        <v>0</v>
      </c>
      <c r="H345" s="8">
        <v>2</v>
      </c>
      <c r="J345" s="12">
        <v>40</v>
      </c>
    </row>
    <row r="346" spans="2:10">
      <c r="B346" s="6">
        <v>41434</v>
      </c>
      <c r="C346" s="16"/>
      <c r="D346" s="7">
        <v>0</v>
      </c>
      <c r="E346" s="7">
        <v>0</v>
      </c>
      <c r="F346" s="7">
        <v>0</v>
      </c>
      <c r="G346" s="7">
        <v>0</v>
      </c>
      <c r="H346" s="8">
        <v>1</v>
      </c>
      <c r="J346" s="12">
        <v>32</v>
      </c>
    </row>
    <row r="347" spans="2:10">
      <c r="B347" s="6">
        <v>41435</v>
      </c>
      <c r="C347" s="16"/>
      <c r="D347" s="7">
        <v>0</v>
      </c>
      <c r="E347" s="7">
        <v>0</v>
      </c>
      <c r="F347" s="7">
        <v>0</v>
      </c>
      <c r="G347" s="7">
        <v>0</v>
      </c>
      <c r="H347" s="8">
        <v>1</v>
      </c>
      <c r="J347" s="12">
        <v>28</v>
      </c>
    </row>
    <row r="348" spans="2:10">
      <c r="B348" s="6">
        <v>41436</v>
      </c>
      <c r="C348" s="16"/>
      <c r="D348" s="7">
        <v>0</v>
      </c>
      <c r="E348" s="7">
        <v>0</v>
      </c>
      <c r="F348" s="7">
        <v>0</v>
      </c>
      <c r="G348" s="7">
        <v>0</v>
      </c>
      <c r="H348" s="8">
        <v>1</v>
      </c>
      <c r="J348" s="12">
        <v>16</v>
      </c>
    </row>
    <row r="349" spans="2:10">
      <c r="B349" s="6">
        <v>41437</v>
      </c>
      <c r="C349" s="16"/>
      <c r="D349" s="7">
        <v>0</v>
      </c>
      <c r="E349" s="7">
        <v>0</v>
      </c>
      <c r="F349" s="7">
        <v>0</v>
      </c>
      <c r="G349" s="7">
        <v>0</v>
      </c>
      <c r="H349" s="8">
        <v>1</v>
      </c>
      <c r="J349" s="12">
        <v>20</v>
      </c>
    </row>
    <row r="350" spans="2:10">
      <c r="B350" s="6">
        <v>41438</v>
      </c>
      <c r="C350" s="16"/>
      <c r="D350" s="7">
        <v>0</v>
      </c>
      <c r="E350" s="7">
        <v>0</v>
      </c>
      <c r="F350" s="7">
        <v>0</v>
      </c>
      <c r="G350" s="7">
        <v>0</v>
      </c>
      <c r="H350" s="8">
        <v>1</v>
      </c>
      <c r="J350" s="12">
        <v>29</v>
      </c>
    </row>
    <row r="351" spans="2:10">
      <c r="B351" s="6">
        <v>41439</v>
      </c>
      <c r="C351" s="16"/>
      <c r="D351" s="7">
        <v>0</v>
      </c>
      <c r="E351" s="7">
        <v>0</v>
      </c>
      <c r="F351" s="7">
        <v>0</v>
      </c>
      <c r="G351" s="7">
        <v>0</v>
      </c>
      <c r="H351" s="8">
        <v>1</v>
      </c>
      <c r="J351" s="12">
        <v>28</v>
      </c>
    </row>
    <row r="352" spans="2:10">
      <c r="B352" s="6">
        <v>41440</v>
      </c>
      <c r="C352" s="16"/>
      <c r="D352" s="7">
        <v>0</v>
      </c>
      <c r="E352" s="7">
        <v>0</v>
      </c>
      <c r="F352" s="7">
        <v>1</v>
      </c>
      <c r="G352" s="7">
        <v>1</v>
      </c>
      <c r="H352" s="8">
        <v>4</v>
      </c>
      <c r="J352" s="12">
        <v>53</v>
      </c>
    </row>
    <row r="353" spans="2:10">
      <c r="B353" s="6">
        <v>41441</v>
      </c>
      <c r="C353" s="16"/>
      <c r="D353" s="7">
        <v>0</v>
      </c>
      <c r="E353" s="7">
        <v>0</v>
      </c>
      <c r="F353" s="7">
        <v>0</v>
      </c>
      <c r="G353" s="7">
        <v>0</v>
      </c>
      <c r="H353" s="8">
        <v>1</v>
      </c>
      <c r="J353" s="12">
        <v>43</v>
      </c>
    </row>
    <row r="354" spans="2:10">
      <c r="B354" s="6">
        <v>41442</v>
      </c>
      <c r="C354" s="16"/>
      <c r="D354" s="7">
        <v>0</v>
      </c>
      <c r="E354" s="7">
        <v>0</v>
      </c>
      <c r="F354" s="7">
        <v>0</v>
      </c>
      <c r="G354" s="7">
        <v>0</v>
      </c>
      <c r="H354" s="8">
        <v>1</v>
      </c>
      <c r="J354" s="12">
        <v>36</v>
      </c>
    </row>
    <row r="355" spans="2:10">
      <c r="B355" s="6">
        <v>41443</v>
      </c>
      <c r="C355" s="16"/>
      <c r="D355" s="7">
        <v>0</v>
      </c>
      <c r="E355" s="7">
        <v>0</v>
      </c>
      <c r="F355" s="7">
        <v>0</v>
      </c>
      <c r="G355" s="7">
        <v>0</v>
      </c>
      <c r="H355" s="8">
        <v>1</v>
      </c>
      <c r="J355" s="12">
        <v>24</v>
      </c>
    </row>
    <row r="356" spans="2:10">
      <c r="B356" s="6">
        <v>41444</v>
      </c>
      <c r="C356" s="16"/>
      <c r="D356" s="7">
        <v>0</v>
      </c>
      <c r="E356" s="7">
        <v>0</v>
      </c>
      <c r="F356" s="7">
        <v>0</v>
      </c>
      <c r="G356" s="7">
        <v>0</v>
      </c>
      <c r="H356" s="8">
        <v>1</v>
      </c>
      <c r="J356" s="12">
        <v>20</v>
      </c>
    </row>
    <row r="357" spans="2:10">
      <c r="B357" s="6">
        <v>41445</v>
      </c>
      <c r="C357" s="16"/>
      <c r="D357" s="7">
        <v>0</v>
      </c>
      <c r="E357" s="7">
        <v>0</v>
      </c>
      <c r="F357" s="7">
        <v>0</v>
      </c>
      <c r="G357" s="7">
        <v>0</v>
      </c>
      <c r="H357" s="8">
        <v>1</v>
      </c>
      <c r="J357" s="12">
        <v>29</v>
      </c>
    </row>
    <row r="358" spans="2:10">
      <c r="B358" s="6">
        <v>41446</v>
      </c>
      <c r="C358" s="16"/>
      <c r="D358" s="7">
        <v>0</v>
      </c>
      <c r="E358" s="7">
        <v>0</v>
      </c>
      <c r="F358" s="7">
        <v>1</v>
      </c>
      <c r="G358" s="7">
        <v>1</v>
      </c>
      <c r="H358" s="8">
        <v>4</v>
      </c>
      <c r="J358" s="12">
        <v>35</v>
      </c>
    </row>
    <row r="359" spans="2:10">
      <c r="B359" s="6">
        <v>41447</v>
      </c>
      <c r="C359" s="16"/>
      <c r="D359" s="7">
        <v>0</v>
      </c>
      <c r="E359" s="7">
        <v>0</v>
      </c>
      <c r="F359" s="7">
        <v>1</v>
      </c>
      <c r="G359" s="7">
        <v>1</v>
      </c>
      <c r="H359" s="8">
        <v>4</v>
      </c>
      <c r="J359" s="12">
        <v>55</v>
      </c>
    </row>
    <row r="360" spans="2:10">
      <c r="B360" s="6">
        <v>41448</v>
      </c>
      <c r="C360" s="16"/>
      <c r="D360" s="7">
        <v>0</v>
      </c>
      <c r="E360" s="7">
        <v>0</v>
      </c>
      <c r="F360" s="7">
        <v>1</v>
      </c>
      <c r="G360" s="7">
        <v>1</v>
      </c>
      <c r="H360" s="8">
        <v>4</v>
      </c>
      <c r="J360" s="12">
        <v>56</v>
      </c>
    </row>
    <row r="361" spans="2:10">
      <c r="B361" s="6">
        <v>41449</v>
      </c>
      <c r="C361" s="16"/>
      <c r="D361" s="7">
        <v>0</v>
      </c>
      <c r="E361" s="7">
        <v>0</v>
      </c>
      <c r="F361" s="7">
        <v>0</v>
      </c>
      <c r="G361" s="7">
        <v>0</v>
      </c>
      <c r="H361" s="8">
        <v>1</v>
      </c>
      <c r="J361" s="12">
        <v>44</v>
      </c>
    </row>
    <row r="362" spans="2:10">
      <c r="B362" s="6">
        <v>41450</v>
      </c>
      <c r="C362" s="16"/>
      <c r="D362" s="7">
        <v>0</v>
      </c>
      <c r="E362" s="7">
        <v>0</v>
      </c>
      <c r="F362" s="7">
        <v>0</v>
      </c>
      <c r="G362" s="7">
        <v>0</v>
      </c>
      <c r="H362" s="8">
        <v>1</v>
      </c>
      <c r="J362" s="12">
        <v>48</v>
      </c>
    </row>
    <row r="363" spans="2:10">
      <c r="B363" s="6">
        <v>41451</v>
      </c>
      <c r="C363" s="16"/>
      <c r="D363" s="7">
        <v>0</v>
      </c>
      <c r="E363" s="7">
        <v>0</v>
      </c>
      <c r="F363" s="7">
        <v>0</v>
      </c>
      <c r="G363" s="7">
        <v>0</v>
      </c>
      <c r="H363" s="8">
        <v>1</v>
      </c>
      <c r="J363" s="12">
        <v>40</v>
      </c>
    </row>
    <row r="364" spans="2:10">
      <c r="B364" s="6">
        <v>41452</v>
      </c>
      <c r="C364" s="16"/>
      <c r="D364" s="7">
        <v>0</v>
      </c>
      <c r="E364" s="7">
        <v>0</v>
      </c>
      <c r="F364" s="7">
        <v>1</v>
      </c>
      <c r="G364" s="7">
        <v>1</v>
      </c>
      <c r="H364" s="8">
        <v>4</v>
      </c>
      <c r="J364" s="12">
        <v>53</v>
      </c>
    </row>
    <row r="365" spans="2:10">
      <c r="B365" s="6">
        <v>41453</v>
      </c>
      <c r="C365" s="16"/>
      <c r="D365" s="7">
        <v>0</v>
      </c>
      <c r="E365" s="7">
        <v>0</v>
      </c>
      <c r="F365" s="7">
        <v>1</v>
      </c>
      <c r="G365" s="7">
        <v>1</v>
      </c>
      <c r="H365" s="8">
        <v>4</v>
      </c>
      <c r="J365" s="12">
        <v>61</v>
      </c>
    </row>
    <row r="366" spans="2:10">
      <c r="B366" s="6">
        <v>41454</v>
      </c>
      <c r="C366" s="16"/>
      <c r="D366" s="7">
        <v>0</v>
      </c>
      <c r="E366" s="7">
        <v>0</v>
      </c>
      <c r="F366" s="7">
        <v>2</v>
      </c>
      <c r="G366" s="7">
        <v>2</v>
      </c>
      <c r="H366" s="8">
        <v>9</v>
      </c>
      <c r="J366" s="12">
        <v>84</v>
      </c>
    </row>
    <row r="367" spans="2:10">
      <c r="B367" s="6">
        <v>41455</v>
      </c>
      <c r="C367" s="16"/>
      <c r="D367" s="7">
        <v>0</v>
      </c>
      <c r="E367" s="7">
        <v>0</v>
      </c>
      <c r="F367" s="7">
        <v>1</v>
      </c>
      <c r="G367" s="7">
        <v>1</v>
      </c>
      <c r="H367" s="8">
        <v>4</v>
      </c>
      <c r="J367" s="12">
        <v>77</v>
      </c>
    </row>
    <row r="368" spans="2:10" ht="21" thickBot="1">
      <c r="B368" s="9">
        <v>41456</v>
      </c>
      <c r="C368" s="17"/>
      <c r="D368" s="10">
        <v>0</v>
      </c>
      <c r="E368" s="10">
        <v>0</v>
      </c>
      <c r="F368" s="10">
        <v>1</v>
      </c>
      <c r="G368" s="10">
        <v>1</v>
      </c>
      <c r="H368" s="11">
        <v>4</v>
      </c>
      <c r="J368" s="13">
        <v>37</v>
      </c>
    </row>
    <row r="369" spans="2:8">
      <c r="B369" s="2"/>
      <c r="C369" s="1"/>
      <c r="D369" s="1"/>
      <c r="E369" s="1"/>
      <c r="F369" s="1"/>
      <c r="G369" s="1"/>
      <c r="H369" s="1"/>
    </row>
    <row r="370" spans="2:8">
      <c r="B370" s="2"/>
      <c r="C370" s="1"/>
      <c r="D370" s="1"/>
      <c r="E370" s="1"/>
      <c r="F370" s="1"/>
      <c r="G370" s="1"/>
      <c r="H370" s="1"/>
    </row>
    <row r="371" spans="2:8">
      <c r="B371" s="2"/>
      <c r="C371" s="1"/>
      <c r="D371" s="1"/>
      <c r="E371" s="1"/>
      <c r="F371" s="1"/>
      <c r="G371" s="1"/>
      <c r="H371" s="1"/>
    </row>
    <row r="372" spans="2:8">
      <c r="B372" s="2"/>
      <c r="C372" s="1"/>
      <c r="D372" s="1"/>
      <c r="E372" s="1"/>
      <c r="F372" s="1"/>
      <c r="G372" s="1"/>
      <c r="H372" s="1"/>
    </row>
    <row r="373" spans="2:8">
      <c r="B373" s="2"/>
      <c r="C373" s="1"/>
      <c r="D373" s="1"/>
      <c r="E373" s="1"/>
      <c r="F373" s="1"/>
      <c r="G373" s="1"/>
      <c r="H373" s="1"/>
    </row>
    <row r="374" spans="2:8">
      <c r="B374" s="2"/>
      <c r="C374" s="1"/>
      <c r="D374" s="1"/>
      <c r="E374" s="1"/>
      <c r="F374" s="1"/>
      <c r="G374" s="1"/>
      <c r="H374" s="1"/>
    </row>
    <row r="375" spans="2:8">
      <c r="B375" s="2"/>
      <c r="C375" s="1"/>
      <c r="D375" s="1"/>
      <c r="E375" s="1"/>
      <c r="F375" s="1"/>
      <c r="G375" s="1"/>
      <c r="H375" s="1"/>
    </row>
    <row r="376" spans="2:8">
      <c r="B376" s="2"/>
      <c r="C376" s="1"/>
      <c r="D376" s="1"/>
      <c r="E376" s="1"/>
      <c r="F376" s="1"/>
      <c r="G376" s="1"/>
      <c r="H376" s="1"/>
    </row>
    <row r="377" spans="2:8">
      <c r="B377" s="2"/>
      <c r="C377" s="1"/>
      <c r="D377" s="1"/>
      <c r="E377" s="1"/>
      <c r="F377" s="1"/>
      <c r="G377" s="1"/>
      <c r="H377" s="1"/>
    </row>
    <row r="378" spans="2:8">
      <c r="B378" s="2"/>
      <c r="C378" s="1"/>
      <c r="D378" s="1"/>
      <c r="E378" s="1"/>
      <c r="F378" s="1"/>
      <c r="G378" s="1"/>
      <c r="H378" s="1"/>
    </row>
    <row r="379" spans="2:8">
      <c r="B379" s="2"/>
      <c r="C379" s="1"/>
      <c r="D379" s="1"/>
      <c r="E379" s="1"/>
      <c r="F379" s="1"/>
      <c r="G379" s="1"/>
      <c r="H379" s="1"/>
    </row>
    <row r="380" spans="2:8">
      <c r="B380" s="2"/>
      <c r="C380" s="1"/>
      <c r="D380" s="1"/>
      <c r="E380" s="1"/>
      <c r="F380" s="1"/>
      <c r="G380" s="1"/>
      <c r="H380" s="1"/>
    </row>
    <row r="381" spans="2:8">
      <c r="B381" s="2"/>
      <c r="C381" s="1"/>
      <c r="D381" s="1"/>
      <c r="E381" s="1"/>
      <c r="F381" s="1"/>
      <c r="G381" s="1"/>
      <c r="H381" s="1"/>
    </row>
    <row r="382" spans="2:8">
      <c r="B382" s="2"/>
      <c r="C382" s="1"/>
      <c r="D382" s="1"/>
      <c r="E382" s="1"/>
      <c r="F382" s="1"/>
      <c r="G382" s="1"/>
      <c r="H382" s="1"/>
    </row>
    <row r="383" spans="2:8">
      <c r="B383" s="2"/>
      <c r="C383" s="1"/>
      <c r="D383" s="1"/>
      <c r="E383" s="1"/>
      <c r="F383" s="1"/>
      <c r="G383" s="1"/>
      <c r="H383" s="1"/>
    </row>
    <row r="384" spans="2:8">
      <c r="B384" s="2"/>
      <c r="C384" s="1"/>
      <c r="D384" s="1"/>
      <c r="E384" s="1"/>
      <c r="F384" s="1"/>
      <c r="G384" s="1"/>
      <c r="H384" s="1"/>
    </row>
    <row r="385" spans="2:8">
      <c r="B385" s="2"/>
      <c r="C385" s="1"/>
      <c r="D385" s="1"/>
      <c r="E385" s="1"/>
      <c r="F385" s="1"/>
      <c r="G385" s="1"/>
      <c r="H385" s="1"/>
    </row>
    <row r="386" spans="2:8">
      <c r="B386" s="2"/>
      <c r="C386" s="1"/>
      <c r="D386" s="1"/>
      <c r="E386" s="1"/>
      <c r="F386" s="1"/>
      <c r="G386" s="1"/>
      <c r="H386" s="1"/>
    </row>
    <row r="387" spans="2:8">
      <c r="B387" s="2"/>
      <c r="C387" s="1"/>
      <c r="D387" s="1"/>
      <c r="E387" s="1"/>
      <c r="F387" s="1"/>
      <c r="G387" s="1"/>
      <c r="H387" s="1"/>
    </row>
    <row r="388" spans="2:8">
      <c r="B388" s="2"/>
      <c r="C388" s="1"/>
      <c r="D388" s="1"/>
      <c r="E388" s="1"/>
      <c r="F388" s="1"/>
      <c r="G388" s="1"/>
      <c r="H388" s="1"/>
    </row>
    <row r="389" spans="2:8">
      <c r="B389" s="2"/>
      <c r="C389" s="1"/>
      <c r="D389" s="1"/>
      <c r="E389" s="1"/>
      <c r="F389" s="1"/>
      <c r="G389" s="1"/>
      <c r="H389" s="1"/>
    </row>
    <row r="390" spans="2:8">
      <c r="B390" s="2"/>
      <c r="C390" s="1"/>
      <c r="D390" s="1"/>
      <c r="E390" s="1"/>
      <c r="F390" s="1"/>
      <c r="G390" s="1"/>
      <c r="H390" s="1"/>
    </row>
    <row r="391" spans="2:8">
      <c r="B391" s="2"/>
      <c r="C391" s="1"/>
      <c r="D391" s="1"/>
      <c r="E391" s="1"/>
      <c r="F391" s="1"/>
      <c r="G391" s="1"/>
      <c r="H391" s="1"/>
    </row>
    <row r="392" spans="2:8">
      <c r="B392" s="2"/>
      <c r="C392" s="1"/>
      <c r="D392" s="1"/>
      <c r="E392" s="1"/>
      <c r="F392" s="1"/>
      <c r="G392" s="1"/>
      <c r="H392" s="1"/>
    </row>
    <row r="393" spans="2:8">
      <c r="B393" s="2"/>
      <c r="C393" s="1"/>
      <c r="D393" s="1"/>
      <c r="E393" s="1"/>
      <c r="F393" s="1"/>
      <c r="G393" s="1"/>
      <c r="H393" s="1"/>
    </row>
    <row r="394" spans="2:8">
      <c r="B394" s="2"/>
      <c r="C394" s="1"/>
      <c r="D394" s="1"/>
      <c r="E394" s="1"/>
      <c r="F394" s="1"/>
      <c r="G394" s="1"/>
      <c r="H394" s="1"/>
    </row>
    <row r="395" spans="2:8">
      <c r="B395" s="2"/>
      <c r="C395" s="1"/>
      <c r="D395" s="1"/>
      <c r="E395" s="1"/>
      <c r="F395" s="1"/>
      <c r="G395" s="1"/>
      <c r="H395" s="1"/>
    </row>
    <row r="396" spans="2:8">
      <c r="B396" s="2"/>
      <c r="C396" s="1"/>
      <c r="D396" s="1"/>
      <c r="E396" s="1"/>
      <c r="F396" s="1"/>
      <c r="G396" s="1"/>
      <c r="H396" s="1"/>
    </row>
    <row r="397" spans="2:8">
      <c r="B397" s="2"/>
      <c r="C397" s="1"/>
      <c r="D397" s="1"/>
      <c r="E397" s="1"/>
      <c r="F397" s="1"/>
      <c r="G397" s="1"/>
      <c r="H397" s="1"/>
    </row>
    <row r="398" spans="2:8">
      <c r="B398" s="2"/>
      <c r="C398" s="1"/>
      <c r="D398" s="1"/>
      <c r="E398" s="1"/>
      <c r="F398" s="1"/>
      <c r="G398" s="1"/>
      <c r="H398" s="1"/>
    </row>
    <row r="399" spans="2:8">
      <c r="B399" s="2"/>
      <c r="C399" s="1"/>
      <c r="D399" s="1"/>
      <c r="E399" s="1"/>
      <c r="F399" s="1"/>
      <c r="G399" s="1"/>
      <c r="H399" s="1"/>
    </row>
    <row r="400" spans="2:8">
      <c r="B400" s="2"/>
      <c r="C400" s="1"/>
      <c r="D400" s="1"/>
      <c r="E400" s="1"/>
      <c r="F400" s="1"/>
      <c r="G400" s="1"/>
      <c r="H400" s="1"/>
    </row>
    <row r="401" spans="2:8">
      <c r="B401" s="2"/>
      <c r="C401" s="1"/>
      <c r="D401" s="1"/>
      <c r="E401" s="1"/>
      <c r="F401" s="1"/>
      <c r="G401" s="1"/>
      <c r="H401" s="1"/>
    </row>
    <row r="402" spans="2:8">
      <c r="B402" s="2"/>
      <c r="C402" s="1"/>
      <c r="D402" s="1"/>
      <c r="E402" s="1"/>
      <c r="F402" s="1"/>
      <c r="G402" s="1"/>
      <c r="H402" s="1"/>
    </row>
    <row r="403" spans="2:8">
      <c r="B403" s="2"/>
      <c r="C403" s="1"/>
      <c r="D403" s="1"/>
      <c r="E403" s="1"/>
      <c r="F403" s="1"/>
      <c r="G403" s="1"/>
      <c r="H403" s="1"/>
    </row>
    <row r="404" spans="2:8">
      <c r="B404" s="2"/>
      <c r="C404" s="1"/>
      <c r="D404" s="1"/>
      <c r="E404" s="1"/>
      <c r="F404" s="1"/>
      <c r="G404" s="1"/>
      <c r="H404" s="1"/>
    </row>
    <row r="405" spans="2:8">
      <c r="B405" s="2"/>
      <c r="C405" s="1"/>
      <c r="D405" s="1"/>
      <c r="E405" s="1"/>
      <c r="F405" s="1"/>
      <c r="G405" s="1"/>
      <c r="H405" s="1"/>
    </row>
    <row r="406" spans="2:8">
      <c r="B406" s="2"/>
      <c r="C406" s="1"/>
      <c r="D406" s="1"/>
      <c r="E406" s="1"/>
      <c r="F406" s="1"/>
      <c r="G406" s="1"/>
      <c r="H406" s="1"/>
    </row>
    <row r="407" spans="2:8">
      <c r="B407" s="2"/>
      <c r="C407" s="1"/>
      <c r="D407" s="1"/>
      <c r="E407" s="1"/>
      <c r="F407" s="1"/>
      <c r="G407" s="1"/>
      <c r="H407" s="1"/>
    </row>
    <row r="408" spans="2:8">
      <c r="B408" s="2"/>
      <c r="C408" s="1"/>
      <c r="D408" s="1"/>
      <c r="E408" s="1"/>
      <c r="F408" s="1"/>
      <c r="G408" s="1"/>
      <c r="H408" s="1"/>
    </row>
    <row r="409" spans="2:8">
      <c r="B409" s="2"/>
      <c r="C409" s="1"/>
      <c r="D409" s="1"/>
      <c r="E409" s="1"/>
      <c r="F409" s="1"/>
      <c r="G409" s="1"/>
      <c r="H409" s="1"/>
    </row>
    <row r="410" spans="2:8">
      <c r="B410" s="2"/>
      <c r="C410" s="1"/>
      <c r="D410" s="1"/>
      <c r="E410" s="1"/>
      <c r="F410" s="1"/>
      <c r="G410" s="1"/>
      <c r="H410" s="1"/>
    </row>
    <row r="411" spans="2:8">
      <c r="B411" s="2"/>
      <c r="C411" s="1"/>
      <c r="D411" s="1"/>
      <c r="E411" s="1"/>
      <c r="F411" s="1"/>
      <c r="G411" s="1"/>
      <c r="H411" s="1"/>
    </row>
    <row r="412" spans="2:8">
      <c r="B412" s="2"/>
      <c r="C412" s="1"/>
      <c r="D412" s="1"/>
      <c r="E412" s="1"/>
      <c r="F412" s="1"/>
      <c r="G412" s="1"/>
      <c r="H412" s="1"/>
    </row>
    <row r="413" spans="2:8">
      <c r="B413" s="2"/>
      <c r="C413" s="1"/>
      <c r="D413" s="1"/>
      <c r="E413" s="1"/>
      <c r="F413" s="1"/>
      <c r="G413" s="1"/>
      <c r="H413" s="1"/>
    </row>
    <row r="414" spans="2:8">
      <c r="B414" s="2"/>
      <c r="C414" s="1"/>
      <c r="D414" s="1"/>
      <c r="E414" s="1"/>
      <c r="F414" s="1"/>
      <c r="G414" s="1"/>
      <c r="H414" s="1"/>
    </row>
    <row r="415" spans="2:8">
      <c r="B415" s="2"/>
      <c r="C415" s="1"/>
      <c r="D415" s="1"/>
      <c r="E415" s="1"/>
      <c r="F415" s="1"/>
      <c r="G415" s="1"/>
      <c r="H415" s="1"/>
    </row>
    <row r="416" spans="2:8">
      <c r="B416" s="2"/>
      <c r="C416" s="1"/>
      <c r="D416" s="1"/>
      <c r="E416" s="1"/>
      <c r="F416" s="1"/>
      <c r="G416" s="1"/>
      <c r="H416" s="1"/>
    </row>
    <row r="417" spans="2:8">
      <c r="B417" s="2"/>
      <c r="C417" s="1"/>
      <c r="D417" s="1"/>
      <c r="E417" s="1"/>
      <c r="F417" s="1"/>
      <c r="G417" s="1"/>
      <c r="H417" s="1"/>
    </row>
    <row r="418" spans="2:8">
      <c r="B418" s="2"/>
      <c r="C418" s="1"/>
      <c r="D418" s="1"/>
      <c r="E418" s="1"/>
      <c r="F418" s="1"/>
      <c r="G418" s="1"/>
      <c r="H418" s="1"/>
    </row>
    <row r="419" spans="2:8">
      <c r="B419" s="2"/>
      <c r="C419" s="1"/>
      <c r="D419" s="1"/>
      <c r="E419" s="1"/>
      <c r="F419" s="1"/>
      <c r="G419" s="1"/>
      <c r="H419" s="1"/>
    </row>
    <row r="420" spans="2:8">
      <c r="B420" s="2"/>
      <c r="C420" s="1"/>
      <c r="D420" s="1"/>
      <c r="E420" s="1"/>
      <c r="F420" s="1"/>
      <c r="G420" s="1"/>
      <c r="H420" s="1"/>
    </row>
    <row r="421" spans="2:8">
      <c r="B421" s="2"/>
      <c r="C421" s="1"/>
      <c r="D421" s="1"/>
      <c r="E421" s="1"/>
      <c r="F421" s="1"/>
      <c r="G421" s="1"/>
      <c r="H421" s="1"/>
    </row>
    <row r="422" spans="2:8">
      <c r="B422" s="2"/>
      <c r="C422" s="1"/>
      <c r="D422" s="1"/>
      <c r="E422" s="1"/>
      <c r="F422" s="1"/>
      <c r="G422" s="1"/>
      <c r="H422" s="1"/>
    </row>
    <row r="423" spans="2:8">
      <c r="B423" s="2"/>
      <c r="C423" s="1"/>
      <c r="D423" s="1"/>
      <c r="E423" s="1"/>
      <c r="F423" s="1"/>
      <c r="G423" s="1"/>
      <c r="H423" s="1"/>
    </row>
    <row r="424" spans="2:8">
      <c r="B424" s="2"/>
      <c r="C424" s="1"/>
      <c r="D424" s="1"/>
      <c r="E424" s="1"/>
      <c r="F424" s="1"/>
      <c r="G424" s="1"/>
      <c r="H424" s="1"/>
    </row>
    <row r="425" spans="2:8">
      <c r="B425" s="2"/>
      <c r="C425" s="1"/>
      <c r="D425" s="1"/>
      <c r="E425" s="1"/>
      <c r="F425" s="1"/>
      <c r="G425" s="1"/>
      <c r="H425" s="1"/>
    </row>
    <row r="426" spans="2:8">
      <c r="B426" s="2"/>
      <c r="C426" s="1"/>
      <c r="D426" s="1"/>
      <c r="E426" s="1"/>
      <c r="F426" s="1"/>
      <c r="G426" s="1"/>
      <c r="H426" s="1"/>
    </row>
    <row r="427" spans="2:8">
      <c r="B427" s="2"/>
      <c r="C427" s="1"/>
      <c r="D427" s="1"/>
      <c r="E427" s="1"/>
      <c r="F427" s="1"/>
      <c r="G427" s="1"/>
      <c r="H427" s="1"/>
    </row>
    <row r="428" spans="2:8">
      <c r="B428" s="2"/>
      <c r="C428" s="1"/>
      <c r="D428" s="1"/>
      <c r="E428" s="1"/>
      <c r="F428" s="1"/>
      <c r="G428" s="1"/>
      <c r="H428" s="1"/>
    </row>
    <row r="429" spans="2:8">
      <c r="B429" s="2"/>
      <c r="C429" s="1"/>
      <c r="D429" s="1"/>
      <c r="E429" s="1"/>
      <c r="F429" s="1"/>
      <c r="G429" s="1"/>
      <c r="H429" s="1"/>
    </row>
    <row r="430" spans="2:8">
      <c r="B430" s="2"/>
      <c r="C430" s="1"/>
      <c r="D430" s="1"/>
      <c r="E430" s="1"/>
      <c r="F430" s="1"/>
      <c r="G430" s="1"/>
      <c r="H430" s="1"/>
    </row>
    <row r="431" spans="2:8">
      <c r="B431" s="2"/>
      <c r="C431" s="1"/>
      <c r="D431" s="1"/>
      <c r="E431" s="1"/>
      <c r="F431" s="1"/>
      <c r="G431" s="1"/>
      <c r="H431" s="1"/>
    </row>
    <row r="432" spans="2:8">
      <c r="B432" s="2"/>
      <c r="C432" s="1"/>
      <c r="D432" s="1"/>
      <c r="E432" s="1"/>
      <c r="F432" s="1"/>
      <c r="G432" s="1"/>
      <c r="H432" s="1"/>
    </row>
    <row r="433" spans="2:8">
      <c r="B433" s="2"/>
      <c r="C433" s="1"/>
      <c r="D433" s="1"/>
      <c r="E433" s="1"/>
      <c r="F433" s="1"/>
      <c r="G433" s="1"/>
      <c r="H433" s="1"/>
    </row>
    <row r="434" spans="2:8">
      <c r="B434" s="2"/>
      <c r="C434" s="1"/>
      <c r="D434" s="1"/>
      <c r="E434" s="1"/>
      <c r="F434" s="1"/>
      <c r="G434" s="1"/>
      <c r="H434" s="1"/>
    </row>
    <row r="435" spans="2:8">
      <c r="B435" s="2"/>
      <c r="C435" s="1"/>
      <c r="D435" s="1"/>
      <c r="E435" s="1"/>
      <c r="F435" s="1"/>
      <c r="G435" s="1"/>
      <c r="H435" s="1"/>
    </row>
    <row r="436" spans="2:8">
      <c r="B436" s="2"/>
      <c r="C436" s="1"/>
      <c r="D436" s="1"/>
      <c r="E436" s="1"/>
      <c r="F436" s="1"/>
      <c r="G436" s="1"/>
      <c r="H436" s="1"/>
    </row>
    <row r="437" spans="2:8">
      <c r="B437" s="2"/>
      <c r="C437" s="1"/>
      <c r="D437" s="1"/>
      <c r="E437" s="1"/>
      <c r="F437" s="1"/>
      <c r="G437" s="1"/>
      <c r="H437" s="1"/>
    </row>
    <row r="438" spans="2:8">
      <c r="B438" s="2"/>
      <c r="C438" s="1"/>
      <c r="D438" s="1"/>
      <c r="E438" s="1"/>
      <c r="F438" s="1"/>
      <c r="G438" s="1"/>
      <c r="H438" s="1"/>
    </row>
    <row r="439" spans="2:8">
      <c r="B439" s="2"/>
      <c r="C439" s="1"/>
      <c r="D439" s="1"/>
      <c r="E439" s="1"/>
      <c r="F439" s="1"/>
      <c r="G439" s="1"/>
      <c r="H439" s="1"/>
    </row>
    <row r="440" spans="2:8">
      <c r="B440" s="2"/>
      <c r="C440" s="1"/>
      <c r="D440" s="1"/>
      <c r="E440" s="1"/>
      <c r="F440" s="1"/>
      <c r="G440" s="1"/>
      <c r="H440" s="1"/>
    </row>
    <row r="441" spans="2:8">
      <c r="B441" s="2"/>
      <c r="C441" s="1"/>
      <c r="D441" s="1"/>
      <c r="E441" s="1"/>
      <c r="F441" s="1"/>
      <c r="G441" s="1"/>
      <c r="H441" s="1"/>
    </row>
    <row r="442" spans="2:8">
      <c r="B442" s="2"/>
      <c r="C442" s="1"/>
      <c r="D442" s="1"/>
      <c r="E442" s="1"/>
      <c r="F442" s="1"/>
      <c r="G442" s="1"/>
      <c r="H442" s="1"/>
    </row>
    <row r="443" spans="2:8">
      <c r="B443" s="2"/>
      <c r="C443" s="1"/>
      <c r="D443" s="1"/>
      <c r="E443" s="1"/>
      <c r="F443" s="1"/>
      <c r="G443" s="1"/>
      <c r="H443" s="1"/>
    </row>
    <row r="444" spans="2:8">
      <c r="B444" s="2"/>
      <c r="C444" s="1"/>
      <c r="D444" s="1"/>
      <c r="E444" s="1"/>
      <c r="F444" s="1"/>
      <c r="G444" s="1"/>
      <c r="H444" s="1"/>
    </row>
    <row r="445" spans="2:8">
      <c r="B445" s="2"/>
      <c r="C445" s="1"/>
      <c r="D445" s="1"/>
      <c r="E445" s="1"/>
      <c r="F445" s="1"/>
      <c r="G445" s="1"/>
      <c r="H445" s="1"/>
    </row>
    <row r="446" spans="2:8">
      <c r="B446" s="2"/>
      <c r="C446" s="1"/>
      <c r="D446" s="1"/>
      <c r="E446" s="1"/>
      <c r="F446" s="1"/>
      <c r="G446" s="1"/>
      <c r="H446" s="1"/>
    </row>
    <row r="447" spans="2:8">
      <c r="B447" s="2"/>
      <c r="C447" s="1"/>
      <c r="D447" s="1"/>
      <c r="E447" s="1"/>
      <c r="F447" s="1"/>
      <c r="G447" s="1"/>
      <c r="H447" s="1"/>
    </row>
    <row r="448" spans="2:8">
      <c r="B448" s="2"/>
      <c r="C448" s="1"/>
      <c r="D448" s="1"/>
      <c r="E448" s="1"/>
      <c r="F448" s="1"/>
      <c r="G448" s="1"/>
      <c r="H448" s="1"/>
    </row>
    <row r="449" spans="2:8">
      <c r="B449" s="2"/>
      <c r="C449" s="1"/>
      <c r="D449" s="1"/>
      <c r="E449" s="1"/>
      <c r="F449" s="1"/>
      <c r="G449" s="1"/>
      <c r="H449" s="1"/>
    </row>
    <row r="450" spans="2:8">
      <c r="B450" s="2"/>
      <c r="C450" s="1"/>
      <c r="D450" s="1"/>
      <c r="E450" s="1"/>
      <c r="F450" s="1"/>
      <c r="G450" s="1"/>
      <c r="H450" s="1"/>
    </row>
    <row r="451" spans="2:8">
      <c r="B451" s="2"/>
      <c r="C451" s="1"/>
      <c r="D451" s="1"/>
      <c r="E451" s="1"/>
      <c r="F451" s="1"/>
      <c r="G451" s="1"/>
      <c r="H451" s="1"/>
    </row>
    <row r="452" spans="2:8">
      <c r="B452" s="2"/>
      <c r="C452" s="1"/>
      <c r="D452" s="1"/>
      <c r="E452" s="1"/>
      <c r="F452" s="1"/>
      <c r="G452" s="1"/>
      <c r="H452" s="1"/>
    </row>
    <row r="453" spans="2:8">
      <c r="B453" s="2"/>
      <c r="C453" s="1"/>
      <c r="D453" s="1"/>
      <c r="E453" s="1"/>
      <c r="F453" s="1"/>
      <c r="G453" s="1"/>
      <c r="H453" s="1"/>
    </row>
    <row r="454" spans="2:8">
      <c r="B454" s="2"/>
      <c r="C454" s="1"/>
      <c r="D454" s="1"/>
      <c r="E454" s="1"/>
      <c r="F454" s="1"/>
      <c r="G454" s="1"/>
      <c r="H454" s="1"/>
    </row>
    <row r="455" spans="2:8">
      <c r="B455" s="2"/>
      <c r="C455" s="1"/>
      <c r="D455" s="1"/>
      <c r="E455" s="1"/>
      <c r="F455" s="1"/>
      <c r="G455" s="1"/>
      <c r="H455" s="1"/>
    </row>
    <row r="456" spans="2:8">
      <c r="B456" s="2"/>
      <c r="C456" s="1"/>
      <c r="D456" s="1"/>
      <c r="E456" s="1"/>
      <c r="F456" s="1"/>
      <c r="G456" s="1"/>
      <c r="H456" s="1"/>
    </row>
    <row r="457" spans="2:8">
      <c r="B457" s="2"/>
      <c r="C457" s="1"/>
      <c r="D457" s="1"/>
      <c r="E457" s="1"/>
      <c r="F457" s="1"/>
      <c r="G457" s="1"/>
      <c r="H457" s="1"/>
    </row>
    <row r="458" spans="2:8">
      <c r="B458" s="2"/>
      <c r="C458" s="1"/>
      <c r="D458" s="1"/>
      <c r="E458" s="1"/>
      <c r="F458" s="1"/>
      <c r="G458" s="1"/>
      <c r="H458" s="1"/>
    </row>
    <row r="459" spans="2:8">
      <c r="B459" s="2"/>
      <c r="C459" s="1"/>
      <c r="D459" s="1"/>
      <c r="E459" s="1"/>
      <c r="F459" s="1"/>
      <c r="G459" s="1"/>
      <c r="H459" s="1"/>
    </row>
    <row r="460" spans="2:8">
      <c r="B460" s="2"/>
      <c r="C460" s="1"/>
      <c r="D460" s="1"/>
      <c r="E460" s="1"/>
      <c r="F460" s="1"/>
      <c r="G460" s="1"/>
      <c r="H460" s="1"/>
    </row>
    <row r="461" spans="2:8">
      <c r="B461" s="2"/>
      <c r="C461" s="1"/>
      <c r="D461" s="1"/>
      <c r="E461" s="1"/>
      <c r="F461" s="1"/>
      <c r="G461" s="1"/>
      <c r="H461" s="1"/>
    </row>
    <row r="462" spans="2:8">
      <c r="B462" s="2"/>
      <c r="C462" s="1"/>
      <c r="D462" s="1"/>
      <c r="E462" s="1"/>
      <c r="F462" s="1"/>
      <c r="G462" s="1"/>
      <c r="H462" s="1"/>
    </row>
    <row r="463" spans="2:8">
      <c r="B463" s="2"/>
      <c r="C463" s="1"/>
      <c r="D463" s="1"/>
      <c r="E463" s="1"/>
      <c r="F463" s="1"/>
      <c r="G463" s="1"/>
      <c r="H463" s="1"/>
    </row>
    <row r="464" spans="2:8">
      <c r="B464" s="2"/>
      <c r="C464" s="1"/>
      <c r="D464" s="1"/>
      <c r="E464" s="1"/>
      <c r="F464" s="1"/>
      <c r="G464" s="1"/>
      <c r="H464" s="1"/>
    </row>
    <row r="465" spans="2:8">
      <c r="B465" s="2"/>
      <c r="C465" s="1"/>
      <c r="D465" s="1"/>
      <c r="E465" s="1"/>
      <c r="F465" s="1"/>
      <c r="G465" s="1"/>
      <c r="H465" s="1"/>
    </row>
    <row r="466" spans="2:8">
      <c r="B466" s="2"/>
      <c r="C466" s="1"/>
      <c r="D466" s="1"/>
      <c r="E466" s="1"/>
      <c r="F466" s="1"/>
      <c r="G466" s="1"/>
      <c r="H466" s="1"/>
    </row>
    <row r="467" spans="2:8">
      <c r="B467" s="2"/>
      <c r="C467" s="1"/>
      <c r="D467" s="1"/>
      <c r="E467" s="1"/>
      <c r="F467" s="1"/>
      <c r="G467" s="1"/>
      <c r="H467" s="1"/>
    </row>
    <row r="468" spans="2:8">
      <c r="B468" s="2"/>
      <c r="C468" s="1"/>
      <c r="D468" s="1"/>
      <c r="E468" s="1"/>
      <c r="F468" s="1"/>
      <c r="G468" s="1"/>
      <c r="H468" s="1"/>
    </row>
    <row r="469" spans="2:8">
      <c r="B469" s="2"/>
      <c r="C469" s="1"/>
      <c r="D469" s="1"/>
      <c r="E469" s="1"/>
      <c r="F469" s="1"/>
      <c r="G469" s="1"/>
      <c r="H469" s="1"/>
    </row>
    <row r="470" spans="2:8">
      <c r="B470" s="2"/>
      <c r="C470" s="1"/>
      <c r="D470" s="1"/>
      <c r="E470" s="1"/>
      <c r="F470" s="1"/>
      <c r="G470" s="1"/>
      <c r="H470" s="1"/>
    </row>
    <row r="471" spans="2:8">
      <c r="B471" s="2"/>
      <c r="C471" s="1"/>
      <c r="D471" s="1"/>
      <c r="E471" s="1"/>
      <c r="F471" s="1"/>
      <c r="G471" s="1"/>
      <c r="H471" s="1"/>
    </row>
    <row r="472" spans="2:8">
      <c r="B472" s="2"/>
      <c r="C472" s="1"/>
      <c r="D472" s="1"/>
      <c r="E472" s="1"/>
      <c r="F472" s="1"/>
      <c r="G472" s="1"/>
      <c r="H472" s="1"/>
    </row>
    <row r="473" spans="2:8">
      <c r="B473" s="2"/>
      <c r="C473" s="1"/>
      <c r="D473" s="1"/>
      <c r="E473" s="1"/>
      <c r="F473" s="1"/>
      <c r="G473" s="1"/>
      <c r="H473" s="1"/>
    </row>
    <row r="474" spans="2:8">
      <c r="B474" s="2"/>
      <c r="C474" s="1"/>
      <c r="D474" s="1"/>
      <c r="E474" s="1"/>
      <c r="F474" s="1"/>
      <c r="G474" s="1"/>
      <c r="H474" s="1"/>
    </row>
    <row r="475" spans="2:8">
      <c r="B475" s="2"/>
      <c r="C475" s="1"/>
      <c r="D475" s="1"/>
      <c r="E475" s="1"/>
      <c r="F475" s="1"/>
      <c r="G475" s="1"/>
      <c r="H475" s="1"/>
    </row>
    <row r="476" spans="2:8">
      <c r="B476" s="2"/>
      <c r="C476" s="1"/>
      <c r="D476" s="1"/>
      <c r="E476" s="1"/>
      <c r="F476" s="1"/>
      <c r="G476" s="1"/>
      <c r="H476" s="1"/>
    </row>
    <row r="477" spans="2:8">
      <c r="B477" s="2"/>
      <c r="C477" s="1"/>
      <c r="D477" s="1"/>
      <c r="E477" s="1"/>
      <c r="F477" s="1"/>
      <c r="G477" s="1"/>
      <c r="H477" s="1"/>
    </row>
    <row r="478" spans="2:8">
      <c r="B478" s="2"/>
      <c r="C478" s="1"/>
      <c r="D478" s="1"/>
      <c r="E478" s="1"/>
      <c r="F478" s="1"/>
      <c r="G478" s="1"/>
      <c r="H478" s="1"/>
    </row>
    <row r="479" spans="2:8">
      <c r="B479" s="2"/>
      <c r="C479" s="1"/>
      <c r="D479" s="1"/>
      <c r="E479" s="1"/>
      <c r="F479" s="1"/>
      <c r="G479" s="1"/>
      <c r="H479" s="1"/>
    </row>
    <row r="480" spans="2:8">
      <c r="B480" s="2"/>
      <c r="C480" s="1"/>
      <c r="D480" s="1"/>
      <c r="E480" s="1"/>
      <c r="F480" s="1"/>
      <c r="G480" s="1"/>
      <c r="H480" s="1"/>
    </row>
    <row r="481" spans="2:8">
      <c r="B481" s="2"/>
      <c r="C481" s="1"/>
      <c r="D481" s="1"/>
      <c r="E481" s="1"/>
      <c r="F481" s="1"/>
      <c r="G481" s="1"/>
      <c r="H481" s="1"/>
    </row>
    <row r="482" spans="2:8">
      <c r="B482" s="2"/>
      <c r="C482" s="1"/>
      <c r="D482" s="1"/>
      <c r="E482" s="1"/>
      <c r="F482" s="1"/>
      <c r="G482" s="1"/>
      <c r="H482" s="1"/>
    </row>
    <row r="483" spans="2:8">
      <c r="B483" s="2"/>
      <c r="C483" s="1"/>
      <c r="D483" s="1"/>
      <c r="E483" s="1"/>
      <c r="F483" s="1"/>
      <c r="G483" s="1"/>
      <c r="H483" s="1"/>
    </row>
    <row r="484" spans="2:8">
      <c r="B484" s="2"/>
      <c r="C484" s="1"/>
      <c r="D484" s="1"/>
      <c r="E484" s="1"/>
      <c r="F484" s="1"/>
      <c r="G484" s="1"/>
      <c r="H484" s="1"/>
    </row>
    <row r="485" spans="2:8">
      <c r="B485" s="2"/>
      <c r="C485" s="1"/>
      <c r="D485" s="1"/>
      <c r="E485" s="1"/>
      <c r="F485" s="1"/>
      <c r="G485" s="1"/>
      <c r="H485" s="1"/>
    </row>
    <row r="486" spans="2:8">
      <c r="B486" s="2"/>
      <c r="C486" s="1"/>
      <c r="D486" s="1"/>
      <c r="E486" s="1"/>
      <c r="F486" s="1"/>
      <c r="G486" s="1"/>
      <c r="H486" s="1"/>
    </row>
    <row r="487" spans="2:8">
      <c r="B487" s="2"/>
      <c r="C487" s="1"/>
      <c r="D487" s="1"/>
      <c r="E487" s="1"/>
      <c r="F487" s="1"/>
      <c r="G487" s="1"/>
      <c r="H487" s="1"/>
    </row>
    <row r="488" spans="2:8">
      <c r="B488" s="2"/>
      <c r="C488" s="1"/>
      <c r="D488" s="1"/>
      <c r="E488" s="1"/>
      <c r="F488" s="1"/>
      <c r="G488" s="1"/>
      <c r="H488" s="1"/>
    </row>
    <row r="489" spans="2:8">
      <c r="B489" s="2"/>
      <c r="C489" s="1"/>
      <c r="D489" s="1"/>
      <c r="E489" s="1"/>
      <c r="F489" s="1"/>
      <c r="G489" s="1"/>
      <c r="H489" s="1"/>
    </row>
    <row r="490" spans="2:8">
      <c r="B490" s="2"/>
      <c r="C490" s="1"/>
      <c r="D490" s="1"/>
      <c r="E490" s="1"/>
      <c r="F490" s="1"/>
      <c r="G490" s="1"/>
      <c r="H490" s="1"/>
    </row>
    <row r="491" spans="2:8">
      <c r="B491" s="2"/>
      <c r="C491" s="1"/>
      <c r="D491" s="1"/>
      <c r="E491" s="1"/>
      <c r="F491" s="1"/>
      <c r="G491" s="1"/>
      <c r="H491" s="1"/>
    </row>
    <row r="492" spans="2:8">
      <c r="B492" s="2"/>
      <c r="C492" s="1"/>
      <c r="D492" s="1"/>
      <c r="E492" s="1"/>
      <c r="F492" s="1"/>
      <c r="G492" s="1"/>
      <c r="H492" s="1"/>
    </row>
    <row r="493" spans="2:8">
      <c r="B493" s="2"/>
      <c r="C493" s="1"/>
      <c r="D493" s="1"/>
      <c r="E493" s="1"/>
      <c r="F493" s="1"/>
      <c r="G493" s="1"/>
      <c r="H493" s="1"/>
    </row>
    <row r="494" spans="2:8">
      <c r="B494" s="2"/>
      <c r="C494" s="1"/>
      <c r="D494" s="1"/>
      <c r="E494" s="1"/>
      <c r="F494" s="1"/>
      <c r="G494" s="1"/>
      <c r="H494" s="1"/>
    </row>
    <row r="495" spans="2:8">
      <c r="B495" s="2"/>
      <c r="C495" s="1"/>
      <c r="D495" s="1"/>
      <c r="E495" s="1"/>
      <c r="F495" s="1"/>
      <c r="G495" s="1"/>
      <c r="H495" s="1"/>
    </row>
    <row r="496" spans="2:8">
      <c r="B496" s="2"/>
      <c r="C496" s="1"/>
      <c r="D496" s="1"/>
      <c r="E496" s="1"/>
      <c r="F496" s="1"/>
      <c r="G496" s="1"/>
      <c r="H496" s="1"/>
    </row>
    <row r="497" spans="2:8">
      <c r="B497" s="2"/>
      <c r="C497" s="1"/>
      <c r="D497" s="1"/>
      <c r="E497" s="1"/>
      <c r="F497" s="1"/>
      <c r="G497" s="1"/>
      <c r="H497" s="1"/>
    </row>
    <row r="498" spans="2:8">
      <c r="B498" s="2"/>
      <c r="C498" s="1"/>
      <c r="D498" s="1"/>
      <c r="E498" s="1"/>
      <c r="F498" s="1"/>
      <c r="G498" s="1"/>
      <c r="H498" s="1"/>
    </row>
    <row r="499" spans="2:8">
      <c r="B499" s="2"/>
      <c r="C499" s="1"/>
      <c r="D499" s="1"/>
      <c r="E499" s="1"/>
      <c r="F499" s="1"/>
      <c r="G499" s="1"/>
      <c r="H499" s="1"/>
    </row>
    <row r="500" spans="2:8">
      <c r="B500" s="2"/>
      <c r="C500" s="1"/>
      <c r="D500" s="1"/>
      <c r="E500" s="1"/>
      <c r="F500" s="1"/>
      <c r="G500" s="1"/>
      <c r="H500" s="1"/>
    </row>
    <row r="501" spans="2:8">
      <c r="B501" s="2"/>
      <c r="C501" s="1"/>
      <c r="D501" s="1"/>
      <c r="E501" s="1"/>
      <c r="F501" s="1"/>
      <c r="G501" s="1"/>
      <c r="H501" s="1"/>
    </row>
    <row r="502" spans="2:8">
      <c r="B502" s="2"/>
      <c r="C502" s="1"/>
      <c r="D502" s="1"/>
      <c r="E502" s="1"/>
      <c r="F502" s="1"/>
      <c r="G502" s="1"/>
      <c r="H502" s="1"/>
    </row>
    <row r="503" spans="2:8">
      <c r="B503" s="2"/>
      <c r="C503" s="1"/>
      <c r="D503" s="1"/>
      <c r="E503" s="1"/>
      <c r="F503" s="1"/>
      <c r="G503" s="1"/>
      <c r="H503" s="1"/>
    </row>
    <row r="504" spans="2:8">
      <c r="B504" s="2"/>
      <c r="C504" s="1"/>
      <c r="D504" s="1"/>
      <c r="E504" s="1"/>
      <c r="F504" s="1"/>
      <c r="G504" s="1"/>
      <c r="H504" s="1"/>
    </row>
    <row r="505" spans="2:8">
      <c r="B505" s="2"/>
      <c r="C505" s="1"/>
      <c r="D505" s="1"/>
      <c r="E505" s="1"/>
      <c r="F505" s="1"/>
      <c r="G505" s="1"/>
      <c r="H505" s="1"/>
    </row>
    <row r="506" spans="2:8">
      <c r="B506" s="2"/>
      <c r="C506" s="1"/>
      <c r="D506" s="1"/>
      <c r="E506" s="1"/>
      <c r="F506" s="1"/>
      <c r="G506" s="1"/>
      <c r="H506" s="1"/>
    </row>
    <row r="507" spans="2:8">
      <c r="B507" s="2"/>
      <c r="C507" s="1"/>
      <c r="D507" s="1"/>
      <c r="E507" s="1"/>
      <c r="F507" s="1"/>
      <c r="G507" s="1"/>
      <c r="H507" s="1"/>
    </row>
    <row r="508" spans="2:8">
      <c r="B508" s="2"/>
      <c r="C508" s="1"/>
      <c r="D508" s="1"/>
      <c r="E508" s="1"/>
      <c r="F508" s="1"/>
      <c r="G508" s="1"/>
      <c r="H508" s="1"/>
    </row>
    <row r="509" spans="2:8">
      <c r="B509" s="2"/>
      <c r="C509" s="1"/>
      <c r="D509" s="1"/>
      <c r="E509" s="1"/>
      <c r="F509" s="1"/>
      <c r="G509" s="1"/>
      <c r="H509" s="1"/>
    </row>
    <row r="510" spans="2:8">
      <c r="B510" s="2"/>
      <c r="C510" s="1"/>
      <c r="D510" s="1"/>
      <c r="E510" s="1"/>
      <c r="F510" s="1"/>
      <c r="G510" s="1"/>
      <c r="H510" s="1"/>
    </row>
    <row r="511" spans="2:8">
      <c r="B511" s="2"/>
      <c r="C511" s="1"/>
      <c r="D511" s="1"/>
      <c r="E511" s="1"/>
      <c r="F511" s="1"/>
      <c r="G511" s="1"/>
      <c r="H511" s="1"/>
    </row>
    <row r="512" spans="2:8">
      <c r="B512" s="2"/>
      <c r="C512" s="1"/>
      <c r="D512" s="1"/>
      <c r="E512" s="1"/>
      <c r="F512" s="1"/>
      <c r="G512" s="1"/>
      <c r="H512" s="1"/>
    </row>
    <row r="513" spans="2:8">
      <c r="B513" s="2"/>
      <c r="C513" s="1"/>
      <c r="D513" s="1"/>
      <c r="E513" s="1"/>
      <c r="F513" s="1"/>
      <c r="G513" s="1"/>
      <c r="H513" s="1"/>
    </row>
    <row r="514" spans="2:8">
      <c r="B514" s="2"/>
      <c r="C514" s="1"/>
      <c r="D514" s="1"/>
      <c r="E514" s="1"/>
      <c r="F514" s="1"/>
      <c r="G514" s="1"/>
      <c r="H514" s="1"/>
    </row>
    <row r="515" spans="2:8">
      <c r="B515" s="2"/>
      <c r="C515" s="1"/>
      <c r="D515" s="1"/>
      <c r="E515" s="1"/>
      <c r="F515" s="1"/>
      <c r="G515" s="1"/>
      <c r="H515" s="1"/>
    </row>
    <row r="516" spans="2:8">
      <c r="B516" s="2"/>
      <c r="C516" s="1"/>
      <c r="D516" s="1"/>
      <c r="E516" s="1"/>
      <c r="F516" s="1"/>
      <c r="G516" s="1"/>
      <c r="H516" s="1"/>
    </row>
    <row r="517" spans="2:8">
      <c r="B517" s="2"/>
      <c r="C517" s="1"/>
      <c r="D517" s="1"/>
      <c r="E517" s="1"/>
      <c r="F517" s="1"/>
      <c r="G517" s="1"/>
      <c r="H517" s="1"/>
    </row>
    <row r="518" spans="2:8">
      <c r="B518" s="2"/>
      <c r="C518" s="1"/>
      <c r="D518" s="1"/>
      <c r="E518" s="1"/>
      <c r="F518" s="1"/>
      <c r="G518" s="1"/>
      <c r="H518" s="1"/>
    </row>
    <row r="519" spans="2:8">
      <c r="B519" s="2"/>
      <c r="C519" s="1"/>
      <c r="D519" s="1"/>
      <c r="E519" s="1"/>
      <c r="F519" s="1"/>
      <c r="G519" s="1"/>
      <c r="H519" s="1"/>
    </row>
    <row r="520" spans="2:8">
      <c r="B520" s="2"/>
      <c r="C520" s="1"/>
      <c r="D520" s="1"/>
      <c r="E520" s="1"/>
      <c r="F520" s="1"/>
      <c r="G520" s="1"/>
      <c r="H520" s="1"/>
    </row>
    <row r="521" spans="2:8">
      <c r="B521" s="2"/>
      <c r="C521" s="1"/>
      <c r="D521" s="1"/>
      <c r="E521" s="1"/>
      <c r="F521" s="1"/>
      <c r="G521" s="1"/>
      <c r="H521" s="1"/>
    </row>
    <row r="522" spans="2:8">
      <c r="B522" s="2"/>
      <c r="C522" s="1"/>
      <c r="D522" s="1"/>
      <c r="E522" s="1"/>
      <c r="F522" s="1"/>
      <c r="G522" s="1"/>
      <c r="H522" s="1"/>
    </row>
    <row r="523" spans="2:8">
      <c r="B523" s="2"/>
      <c r="C523" s="1"/>
      <c r="D523" s="1"/>
      <c r="E523" s="1"/>
      <c r="F523" s="1"/>
      <c r="G523" s="1"/>
      <c r="H523" s="1"/>
    </row>
    <row r="524" spans="2:8">
      <c r="B524" s="2"/>
      <c r="C524" s="1"/>
      <c r="D524" s="1"/>
      <c r="E524" s="1"/>
      <c r="F524" s="1"/>
      <c r="G524" s="1"/>
      <c r="H524" s="1"/>
    </row>
    <row r="525" spans="2:8">
      <c r="B525" s="2"/>
      <c r="C525" s="1"/>
      <c r="D525" s="1"/>
      <c r="E525" s="1"/>
      <c r="F525" s="1"/>
      <c r="G525" s="1"/>
      <c r="H525" s="1"/>
    </row>
    <row r="526" spans="2:8">
      <c r="B526" s="2"/>
      <c r="C526" s="1"/>
      <c r="D526" s="1"/>
      <c r="E526" s="1"/>
      <c r="F526" s="1"/>
      <c r="G526" s="1"/>
      <c r="H526" s="1"/>
    </row>
    <row r="527" spans="2:8">
      <c r="B527" s="2"/>
      <c r="C527" s="1"/>
      <c r="D527" s="1"/>
      <c r="E527" s="1"/>
      <c r="F527" s="1"/>
      <c r="G527" s="1"/>
      <c r="H527" s="1"/>
    </row>
    <row r="528" spans="2:8">
      <c r="B528" s="2"/>
      <c r="C528" s="1"/>
      <c r="D528" s="1"/>
      <c r="E528" s="1"/>
      <c r="F528" s="1"/>
      <c r="G528" s="1"/>
      <c r="H528" s="1"/>
    </row>
    <row r="529" spans="2:8">
      <c r="B529" s="2"/>
      <c r="C529" s="1"/>
      <c r="D529" s="1"/>
      <c r="E529" s="1"/>
      <c r="F529" s="1"/>
      <c r="G529" s="1"/>
      <c r="H529" s="1"/>
    </row>
    <row r="530" spans="2:8">
      <c r="B530" s="2"/>
      <c r="C530" s="1"/>
      <c r="D530" s="1"/>
      <c r="E530" s="1"/>
      <c r="F530" s="1"/>
      <c r="G530" s="1"/>
      <c r="H530" s="1"/>
    </row>
    <row r="531" spans="2:8">
      <c r="B531" s="2"/>
      <c r="C531" s="1"/>
      <c r="D531" s="1"/>
      <c r="E531" s="1"/>
      <c r="F531" s="1"/>
      <c r="G531" s="1"/>
      <c r="H531" s="1"/>
    </row>
    <row r="532" spans="2:8">
      <c r="B532" s="2"/>
      <c r="C532" s="1"/>
      <c r="D532" s="1"/>
      <c r="E532" s="1"/>
      <c r="F532" s="1"/>
      <c r="G532" s="1"/>
      <c r="H532" s="1"/>
    </row>
    <row r="533" spans="2:8">
      <c r="B533" s="2"/>
      <c r="C533" s="1"/>
      <c r="D533" s="1"/>
      <c r="E533" s="1"/>
      <c r="F533" s="1"/>
      <c r="G533" s="1"/>
      <c r="H533" s="1"/>
    </row>
    <row r="534" spans="2:8">
      <c r="B534" s="2"/>
      <c r="C534" s="1"/>
      <c r="D534" s="1"/>
      <c r="E534" s="1"/>
      <c r="F534" s="1"/>
      <c r="G534" s="1"/>
      <c r="H534" s="1"/>
    </row>
    <row r="535" spans="2:8">
      <c r="B535" s="2"/>
      <c r="C535" s="1"/>
      <c r="D535" s="1"/>
      <c r="E535" s="1"/>
      <c r="F535" s="1"/>
      <c r="G535" s="1"/>
      <c r="H535" s="1"/>
    </row>
    <row r="536" spans="2:8">
      <c r="B536" s="2"/>
      <c r="C536" s="1"/>
      <c r="D536" s="1"/>
      <c r="E536" s="1"/>
      <c r="F536" s="1"/>
      <c r="G536" s="1"/>
      <c r="H536" s="1"/>
    </row>
    <row r="537" spans="2:8">
      <c r="B537" s="2"/>
      <c r="C537" s="1"/>
      <c r="D537" s="1"/>
      <c r="E537" s="1"/>
      <c r="F537" s="1"/>
      <c r="G537" s="1"/>
      <c r="H537" s="1"/>
    </row>
    <row r="538" spans="2:8">
      <c r="B538" s="2"/>
      <c r="C538" s="1"/>
      <c r="D538" s="1"/>
      <c r="E538" s="1"/>
      <c r="F538" s="1"/>
      <c r="G538" s="1"/>
      <c r="H538" s="1"/>
    </row>
    <row r="539" spans="2:8">
      <c r="B539" s="2"/>
      <c r="C539" s="1"/>
      <c r="D539" s="1"/>
      <c r="E539" s="1"/>
      <c r="F539" s="1"/>
      <c r="G539" s="1"/>
      <c r="H539" s="1"/>
    </row>
    <row r="540" spans="2:8">
      <c r="B540" s="2"/>
      <c r="C540" s="1"/>
      <c r="D540" s="1"/>
      <c r="E540" s="1"/>
      <c r="F540" s="1"/>
      <c r="G540" s="1"/>
      <c r="H540" s="1"/>
    </row>
    <row r="541" spans="2:8">
      <c r="B541" s="2"/>
      <c r="C541" s="1"/>
      <c r="D541" s="1"/>
      <c r="E541" s="1"/>
      <c r="F541" s="1"/>
      <c r="G541" s="1"/>
      <c r="H541" s="1"/>
    </row>
    <row r="542" spans="2:8">
      <c r="B542" s="2"/>
      <c r="C542" s="1"/>
      <c r="D542" s="1"/>
      <c r="E542" s="1"/>
      <c r="F542" s="1"/>
      <c r="G542" s="1"/>
      <c r="H542" s="1"/>
    </row>
    <row r="543" spans="2:8">
      <c r="B543" s="2"/>
      <c r="C543" s="1"/>
      <c r="D543" s="1"/>
      <c r="E543" s="1"/>
      <c r="F543" s="1"/>
      <c r="G543" s="1"/>
      <c r="H543" s="1"/>
    </row>
    <row r="544" spans="2:8">
      <c r="B544" s="2"/>
      <c r="C544" s="1"/>
      <c r="D544" s="1"/>
      <c r="E544" s="1"/>
      <c r="F544" s="1"/>
      <c r="G544" s="1"/>
      <c r="H544" s="1"/>
    </row>
    <row r="545" spans="2:8">
      <c r="B545" s="2"/>
      <c r="C545" s="1"/>
      <c r="D545" s="1"/>
      <c r="E545" s="1"/>
      <c r="F545" s="1"/>
      <c r="G545" s="1"/>
      <c r="H545" s="1"/>
    </row>
    <row r="546" spans="2:8">
      <c r="B546" s="2"/>
      <c r="C546" s="1"/>
      <c r="D546" s="1"/>
      <c r="E546" s="1"/>
      <c r="F546" s="1"/>
      <c r="G546" s="1"/>
      <c r="H546" s="1"/>
    </row>
    <row r="547" spans="2:8">
      <c r="B547" s="2"/>
      <c r="C547" s="1"/>
      <c r="D547" s="1"/>
      <c r="E547" s="1"/>
      <c r="F547" s="1"/>
      <c r="G547" s="1"/>
      <c r="H547" s="1"/>
    </row>
    <row r="548" spans="2:8">
      <c r="B548" s="2"/>
      <c r="C548" s="1"/>
      <c r="D548" s="1"/>
      <c r="E548" s="1"/>
      <c r="F548" s="1"/>
      <c r="G548" s="1"/>
      <c r="H548" s="1"/>
    </row>
    <row r="549" spans="2:8">
      <c r="B549" s="2"/>
      <c r="C549" s="1"/>
      <c r="D549" s="1"/>
      <c r="E549" s="1"/>
      <c r="F549" s="1"/>
      <c r="G549" s="1"/>
      <c r="H549" s="1"/>
    </row>
    <row r="550" spans="2:8">
      <c r="B550" s="2"/>
      <c r="C550" s="1"/>
      <c r="D550" s="1"/>
      <c r="E550" s="1"/>
      <c r="F550" s="1"/>
      <c r="G550" s="1"/>
      <c r="H550" s="1"/>
    </row>
    <row r="551" spans="2:8">
      <c r="B551" s="2"/>
      <c r="C551" s="1"/>
      <c r="D551" s="1"/>
      <c r="E551" s="1"/>
      <c r="F551" s="1"/>
      <c r="G551" s="1"/>
      <c r="H551" s="1"/>
    </row>
    <row r="552" spans="2:8">
      <c r="B552" s="2"/>
      <c r="C552" s="1"/>
      <c r="D552" s="1"/>
      <c r="E552" s="1"/>
      <c r="F552" s="1"/>
      <c r="G552" s="1"/>
      <c r="H552" s="1"/>
    </row>
    <row r="553" spans="2:8">
      <c r="B553" s="2"/>
      <c r="C553" s="1"/>
      <c r="D553" s="1"/>
      <c r="E553" s="1"/>
      <c r="F553" s="1"/>
      <c r="G553" s="1"/>
      <c r="H553" s="1"/>
    </row>
    <row r="554" spans="2:8">
      <c r="B554" s="2"/>
      <c r="C554" s="1"/>
      <c r="D554" s="1"/>
      <c r="E554" s="1"/>
      <c r="F554" s="1"/>
      <c r="G554" s="1"/>
      <c r="H554" s="1"/>
    </row>
    <row r="555" spans="2:8">
      <c r="B555" s="2"/>
      <c r="C555" s="1"/>
      <c r="D555" s="1"/>
      <c r="E555" s="1"/>
      <c r="F555" s="1"/>
      <c r="G555" s="1"/>
      <c r="H555" s="1"/>
    </row>
    <row r="556" spans="2:8">
      <c r="B556" s="2"/>
      <c r="C556" s="1"/>
      <c r="D556" s="1"/>
      <c r="E556" s="1"/>
      <c r="F556" s="1"/>
      <c r="G556" s="1"/>
      <c r="H556" s="1"/>
    </row>
    <row r="557" spans="2:8">
      <c r="B557" s="2"/>
      <c r="C557" s="1"/>
      <c r="D557" s="1"/>
      <c r="E557" s="1"/>
      <c r="F557" s="1"/>
      <c r="G557" s="1"/>
      <c r="H557" s="1"/>
    </row>
    <row r="558" spans="2:8">
      <c r="B558" s="2"/>
      <c r="C558" s="1"/>
      <c r="D558" s="1"/>
      <c r="E558" s="1"/>
      <c r="F558" s="1"/>
      <c r="G558" s="1"/>
      <c r="H558" s="1"/>
    </row>
    <row r="559" spans="2:8">
      <c r="B559" s="2"/>
      <c r="C559" s="1"/>
      <c r="D559" s="1"/>
      <c r="E559" s="1"/>
      <c r="F559" s="1"/>
      <c r="G559" s="1"/>
      <c r="H559" s="1"/>
    </row>
    <row r="560" spans="2:8">
      <c r="B560" s="2"/>
      <c r="C560" s="1"/>
      <c r="D560" s="1"/>
      <c r="E560" s="1"/>
      <c r="F560" s="1"/>
      <c r="G560" s="1"/>
      <c r="H560" s="1"/>
    </row>
    <row r="561" spans="2:8">
      <c r="B561" s="2"/>
      <c r="C561" s="1"/>
      <c r="D561" s="1"/>
      <c r="E561" s="1"/>
      <c r="F561" s="1"/>
      <c r="G561" s="1"/>
      <c r="H561" s="1"/>
    </row>
    <row r="562" spans="2:8">
      <c r="B562" s="2"/>
      <c r="C562" s="1"/>
      <c r="D562" s="1"/>
      <c r="E562" s="1"/>
      <c r="F562" s="1"/>
      <c r="G562" s="1"/>
      <c r="H562" s="1"/>
    </row>
    <row r="563" spans="2:8">
      <c r="B563" s="2"/>
      <c r="C563" s="1"/>
      <c r="D563" s="1"/>
      <c r="E563" s="1"/>
      <c r="F563" s="1"/>
      <c r="G563" s="1"/>
      <c r="H563" s="1"/>
    </row>
    <row r="564" spans="2:8">
      <c r="B564" s="2"/>
      <c r="C564" s="1"/>
      <c r="D564" s="1"/>
      <c r="E564" s="1"/>
      <c r="F564" s="1"/>
      <c r="G564" s="1"/>
      <c r="H564" s="1"/>
    </row>
    <row r="565" spans="2:8">
      <c r="B565" s="2"/>
      <c r="C565" s="1"/>
      <c r="D565" s="1"/>
      <c r="E565" s="1"/>
      <c r="F565" s="1"/>
      <c r="G565" s="1"/>
      <c r="H565" s="1"/>
    </row>
    <row r="566" spans="2:8">
      <c r="B566" s="2"/>
      <c r="C566" s="1"/>
      <c r="D566" s="1"/>
      <c r="E566" s="1"/>
      <c r="F566" s="1"/>
      <c r="G566" s="1"/>
      <c r="H566" s="1"/>
    </row>
    <row r="567" spans="2:8">
      <c r="B567" s="2"/>
      <c r="C567" s="1"/>
      <c r="D567" s="1"/>
      <c r="E567" s="1"/>
      <c r="F567" s="1"/>
      <c r="G567" s="1"/>
      <c r="H567" s="1"/>
    </row>
    <row r="568" spans="2:8">
      <c r="B568" s="2"/>
      <c r="C568" s="1"/>
      <c r="D568" s="1"/>
      <c r="E568" s="1"/>
      <c r="F568" s="1"/>
      <c r="G568" s="1"/>
      <c r="H568" s="1"/>
    </row>
    <row r="569" spans="2:8">
      <c r="B569" s="2"/>
      <c r="C569" s="1"/>
      <c r="D569" s="1"/>
      <c r="E569" s="1"/>
      <c r="F569" s="1"/>
      <c r="G569" s="1"/>
      <c r="H569" s="1"/>
    </row>
    <row r="570" spans="2:8">
      <c r="B570" s="2"/>
      <c r="C570" s="1"/>
      <c r="D570" s="1"/>
      <c r="E570" s="1"/>
      <c r="F570" s="1"/>
      <c r="G570" s="1"/>
      <c r="H570" s="1"/>
    </row>
    <row r="571" spans="2:8">
      <c r="B571" s="2"/>
      <c r="C571" s="1"/>
      <c r="D571" s="1"/>
      <c r="E571" s="1"/>
      <c r="F571" s="1"/>
      <c r="G571" s="1"/>
      <c r="H571" s="1"/>
    </row>
    <row r="572" spans="2:8">
      <c r="B572" s="2"/>
      <c r="C572" s="1"/>
      <c r="D572" s="1"/>
      <c r="E572" s="1"/>
      <c r="F572" s="1"/>
      <c r="G572" s="1"/>
      <c r="H572" s="1"/>
    </row>
    <row r="573" spans="2:8">
      <c r="B573" s="2"/>
      <c r="C573" s="1"/>
      <c r="D573" s="1"/>
      <c r="E573" s="1"/>
      <c r="F573" s="1"/>
      <c r="G573" s="1"/>
      <c r="H573" s="1"/>
    </row>
    <row r="574" spans="2:8">
      <c r="B574" s="2"/>
      <c r="C574" s="1"/>
      <c r="D574" s="1"/>
      <c r="E574" s="1"/>
      <c r="F574" s="1"/>
      <c r="G574" s="1"/>
      <c r="H574" s="1"/>
    </row>
    <row r="575" spans="2:8">
      <c r="B575" s="2"/>
      <c r="C575" s="1"/>
      <c r="D575" s="1"/>
      <c r="E575" s="1"/>
      <c r="F575" s="1"/>
      <c r="G575" s="1"/>
      <c r="H575" s="1"/>
    </row>
    <row r="576" spans="2:8">
      <c r="B576" s="2"/>
      <c r="C576" s="1"/>
      <c r="D576" s="1"/>
      <c r="E576" s="1"/>
      <c r="F576" s="1"/>
      <c r="G576" s="1"/>
      <c r="H576" s="1"/>
    </row>
    <row r="577" spans="2:8">
      <c r="B577" s="2"/>
      <c r="C577" s="1"/>
      <c r="D577" s="1"/>
      <c r="E577" s="1"/>
      <c r="F577" s="1"/>
      <c r="G577" s="1"/>
      <c r="H577" s="1"/>
    </row>
    <row r="578" spans="2:8">
      <c r="B578" s="2"/>
      <c r="C578" s="1"/>
      <c r="D578" s="1"/>
      <c r="E578" s="1"/>
      <c r="F578" s="1"/>
      <c r="G578" s="1"/>
      <c r="H578" s="1"/>
    </row>
    <row r="579" spans="2:8">
      <c r="B579" s="2"/>
      <c r="C579" s="1"/>
      <c r="D579" s="1"/>
      <c r="E579" s="1"/>
      <c r="F579" s="1"/>
      <c r="G579" s="1"/>
      <c r="H579" s="1"/>
    </row>
    <row r="580" spans="2:8">
      <c r="B580" s="2"/>
      <c r="C580" s="1"/>
      <c r="D580" s="1"/>
      <c r="E580" s="1"/>
      <c r="F580" s="1"/>
      <c r="G580" s="1"/>
      <c r="H580" s="1"/>
    </row>
    <row r="581" spans="2:8">
      <c r="B581" s="2"/>
      <c r="C581" s="1"/>
      <c r="D581" s="1"/>
      <c r="E581" s="1"/>
      <c r="F581" s="1"/>
      <c r="G581" s="1"/>
      <c r="H581" s="1"/>
    </row>
    <row r="582" spans="2:8">
      <c r="B582" s="2"/>
      <c r="C582" s="1"/>
      <c r="D582" s="1"/>
      <c r="E582" s="1"/>
      <c r="F582" s="1"/>
      <c r="G582" s="1"/>
      <c r="H582" s="1"/>
    </row>
    <row r="583" spans="2:8">
      <c r="B583" s="2"/>
      <c r="C583" s="1"/>
      <c r="D583" s="1"/>
      <c r="E583" s="1"/>
      <c r="F583" s="1"/>
      <c r="G583" s="1"/>
      <c r="H583" s="1"/>
    </row>
    <row r="584" spans="2:8">
      <c r="B584" s="2"/>
      <c r="C584" s="1"/>
      <c r="D584" s="1"/>
      <c r="E584" s="1"/>
      <c r="F584" s="1"/>
      <c r="G584" s="1"/>
      <c r="H584" s="1"/>
    </row>
    <row r="585" spans="2:8">
      <c r="B585" s="2"/>
      <c r="C585" s="1"/>
      <c r="D585" s="1"/>
      <c r="E585" s="1"/>
      <c r="F585" s="1"/>
      <c r="G585" s="1"/>
      <c r="H585" s="1"/>
    </row>
    <row r="586" spans="2:8">
      <c r="B586" s="2"/>
      <c r="C586" s="1"/>
      <c r="D586" s="1"/>
      <c r="E586" s="1"/>
      <c r="F586" s="1"/>
      <c r="G586" s="1"/>
      <c r="H586" s="1"/>
    </row>
    <row r="587" spans="2:8">
      <c r="B587" s="2"/>
      <c r="C587" s="1"/>
      <c r="D587" s="1"/>
      <c r="E587" s="1"/>
      <c r="F587" s="1"/>
      <c r="G587" s="1"/>
      <c r="H587" s="1"/>
    </row>
    <row r="588" spans="2:8">
      <c r="B588" s="2"/>
      <c r="C588" s="1"/>
      <c r="D588" s="1"/>
      <c r="E588" s="1"/>
      <c r="F588" s="1"/>
      <c r="G588" s="1"/>
      <c r="H588" s="1"/>
    </row>
    <row r="589" spans="2:8">
      <c r="B589" s="2"/>
      <c r="C589" s="1"/>
      <c r="D589" s="1"/>
      <c r="E589" s="1"/>
      <c r="F589" s="1"/>
      <c r="G589" s="1"/>
      <c r="H589" s="1"/>
    </row>
    <row r="590" spans="2:8">
      <c r="B590" s="2"/>
      <c r="C590" s="1"/>
      <c r="D590" s="1"/>
      <c r="E590" s="1"/>
      <c r="F590" s="1"/>
      <c r="G590" s="1"/>
      <c r="H590" s="1"/>
    </row>
    <row r="591" spans="2:8">
      <c r="B591" s="2"/>
      <c r="C591" s="1"/>
      <c r="D591" s="1"/>
      <c r="E591" s="1"/>
      <c r="F591" s="1"/>
      <c r="G591" s="1"/>
      <c r="H591" s="1"/>
    </row>
    <row r="592" spans="2:8">
      <c r="B592" s="2"/>
      <c r="C592" s="1"/>
      <c r="D592" s="1"/>
      <c r="E592" s="1"/>
      <c r="F592" s="1"/>
      <c r="G592" s="1"/>
      <c r="H592" s="1"/>
    </row>
    <row r="593" spans="2:8">
      <c r="B593" s="2"/>
      <c r="C593" s="1"/>
      <c r="D593" s="1"/>
      <c r="E593" s="1"/>
      <c r="F593" s="1"/>
      <c r="G593" s="1"/>
      <c r="H593" s="1"/>
    </row>
    <row r="594" spans="2:8">
      <c r="B594" s="2"/>
      <c r="C594" s="1"/>
      <c r="D594" s="1"/>
      <c r="E594" s="1"/>
      <c r="F594" s="1"/>
      <c r="G594" s="1"/>
      <c r="H594" s="1"/>
    </row>
    <row r="595" spans="2:8">
      <c r="B595" s="2"/>
      <c r="C595" s="1"/>
      <c r="D595" s="1"/>
      <c r="E595" s="1"/>
      <c r="F595" s="1"/>
      <c r="G595" s="1"/>
      <c r="H595" s="1"/>
    </row>
    <row r="596" spans="2:8">
      <c r="B596" s="2"/>
      <c r="C596" s="1"/>
      <c r="D596" s="1"/>
      <c r="E596" s="1"/>
      <c r="F596" s="1"/>
      <c r="G596" s="1"/>
      <c r="H596" s="1"/>
    </row>
    <row r="597" spans="2:8">
      <c r="B597" s="2"/>
      <c r="C597" s="1"/>
      <c r="D597" s="1"/>
      <c r="E597" s="1"/>
      <c r="F597" s="1"/>
      <c r="G597" s="1"/>
      <c r="H597" s="1"/>
    </row>
    <row r="598" spans="2:8">
      <c r="B598" s="2"/>
      <c r="C598" s="1"/>
      <c r="D598" s="1"/>
      <c r="E598" s="1"/>
      <c r="F598" s="1"/>
      <c r="G598" s="1"/>
      <c r="H598" s="1"/>
    </row>
    <row r="599" spans="2:8">
      <c r="B599" s="2"/>
      <c r="C599" s="1"/>
      <c r="D599" s="1"/>
      <c r="E599" s="1"/>
      <c r="F599" s="1"/>
      <c r="G599" s="1"/>
      <c r="H599" s="1"/>
    </row>
    <row r="600" spans="2:8">
      <c r="B600" s="2"/>
      <c r="C600" s="1"/>
      <c r="D600" s="1"/>
      <c r="E600" s="1"/>
      <c r="F600" s="1"/>
      <c r="G600" s="1"/>
      <c r="H600" s="1"/>
    </row>
    <row r="601" spans="2:8">
      <c r="B601" s="2"/>
      <c r="C601" s="1"/>
      <c r="D601" s="1"/>
      <c r="E601" s="1"/>
      <c r="F601" s="1"/>
      <c r="G601" s="1"/>
      <c r="H601" s="1"/>
    </row>
    <row r="602" spans="2:8">
      <c r="B602" s="2"/>
      <c r="C602" s="1"/>
      <c r="D602" s="1"/>
      <c r="E602" s="1"/>
      <c r="F602" s="1"/>
      <c r="G602" s="1"/>
      <c r="H602" s="1"/>
    </row>
    <row r="603" spans="2:8">
      <c r="B603" s="2"/>
      <c r="C603" s="1"/>
      <c r="D603" s="1"/>
      <c r="E603" s="1"/>
      <c r="F603" s="1"/>
      <c r="G603" s="1"/>
      <c r="H603" s="1"/>
    </row>
    <row r="604" spans="2:8">
      <c r="B604" s="2"/>
      <c r="C604" s="1"/>
      <c r="D604" s="1"/>
      <c r="E604" s="1"/>
      <c r="F604" s="1"/>
      <c r="G604" s="1"/>
      <c r="H604" s="1"/>
    </row>
    <row r="605" spans="2:8">
      <c r="B605" s="2"/>
      <c r="C605" s="1"/>
      <c r="D605" s="1"/>
      <c r="E605" s="1"/>
      <c r="F605" s="1"/>
      <c r="G605" s="1"/>
      <c r="H605" s="1"/>
    </row>
    <row r="606" spans="2:8">
      <c r="B606" s="2"/>
      <c r="C606" s="1"/>
      <c r="D606" s="1"/>
      <c r="E606" s="1"/>
      <c r="F606" s="1"/>
      <c r="G606" s="1"/>
      <c r="H606" s="1"/>
    </row>
    <row r="607" spans="2:8">
      <c r="B607" s="2"/>
      <c r="C607" s="1"/>
      <c r="D607" s="1"/>
      <c r="E607" s="1"/>
      <c r="F607" s="1"/>
      <c r="G607" s="1"/>
      <c r="H607" s="1"/>
    </row>
    <row r="608" spans="2:8">
      <c r="B608" s="2"/>
      <c r="C608" s="1"/>
      <c r="D608" s="1"/>
      <c r="E608" s="1"/>
      <c r="F608" s="1"/>
      <c r="G608" s="1"/>
      <c r="H608" s="1"/>
    </row>
    <row r="609" spans="2:8">
      <c r="B609" s="2"/>
      <c r="C609" s="1"/>
      <c r="D609" s="1"/>
      <c r="E609" s="1"/>
      <c r="F609" s="1"/>
      <c r="G609" s="1"/>
      <c r="H609" s="1"/>
    </row>
    <row r="610" spans="2:8">
      <c r="B610" s="2"/>
      <c r="C610" s="1"/>
      <c r="D610" s="1"/>
      <c r="E610" s="1"/>
      <c r="F610" s="1"/>
      <c r="G610" s="1"/>
      <c r="H610" s="1"/>
    </row>
    <row r="611" spans="2:8">
      <c r="B611" s="2"/>
      <c r="C611" s="1"/>
      <c r="D611" s="1"/>
      <c r="E611" s="1"/>
      <c r="F611" s="1"/>
      <c r="G611" s="1"/>
      <c r="H611" s="1"/>
    </row>
    <row r="612" spans="2:8">
      <c r="B612" s="2"/>
      <c r="C612" s="1"/>
      <c r="D612" s="1"/>
      <c r="E612" s="1"/>
      <c r="F612" s="1"/>
      <c r="G612" s="1"/>
      <c r="H612" s="1"/>
    </row>
    <row r="613" spans="2:8">
      <c r="B613" s="2"/>
      <c r="C613" s="1"/>
      <c r="D613" s="1"/>
      <c r="E613" s="1"/>
      <c r="F613" s="1"/>
      <c r="G613" s="1"/>
      <c r="H613" s="1"/>
    </row>
    <row r="614" spans="2:8">
      <c r="B614" s="2"/>
      <c r="C614" s="1"/>
      <c r="D614" s="1"/>
      <c r="E614" s="1"/>
      <c r="F614" s="1"/>
      <c r="G614" s="1"/>
      <c r="H614" s="1"/>
    </row>
    <row r="615" spans="2:8">
      <c r="B615" s="2"/>
      <c r="C615" s="1"/>
      <c r="D615" s="1"/>
      <c r="E615" s="1"/>
      <c r="F615" s="1"/>
      <c r="G615" s="1"/>
      <c r="H615" s="1"/>
    </row>
    <row r="616" spans="2:8">
      <c r="B616" s="2"/>
      <c r="C616" s="1"/>
      <c r="D616" s="1"/>
      <c r="E616" s="1"/>
      <c r="F616" s="1"/>
      <c r="G616" s="1"/>
      <c r="H616" s="1"/>
    </row>
    <row r="617" spans="2:8">
      <c r="B617" s="2"/>
      <c r="C617" s="1"/>
      <c r="D617" s="1"/>
      <c r="E617" s="1"/>
      <c r="F617" s="1"/>
      <c r="G617" s="1"/>
      <c r="H617" s="1"/>
    </row>
    <row r="618" spans="2:8">
      <c r="B618" s="2"/>
      <c r="C618" s="1"/>
      <c r="D618" s="1"/>
      <c r="E618" s="1"/>
      <c r="F618" s="1"/>
      <c r="G618" s="1"/>
      <c r="H618" s="1"/>
    </row>
    <row r="619" spans="2:8">
      <c r="B619" s="2"/>
      <c r="C619" s="1"/>
      <c r="D619" s="1"/>
      <c r="E619" s="1"/>
      <c r="F619" s="1"/>
      <c r="G619" s="1"/>
      <c r="H619" s="1"/>
    </row>
    <row r="620" spans="2:8">
      <c r="B620" s="2"/>
      <c r="C620" s="1"/>
      <c r="D620" s="1"/>
      <c r="E620" s="1"/>
      <c r="F620" s="1"/>
      <c r="G620" s="1"/>
      <c r="H620" s="1"/>
    </row>
    <row r="621" spans="2:8">
      <c r="B621" s="2"/>
      <c r="C621" s="1"/>
      <c r="D621" s="1"/>
      <c r="E621" s="1"/>
      <c r="F621" s="1"/>
      <c r="G621" s="1"/>
      <c r="H621" s="1"/>
    </row>
    <row r="622" spans="2:8">
      <c r="B622" s="2"/>
      <c r="C622" s="1"/>
      <c r="D622" s="1"/>
      <c r="E622" s="1"/>
      <c r="F622" s="1"/>
      <c r="G622" s="1"/>
      <c r="H622" s="1"/>
    </row>
    <row r="623" spans="2:8">
      <c r="B623" s="2"/>
      <c r="C623" s="1"/>
      <c r="D623" s="1"/>
      <c r="E623" s="1"/>
      <c r="F623" s="1"/>
      <c r="G623" s="1"/>
      <c r="H623" s="1"/>
    </row>
    <row r="624" spans="2:8">
      <c r="B624" s="2"/>
      <c r="C624" s="1"/>
      <c r="D624" s="1"/>
      <c r="E624" s="1"/>
      <c r="F624" s="1"/>
      <c r="G624" s="1"/>
      <c r="H624" s="1"/>
    </row>
    <row r="625" spans="2:8">
      <c r="B625" s="2"/>
      <c r="C625" s="1"/>
      <c r="D625" s="1"/>
      <c r="E625" s="1"/>
      <c r="F625" s="1"/>
      <c r="G625" s="1"/>
      <c r="H625" s="1"/>
    </row>
    <row r="626" spans="2:8">
      <c r="B626" s="2"/>
      <c r="C626" s="1"/>
      <c r="D626" s="1"/>
      <c r="E626" s="1"/>
      <c r="F626" s="1"/>
      <c r="G626" s="1"/>
      <c r="H626" s="1"/>
    </row>
    <row r="627" spans="2:8">
      <c r="B627" s="2"/>
      <c r="C627" s="1"/>
      <c r="D627" s="1"/>
      <c r="E627" s="1"/>
      <c r="F627" s="1"/>
      <c r="G627" s="1"/>
      <c r="H627" s="1"/>
    </row>
    <row r="628" spans="2:8">
      <c r="B628" s="2"/>
      <c r="C628" s="1"/>
      <c r="D628" s="1"/>
      <c r="E628" s="1"/>
      <c r="F628" s="1"/>
      <c r="G628" s="1"/>
      <c r="H628" s="1"/>
    </row>
    <row r="629" spans="2:8">
      <c r="B629" s="2"/>
      <c r="C629" s="1"/>
      <c r="D629" s="1"/>
      <c r="E629" s="1"/>
      <c r="F629" s="1"/>
      <c r="G629" s="1"/>
      <c r="H629" s="1"/>
    </row>
    <row r="630" spans="2:8">
      <c r="B630" s="2"/>
      <c r="C630" s="1"/>
      <c r="D630" s="1"/>
      <c r="E630" s="1"/>
      <c r="F630" s="1"/>
      <c r="G630" s="1"/>
      <c r="H630" s="1"/>
    </row>
    <row r="631" spans="2:8">
      <c r="B631" s="2"/>
      <c r="C631" s="1"/>
      <c r="D631" s="1"/>
      <c r="E631" s="1"/>
      <c r="F631" s="1"/>
      <c r="G631" s="1"/>
      <c r="H631" s="1"/>
    </row>
    <row r="632" spans="2:8">
      <c r="B632" s="2"/>
      <c r="C632" s="1"/>
      <c r="D632" s="1"/>
      <c r="E632" s="1"/>
      <c r="F632" s="1"/>
      <c r="G632" s="1"/>
      <c r="H632" s="1"/>
    </row>
    <row r="633" spans="2:8">
      <c r="B633" s="2"/>
      <c r="C633" s="1"/>
      <c r="D633" s="1"/>
      <c r="E633" s="1"/>
      <c r="F633" s="1"/>
      <c r="G633" s="1"/>
      <c r="H633" s="1"/>
    </row>
    <row r="634" spans="2:8">
      <c r="B634" s="2"/>
      <c r="C634" s="1"/>
      <c r="D634" s="1"/>
      <c r="E634" s="1"/>
      <c r="F634" s="1"/>
      <c r="G634" s="1"/>
      <c r="H634" s="1"/>
    </row>
    <row r="635" spans="2:8">
      <c r="B635" s="2"/>
      <c r="C635" s="1"/>
      <c r="D635" s="1"/>
      <c r="E635" s="1"/>
      <c r="F635" s="1"/>
      <c r="G635" s="1"/>
      <c r="H635" s="1"/>
    </row>
    <row r="636" spans="2:8">
      <c r="B636" s="2"/>
      <c r="C636" s="1"/>
      <c r="D636" s="1"/>
      <c r="E636" s="1"/>
      <c r="F636" s="1"/>
      <c r="G636" s="1"/>
      <c r="H636" s="1"/>
    </row>
    <row r="637" spans="2:8">
      <c r="B637" s="2"/>
      <c r="C637" s="1"/>
      <c r="D637" s="1"/>
      <c r="E637" s="1"/>
      <c r="F637" s="1"/>
      <c r="G637" s="1"/>
      <c r="H637" s="1"/>
    </row>
    <row r="638" spans="2:8">
      <c r="B638" s="2"/>
      <c r="C638" s="1"/>
      <c r="D638" s="1"/>
      <c r="E638" s="1"/>
      <c r="F638" s="1"/>
      <c r="G638" s="1"/>
      <c r="H638" s="1"/>
    </row>
    <row r="639" spans="2:8">
      <c r="B639" s="2"/>
      <c r="C639" s="1"/>
      <c r="D639" s="1"/>
      <c r="E639" s="1"/>
      <c r="F639" s="1"/>
      <c r="G639" s="1"/>
      <c r="H639" s="1"/>
    </row>
    <row r="640" spans="2:8">
      <c r="B640" s="2"/>
      <c r="C640" s="1"/>
      <c r="D640" s="1"/>
      <c r="E640" s="1"/>
      <c r="F640" s="1"/>
      <c r="G640" s="1"/>
      <c r="H640" s="1"/>
    </row>
    <row r="641" spans="2:8">
      <c r="B641" s="2"/>
      <c r="C641" s="1"/>
      <c r="D641" s="1"/>
      <c r="E641" s="1"/>
      <c r="F641" s="1"/>
      <c r="G641" s="1"/>
      <c r="H641" s="1"/>
    </row>
    <row r="642" spans="2:8">
      <c r="B642" s="2"/>
      <c r="C642" s="1"/>
      <c r="D642" s="1"/>
      <c r="E642" s="1"/>
      <c r="F642" s="1"/>
      <c r="G642" s="1"/>
      <c r="H642" s="1"/>
    </row>
    <row r="643" spans="2:8">
      <c r="B643" s="2"/>
      <c r="C643" s="1"/>
      <c r="D643" s="1"/>
      <c r="E643" s="1"/>
      <c r="F643" s="1"/>
      <c r="G643" s="1"/>
      <c r="H643" s="1"/>
    </row>
    <row r="644" spans="2:8">
      <c r="B644" s="2"/>
      <c r="C644" s="1"/>
      <c r="D644" s="1"/>
      <c r="E644" s="1"/>
      <c r="F644" s="1"/>
      <c r="G644" s="1"/>
      <c r="H644" s="1"/>
    </row>
    <row r="645" spans="2:8">
      <c r="B645" s="2"/>
      <c r="C645" s="1"/>
      <c r="D645" s="1"/>
      <c r="E645" s="1"/>
      <c r="F645" s="1"/>
      <c r="G645" s="1"/>
      <c r="H645" s="1"/>
    </row>
    <row r="646" spans="2:8">
      <c r="B646" s="2"/>
      <c r="C646" s="1"/>
      <c r="D646" s="1"/>
      <c r="E646" s="1"/>
      <c r="F646" s="1"/>
      <c r="G646" s="1"/>
      <c r="H646" s="1"/>
    </row>
    <row r="647" spans="2:8">
      <c r="B647" s="2"/>
      <c r="C647" s="1"/>
      <c r="D647" s="1"/>
      <c r="E647" s="1"/>
      <c r="F647" s="1"/>
      <c r="G647" s="1"/>
      <c r="H647" s="1"/>
    </row>
    <row r="648" spans="2:8">
      <c r="B648" s="2"/>
      <c r="C648" s="1"/>
      <c r="D648" s="1"/>
      <c r="E648" s="1"/>
      <c r="F648" s="1"/>
      <c r="G648" s="1"/>
      <c r="H648" s="1"/>
    </row>
    <row r="649" spans="2:8">
      <c r="B649" s="2"/>
      <c r="C649" s="1"/>
      <c r="D649" s="1"/>
      <c r="E649" s="1"/>
      <c r="F649" s="1"/>
      <c r="G649" s="1"/>
      <c r="H649" s="1"/>
    </row>
    <row r="650" spans="2:8">
      <c r="B650" s="2"/>
      <c r="C650" s="1"/>
      <c r="D650" s="1"/>
      <c r="E650" s="1"/>
      <c r="F650" s="1"/>
      <c r="G650" s="1"/>
      <c r="H650" s="1"/>
    </row>
    <row r="651" spans="2:8">
      <c r="B651" s="2"/>
      <c r="C651" s="1"/>
      <c r="D651" s="1"/>
      <c r="E651" s="1"/>
      <c r="F651" s="1"/>
      <c r="G651" s="1"/>
      <c r="H651" s="1"/>
    </row>
    <row r="652" spans="2:8">
      <c r="B652" s="2"/>
      <c r="C652" s="1"/>
      <c r="D652" s="1"/>
      <c r="E652" s="1"/>
      <c r="F652" s="1"/>
      <c r="G652" s="1"/>
      <c r="H652" s="1"/>
    </row>
    <row r="653" spans="2:8">
      <c r="B653" s="2"/>
      <c r="C653" s="1"/>
      <c r="D653" s="1"/>
      <c r="E653" s="1"/>
      <c r="F653" s="1"/>
      <c r="G653" s="1"/>
      <c r="H653" s="1"/>
    </row>
    <row r="654" spans="2:8">
      <c r="B654" s="2"/>
      <c r="C654" s="1"/>
      <c r="D654" s="1"/>
      <c r="E654" s="1"/>
      <c r="F654" s="1"/>
      <c r="G654" s="1"/>
      <c r="H654" s="1"/>
    </row>
    <row r="655" spans="2:8">
      <c r="B655" s="2"/>
      <c r="C655" s="1"/>
      <c r="D655" s="1"/>
      <c r="E655" s="1"/>
      <c r="F655" s="1"/>
      <c r="G655" s="1"/>
      <c r="H655" s="1"/>
    </row>
    <row r="656" spans="2:8">
      <c r="B656" s="2"/>
      <c r="C656" s="1"/>
      <c r="D656" s="1"/>
      <c r="E656" s="1"/>
      <c r="F656" s="1"/>
      <c r="G656" s="1"/>
      <c r="H656" s="1"/>
    </row>
    <row r="657" spans="2:8">
      <c r="B657" s="2"/>
      <c r="C657" s="1"/>
      <c r="D657" s="1"/>
      <c r="E657" s="1"/>
      <c r="F657" s="1"/>
      <c r="G657" s="1"/>
      <c r="H657" s="1"/>
    </row>
    <row r="658" spans="2:8">
      <c r="B658" s="2"/>
      <c r="C658" s="1"/>
      <c r="D658" s="1"/>
      <c r="E658" s="1"/>
      <c r="F658" s="1"/>
      <c r="G658" s="1"/>
      <c r="H658" s="1"/>
    </row>
    <row r="659" spans="2:8">
      <c r="B659" s="2"/>
      <c r="C659" s="1"/>
      <c r="D659" s="1"/>
      <c r="E659" s="1"/>
      <c r="F659" s="1"/>
      <c r="G659" s="1"/>
      <c r="H659" s="1"/>
    </row>
    <row r="660" spans="2:8">
      <c r="B660" s="2"/>
      <c r="C660" s="1"/>
      <c r="D660" s="1"/>
      <c r="E660" s="1"/>
      <c r="F660" s="1"/>
      <c r="G660" s="1"/>
      <c r="H660" s="1"/>
    </row>
    <row r="661" spans="2:8">
      <c r="B661" s="2"/>
      <c r="C661" s="1"/>
      <c r="D661" s="1"/>
      <c r="E661" s="1"/>
      <c r="F661" s="1"/>
      <c r="G661" s="1"/>
      <c r="H661" s="1"/>
    </row>
    <row r="662" spans="2:8">
      <c r="B662" s="2"/>
      <c r="C662" s="1"/>
      <c r="D662" s="1"/>
      <c r="E662" s="1"/>
      <c r="F662" s="1"/>
      <c r="G662" s="1"/>
      <c r="H662" s="1"/>
    </row>
    <row r="663" spans="2:8">
      <c r="B663" s="2"/>
      <c r="C663" s="1"/>
      <c r="D663" s="1"/>
      <c r="E663" s="1"/>
      <c r="F663" s="1"/>
      <c r="G663" s="1"/>
      <c r="H663" s="1"/>
    </row>
    <row r="664" spans="2:8">
      <c r="B664" s="2"/>
      <c r="C664" s="1"/>
      <c r="D664" s="1"/>
      <c r="E664" s="1"/>
      <c r="F664" s="1"/>
      <c r="G664" s="1"/>
      <c r="H664" s="1"/>
    </row>
    <row r="665" spans="2:8">
      <c r="B665" s="2"/>
      <c r="C665" s="1"/>
      <c r="D665" s="1"/>
      <c r="E665" s="1"/>
      <c r="F665" s="1"/>
      <c r="G665" s="1"/>
      <c r="H665" s="1"/>
    </row>
    <row r="666" spans="2:8">
      <c r="B666" s="2"/>
      <c r="C666" s="1"/>
      <c r="D666" s="1"/>
      <c r="E666" s="1"/>
      <c r="F666" s="1"/>
      <c r="G666" s="1"/>
      <c r="H666" s="1"/>
    </row>
    <row r="667" spans="2:8">
      <c r="B667" s="2"/>
      <c r="C667" s="1"/>
      <c r="D667" s="1"/>
      <c r="E667" s="1"/>
      <c r="F667" s="1"/>
      <c r="G667" s="1"/>
      <c r="H667" s="1"/>
    </row>
    <row r="668" spans="2:8">
      <c r="B668" s="2"/>
      <c r="C668" s="1"/>
      <c r="D668" s="1"/>
      <c r="E668" s="1"/>
      <c r="F668" s="1"/>
      <c r="G668" s="1"/>
      <c r="H668" s="1"/>
    </row>
    <row r="669" spans="2:8">
      <c r="B669" s="2"/>
      <c r="C669" s="1"/>
      <c r="D669" s="1"/>
      <c r="E669" s="1"/>
      <c r="F669" s="1"/>
      <c r="G669" s="1"/>
      <c r="H669" s="1"/>
    </row>
    <row r="670" spans="2:8">
      <c r="B670" s="2"/>
      <c r="C670" s="1"/>
      <c r="D670" s="1"/>
      <c r="E670" s="1"/>
      <c r="F670" s="1"/>
      <c r="G670" s="1"/>
      <c r="H670" s="1"/>
    </row>
    <row r="671" spans="2:8">
      <c r="B671" s="2"/>
      <c r="C671" s="1"/>
      <c r="D671" s="1"/>
      <c r="E671" s="1"/>
      <c r="F671" s="1"/>
      <c r="G671" s="1"/>
      <c r="H671" s="1"/>
    </row>
    <row r="672" spans="2:8">
      <c r="B672" s="2"/>
      <c r="C672" s="1"/>
      <c r="D672" s="1"/>
      <c r="E672" s="1"/>
      <c r="F672" s="1"/>
      <c r="G672" s="1"/>
      <c r="H672" s="1"/>
    </row>
    <row r="673" spans="2:8">
      <c r="B673" s="2"/>
      <c r="C673" s="1"/>
      <c r="D673" s="1"/>
      <c r="E673" s="1"/>
      <c r="F673" s="1"/>
      <c r="G673" s="1"/>
      <c r="H673" s="1"/>
    </row>
    <row r="674" spans="2:8">
      <c r="B674" s="2"/>
      <c r="C674" s="1"/>
      <c r="D674" s="1"/>
      <c r="E674" s="1"/>
      <c r="F674" s="1"/>
      <c r="G674" s="1"/>
      <c r="H674" s="1"/>
    </row>
    <row r="675" spans="2:8">
      <c r="B675" s="2"/>
      <c r="C675" s="1"/>
      <c r="D675" s="1"/>
      <c r="E675" s="1"/>
      <c r="F675" s="1"/>
      <c r="G675" s="1"/>
      <c r="H675" s="1"/>
    </row>
    <row r="676" spans="2:8">
      <c r="B676" s="2"/>
      <c r="C676" s="1"/>
      <c r="D676" s="1"/>
      <c r="E676" s="1"/>
      <c r="F676" s="1"/>
      <c r="G676" s="1"/>
      <c r="H676" s="1"/>
    </row>
    <row r="677" spans="2:8">
      <c r="B677" s="2"/>
      <c r="C677" s="1"/>
      <c r="D677" s="1"/>
      <c r="E677" s="1"/>
      <c r="F677" s="1"/>
      <c r="G677" s="1"/>
      <c r="H677" s="1"/>
    </row>
    <row r="678" spans="2:8">
      <c r="B678" s="2"/>
      <c r="C678" s="1"/>
      <c r="D678" s="1"/>
      <c r="E678" s="1"/>
      <c r="F678" s="1"/>
      <c r="G678" s="1"/>
      <c r="H678" s="1"/>
    </row>
    <row r="679" spans="2:8">
      <c r="B679" s="2"/>
      <c r="C679" s="1"/>
      <c r="D679" s="1"/>
      <c r="E679" s="1"/>
      <c r="F679" s="1"/>
      <c r="G679" s="1"/>
      <c r="H679" s="1"/>
    </row>
    <row r="680" spans="2:8">
      <c r="B680" s="2"/>
      <c r="C680" s="1"/>
      <c r="D680" s="1"/>
      <c r="E680" s="1"/>
      <c r="F680" s="1"/>
      <c r="G680" s="1"/>
      <c r="H680" s="1"/>
    </row>
    <row r="681" spans="2:8">
      <c r="B681" s="2"/>
      <c r="C681" s="1"/>
      <c r="D681" s="1"/>
      <c r="E681" s="1"/>
      <c r="F681" s="1"/>
      <c r="G681" s="1"/>
      <c r="H681" s="1"/>
    </row>
    <row r="682" spans="2:8">
      <c r="B682" s="2"/>
      <c r="C682" s="1"/>
      <c r="D682" s="1"/>
      <c r="E682" s="1"/>
      <c r="F682" s="1"/>
      <c r="G682" s="1"/>
      <c r="H682" s="1"/>
    </row>
    <row r="683" spans="2:8">
      <c r="B683" s="2"/>
      <c r="C683" s="1"/>
      <c r="D683" s="1"/>
      <c r="E683" s="1"/>
      <c r="F683" s="1"/>
      <c r="G683" s="1"/>
      <c r="H683" s="1"/>
    </row>
    <row r="684" spans="2:8">
      <c r="B684" s="2"/>
      <c r="C684" s="1"/>
      <c r="D684" s="1"/>
      <c r="E684" s="1"/>
      <c r="F684" s="1"/>
      <c r="G684" s="1"/>
      <c r="H684" s="1"/>
    </row>
    <row r="685" spans="2:8">
      <c r="B685" s="2"/>
      <c r="C685" s="1"/>
      <c r="D685" s="1"/>
      <c r="E685" s="1"/>
      <c r="F685" s="1"/>
      <c r="G685" s="1"/>
      <c r="H685" s="1"/>
    </row>
    <row r="686" spans="2:8">
      <c r="B686" s="2"/>
      <c r="C686" s="1"/>
      <c r="D686" s="1"/>
      <c r="E686" s="1"/>
      <c r="F686" s="1"/>
      <c r="G686" s="1"/>
      <c r="H686" s="1"/>
    </row>
    <row r="687" spans="2:8">
      <c r="B687" s="2"/>
      <c r="C687" s="1"/>
      <c r="D687" s="1"/>
      <c r="E687" s="1"/>
      <c r="F687" s="1"/>
      <c r="G687" s="1"/>
      <c r="H687" s="1"/>
    </row>
    <row r="688" spans="2:8">
      <c r="B688" s="2"/>
      <c r="C688" s="1"/>
      <c r="D688" s="1"/>
      <c r="E688" s="1"/>
      <c r="F688" s="1"/>
      <c r="G688" s="1"/>
      <c r="H688" s="1"/>
    </row>
    <row r="689" spans="2:8">
      <c r="B689" s="2"/>
      <c r="C689" s="1"/>
      <c r="D689" s="1"/>
      <c r="E689" s="1"/>
      <c r="F689" s="1"/>
      <c r="G689" s="1"/>
      <c r="H689" s="1"/>
    </row>
    <row r="690" spans="2:8">
      <c r="B690" s="2"/>
      <c r="C690" s="1"/>
      <c r="D690" s="1"/>
      <c r="E690" s="1"/>
      <c r="F690" s="1"/>
      <c r="G690" s="1"/>
      <c r="H690" s="1"/>
    </row>
    <row r="691" spans="2:8">
      <c r="B691" s="2"/>
      <c r="C691" s="1"/>
      <c r="D691" s="1"/>
      <c r="E691" s="1"/>
      <c r="F691" s="1"/>
      <c r="G691" s="1"/>
      <c r="H691" s="1"/>
    </row>
    <row r="692" spans="2:8">
      <c r="B692" s="2"/>
      <c r="C692" s="1"/>
      <c r="D692" s="1"/>
      <c r="E692" s="1"/>
      <c r="F692" s="1"/>
      <c r="G692" s="1"/>
      <c r="H692" s="1"/>
    </row>
    <row r="693" spans="2:8">
      <c r="B693" s="2"/>
      <c r="C693" s="1"/>
      <c r="D693" s="1"/>
      <c r="E693" s="1"/>
      <c r="F693" s="1"/>
      <c r="G693" s="1"/>
      <c r="H693" s="1"/>
    </row>
    <row r="694" spans="2:8">
      <c r="B694" s="2"/>
      <c r="C694" s="1"/>
      <c r="D694" s="1"/>
      <c r="E694" s="1"/>
      <c r="F694" s="1"/>
      <c r="G694" s="1"/>
      <c r="H694" s="1"/>
    </row>
    <row r="695" spans="2:8">
      <c r="B695" s="2"/>
      <c r="C695" s="1"/>
      <c r="D695" s="1"/>
      <c r="E695" s="1"/>
      <c r="F695" s="1"/>
      <c r="G695" s="1"/>
      <c r="H695" s="1"/>
    </row>
    <row r="696" spans="2:8">
      <c r="B696" s="2"/>
      <c r="C696" s="1"/>
      <c r="D696" s="1"/>
      <c r="E696" s="1"/>
      <c r="F696" s="1"/>
      <c r="G696" s="1"/>
      <c r="H696" s="1"/>
    </row>
    <row r="697" spans="2:8">
      <c r="B697" s="2"/>
      <c r="C697" s="1"/>
      <c r="D697" s="1"/>
      <c r="E697" s="1"/>
      <c r="F697" s="1"/>
      <c r="G697" s="1"/>
      <c r="H697" s="1"/>
    </row>
    <row r="698" spans="2:8">
      <c r="B698" s="2"/>
      <c r="C698" s="1"/>
      <c r="D698" s="1"/>
      <c r="E698" s="1"/>
      <c r="F698" s="1"/>
      <c r="G698" s="1"/>
      <c r="H698" s="1"/>
    </row>
    <row r="699" spans="2:8">
      <c r="B699" s="2"/>
      <c r="C699" s="1"/>
      <c r="D699" s="1"/>
      <c r="E699" s="1"/>
      <c r="F699" s="1"/>
      <c r="G699" s="1"/>
      <c r="H699" s="1"/>
    </row>
    <row r="700" spans="2:8">
      <c r="B700" s="2"/>
      <c r="C700" s="1"/>
      <c r="D700" s="1"/>
      <c r="E700" s="1"/>
      <c r="F700" s="1"/>
      <c r="G700" s="1"/>
      <c r="H700" s="1"/>
    </row>
    <row r="701" spans="2:8">
      <c r="B701" s="2"/>
      <c r="C701" s="1"/>
      <c r="D701" s="1"/>
      <c r="E701" s="1"/>
      <c r="F701" s="1"/>
      <c r="G701" s="1"/>
      <c r="H701" s="1"/>
    </row>
    <row r="702" spans="2:8">
      <c r="B702" s="2"/>
      <c r="C702" s="1"/>
      <c r="D702" s="1"/>
      <c r="E702" s="1"/>
      <c r="F702" s="1"/>
      <c r="G702" s="1"/>
      <c r="H702" s="1"/>
    </row>
    <row r="703" spans="2:8">
      <c r="B703" s="2"/>
      <c r="C703" s="1"/>
      <c r="D703" s="1"/>
      <c r="E703" s="1"/>
      <c r="F703" s="1"/>
      <c r="G703" s="1"/>
      <c r="H703" s="1"/>
    </row>
    <row r="704" spans="2:8">
      <c r="B704" s="2"/>
      <c r="C704" s="1"/>
      <c r="D704" s="1"/>
      <c r="E704" s="1"/>
      <c r="F704" s="1"/>
      <c r="G704" s="1"/>
      <c r="H704" s="1"/>
    </row>
    <row r="705" spans="2:8">
      <c r="B705" s="2"/>
      <c r="C705" s="1"/>
      <c r="D705" s="1"/>
      <c r="E705" s="1"/>
      <c r="F705" s="1"/>
      <c r="G705" s="1"/>
      <c r="H705" s="1"/>
    </row>
    <row r="706" spans="2:8">
      <c r="B706" s="2"/>
      <c r="C706" s="1"/>
      <c r="D706" s="1"/>
      <c r="E706" s="1"/>
      <c r="F706" s="1"/>
      <c r="G706" s="1"/>
      <c r="H706" s="1"/>
    </row>
    <row r="707" spans="2:8">
      <c r="B707" s="2"/>
      <c r="C707" s="1"/>
      <c r="D707" s="1"/>
      <c r="E707" s="1"/>
      <c r="F707" s="1"/>
      <c r="G707" s="1"/>
      <c r="H707" s="1"/>
    </row>
    <row r="708" spans="2:8">
      <c r="B708" s="2"/>
      <c r="C708" s="1"/>
      <c r="D708" s="1"/>
      <c r="E708" s="1"/>
      <c r="F708" s="1"/>
      <c r="G708" s="1"/>
      <c r="H708" s="1"/>
    </row>
    <row r="709" spans="2:8">
      <c r="B709" s="2"/>
      <c r="C709" s="1"/>
      <c r="D709" s="1"/>
      <c r="E709" s="1"/>
      <c r="F709" s="1"/>
      <c r="G709" s="1"/>
      <c r="H709" s="1"/>
    </row>
    <row r="710" spans="2:8">
      <c r="B710" s="2"/>
      <c r="C710" s="1"/>
      <c r="D710" s="1"/>
      <c r="E710" s="1"/>
      <c r="F710" s="1"/>
      <c r="G710" s="1"/>
      <c r="H710" s="1"/>
    </row>
    <row r="711" spans="2:8">
      <c r="B711" s="2"/>
      <c r="C711" s="1"/>
      <c r="D711" s="1"/>
      <c r="E711" s="1"/>
      <c r="F711" s="1"/>
      <c r="G711" s="1"/>
      <c r="H711" s="1"/>
    </row>
    <row r="712" spans="2:8">
      <c r="B712" s="2"/>
      <c r="C712" s="1"/>
      <c r="D712" s="1"/>
      <c r="E712" s="1"/>
      <c r="F712" s="1"/>
      <c r="G712" s="1"/>
      <c r="H712" s="1"/>
    </row>
    <row r="713" spans="2:8">
      <c r="B713" s="2"/>
      <c r="C713" s="1"/>
      <c r="D713" s="1"/>
      <c r="E713" s="1"/>
      <c r="F713" s="1"/>
      <c r="G713" s="1"/>
      <c r="H713" s="1"/>
    </row>
    <row r="714" spans="2:8">
      <c r="B714" s="2"/>
      <c r="C714" s="1"/>
      <c r="D714" s="1"/>
      <c r="E714" s="1"/>
      <c r="F714" s="1"/>
      <c r="G714" s="1"/>
      <c r="H714" s="1"/>
    </row>
    <row r="715" spans="2:8">
      <c r="B715" s="2"/>
      <c r="C715" s="1"/>
      <c r="D715" s="1"/>
      <c r="E715" s="1"/>
      <c r="F715" s="1"/>
      <c r="G715" s="1"/>
      <c r="H715" s="1"/>
    </row>
    <row r="716" spans="2:8">
      <c r="B716" s="2"/>
      <c r="C716" s="1"/>
      <c r="D716" s="1"/>
      <c r="E716" s="1"/>
      <c r="F716" s="1"/>
      <c r="G716" s="1"/>
      <c r="H716" s="1"/>
    </row>
    <row r="717" spans="2:8">
      <c r="B717" s="2"/>
      <c r="C717" s="1"/>
      <c r="D717" s="1"/>
      <c r="E717" s="1"/>
      <c r="F717" s="1"/>
      <c r="G717" s="1"/>
      <c r="H717" s="1"/>
    </row>
    <row r="718" spans="2:8">
      <c r="B718" s="2"/>
      <c r="C718" s="1"/>
      <c r="D718" s="1"/>
      <c r="E718" s="1"/>
      <c r="F718" s="1"/>
      <c r="G718" s="1"/>
      <c r="H718" s="1"/>
    </row>
    <row r="719" spans="2:8">
      <c r="B719" s="2"/>
      <c r="C719" s="1"/>
      <c r="D719" s="1"/>
      <c r="E719" s="1"/>
      <c r="F719" s="1"/>
      <c r="G719" s="1"/>
      <c r="H719" s="1"/>
    </row>
    <row r="720" spans="2:8">
      <c r="B720" s="2"/>
      <c r="C720" s="1"/>
      <c r="D720" s="1"/>
      <c r="E720" s="1"/>
      <c r="F720" s="1"/>
      <c r="G720" s="1"/>
      <c r="H720" s="1"/>
    </row>
    <row r="721" spans="2:8">
      <c r="B721" s="2"/>
      <c r="C721" s="1"/>
      <c r="D721" s="1"/>
      <c r="E721" s="1"/>
      <c r="F721" s="1"/>
      <c r="G721" s="1"/>
      <c r="H721" s="1"/>
    </row>
    <row r="722" spans="2:8">
      <c r="B722" s="2"/>
      <c r="C722" s="1"/>
      <c r="D722" s="1"/>
      <c r="E722" s="1"/>
      <c r="F722" s="1"/>
      <c r="G722" s="1"/>
      <c r="H722" s="1"/>
    </row>
    <row r="723" spans="2:8">
      <c r="B723" s="2"/>
      <c r="C723" s="1"/>
      <c r="D723" s="1"/>
      <c r="E723" s="1"/>
      <c r="F723" s="1"/>
      <c r="G723" s="1"/>
      <c r="H723" s="1"/>
    </row>
    <row r="724" spans="2:8">
      <c r="B724" s="2"/>
      <c r="C724" s="1"/>
      <c r="D724" s="1"/>
      <c r="E724" s="1"/>
      <c r="F724" s="1"/>
      <c r="G724" s="1"/>
      <c r="H724" s="1"/>
    </row>
    <row r="725" spans="2:8">
      <c r="B725" s="2"/>
      <c r="C725" s="1"/>
      <c r="D725" s="1"/>
      <c r="E725" s="1"/>
      <c r="F725" s="1"/>
      <c r="G725" s="1"/>
      <c r="H725" s="1"/>
    </row>
    <row r="726" spans="2:8">
      <c r="B726" s="2"/>
      <c r="C726" s="1"/>
      <c r="D726" s="1"/>
      <c r="E726" s="1"/>
      <c r="F726" s="1"/>
      <c r="G726" s="1"/>
      <c r="H726" s="1"/>
    </row>
    <row r="727" spans="2:8">
      <c r="B727" s="2"/>
      <c r="C727" s="1"/>
      <c r="D727" s="1"/>
      <c r="E727" s="1"/>
      <c r="F727" s="1"/>
      <c r="G727" s="1"/>
      <c r="H727" s="1"/>
    </row>
    <row r="728" spans="2:8">
      <c r="B728" s="2"/>
      <c r="C728" s="1"/>
      <c r="D728" s="1"/>
      <c r="E728" s="1"/>
      <c r="F728" s="1"/>
      <c r="G728" s="1"/>
      <c r="H728" s="1"/>
    </row>
    <row r="729" spans="2:8">
      <c r="B729" s="2"/>
      <c r="C729" s="1"/>
      <c r="D729" s="1"/>
      <c r="E729" s="1"/>
      <c r="F729" s="1"/>
      <c r="G729" s="1"/>
      <c r="H729" s="1"/>
    </row>
    <row r="730" spans="2:8">
      <c r="B730" s="2"/>
      <c r="C730" s="1"/>
      <c r="D730" s="1"/>
      <c r="E730" s="1"/>
      <c r="F730" s="1"/>
      <c r="G730" s="1"/>
      <c r="H730" s="1"/>
    </row>
    <row r="731" spans="2:8">
      <c r="B731" s="2"/>
      <c r="C731" s="1"/>
      <c r="D731" s="1"/>
      <c r="E731" s="1"/>
      <c r="F731" s="1"/>
      <c r="G731" s="1"/>
      <c r="H731" s="1"/>
    </row>
    <row r="732" spans="2:8">
      <c r="B732" s="2"/>
      <c r="C732" s="1"/>
      <c r="D732" s="1"/>
      <c r="E732" s="1"/>
      <c r="F732" s="1"/>
      <c r="G732" s="1"/>
      <c r="H732" s="1"/>
    </row>
    <row r="733" spans="2:8">
      <c r="B733" s="2"/>
      <c r="C733" s="1"/>
      <c r="D733" s="1"/>
      <c r="E733" s="1"/>
      <c r="F733" s="1"/>
      <c r="G733" s="1"/>
      <c r="H733" s="1"/>
    </row>
    <row r="734" spans="2:8">
      <c r="B734" s="2"/>
      <c r="C734" s="1"/>
      <c r="D734" s="1"/>
      <c r="E734" s="1"/>
      <c r="F734" s="1"/>
      <c r="G734" s="1"/>
      <c r="H734" s="1"/>
    </row>
    <row r="735" spans="2:8">
      <c r="B735" s="2"/>
      <c r="C735" s="1"/>
      <c r="D735" s="1"/>
      <c r="E735" s="1"/>
      <c r="F735" s="1"/>
      <c r="G735" s="1"/>
      <c r="H735" s="1"/>
    </row>
    <row r="736" spans="2:8">
      <c r="B736" s="2"/>
      <c r="C736" s="1"/>
      <c r="D736" s="1"/>
      <c r="E736" s="1"/>
      <c r="F736" s="1"/>
      <c r="G736" s="1"/>
      <c r="H736" s="1"/>
    </row>
    <row r="737" spans="2:8">
      <c r="B737" s="2"/>
      <c r="C737" s="1"/>
      <c r="D737" s="1"/>
      <c r="E737" s="1"/>
      <c r="F737" s="1"/>
      <c r="G737" s="1"/>
      <c r="H737" s="1"/>
    </row>
    <row r="738" spans="2:8">
      <c r="B738" s="2"/>
      <c r="C738" s="1"/>
      <c r="D738" s="1"/>
      <c r="E738" s="1"/>
      <c r="F738" s="1"/>
      <c r="G738" s="1"/>
      <c r="H738" s="1"/>
    </row>
    <row r="739" spans="2:8">
      <c r="B739" s="2"/>
      <c r="C739" s="1"/>
      <c r="D739" s="1"/>
      <c r="E739" s="1"/>
      <c r="F739" s="1"/>
      <c r="G739" s="1"/>
      <c r="H739" s="1"/>
    </row>
    <row r="740" spans="2:8">
      <c r="B740" s="2"/>
      <c r="C740" s="1"/>
      <c r="D740" s="1"/>
      <c r="E740" s="1"/>
      <c r="F740" s="1"/>
      <c r="G740" s="1"/>
      <c r="H740" s="1"/>
    </row>
    <row r="741" spans="2:8">
      <c r="B741" s="2"/>
      <c r="C741" s="1"/>
      <c r="D741" s="1"/>
      <c r="E741" s="1"/>
      <c r="F741" s="1"/>
      <c r="G741" s="1"/>
      <c r="H741" s="1"/>
    </row>
    <row r="742" spans="2:8">
      <c r="B742" s="2"/>
      <c r="C742" s="1"/>
      <c r="D742" s="1"/>
      <c r="E742" s="1"/>
      <c r="F742" s="1"/>
      <c r="G742" s="1"/>
      <c r="H742" s="1"/>
    </row>
    <row r="743" spans="2:8">
      <c r="B743" s="2"/>
      <c r="C743" s="1"/>
      <c r="D743" s="1"/>
      <c r="E743" s="1"/>
      <c r="F743" s="1"/>
      <c r="G743" s="1"/>
      <c r="H743" s="1"/>
    </row>
    <row r="744" spans="2:8">
      <c r="B744" s="2"/>
      <c r="C744" s="1"/>
      <c r="D744" s="1"/>
      <c r="E744" s="1"/>
      <c r="F744" s="1"/>
      <c r="G744" s="1"/>
      <c r="H744" s="1"/>
    </row>
    <row r="745" spans="2:8">
      <c r="B745" s="2"/>
      <c r="C745" s="1"/>
      <c r="D745" s="1"/>
      <c r="E745" s="1"/>
      <c r="F745" s="1"/>
      <c r="G745" s="1"/>
      <c r="H745" s="1"/>
    </row>
    <row r="746" spans="2:8">
      <c r="B746" s="2"/>
      <c r="C746" s="1"/>
      <c r="D746" s="1"/>
      <c r="E746" s="1"/>
      <c r="F746" s="1"/>
      <c r="G746" s="1"/>
      <c r="H746" s="1"/>
    </row>
    <row r="747" spans="2:8">
      <c r="B747" s="2"/>
      <c r="C747" s="1"/>
      <c r="D747" s="1"/>
      <c r="E747" s="1"/>
      <c r="F747" s="1"/>
      <c r="G747" s="1"/>
      <c r="H747" s="1"/>
    </row>
    <row r="748" spans="2:8">
      <c r="B748" s="2"/>
      <c r="C748" s="1"/>
      <c r="D748" s="1"/>
      <c r="E748" s="1"/>
      <c r="F748" s="1"/>
      <c r="G748" s="1"/>
      <c r="H748" s="1"/>
    </row>
    <row r="749" spans="2:8">
      <c r="B749" s="2"/>
      <c r="C749" s="1"/>
      <c r="D749" s="1"/>
      <c r="E749" s="1"/>
      <c r="F749" s="1"/>
      <c r="G749" s="1"/>
      <c r="H749" s="1"/>
    </row>
    <row r="750" spans="2:8">
      <c r="B750" s="2"/>
      <c r="C750" s="1"/>
      <c r="D750" s="1"/>
      <c r="E750" s="1"/>
      <c r="F750" s="1"/>
      <c r="G750" s="1"/>
      <c r="H750" s="1"/>
    </row>
    <row r="751" spans="2:8">
      <c r="B751" s="2"/>
      <c r="C751" s="1"/>
      <c r="D751" s="1"/>
      <c r="E751" s="1"/>
      <c r="F751" s="1"/>
      <c r="G751" s="1"/>
      <c r="H751" s="1"/>
    </row>
    <row r="752" spans="2:8">
      <c r="B752" s="2"/>
      <c r="C752" s="1"/>
      <c r="D752" s="1"/>
      <c r="E752" s="1"/>
      <c r="F752" s="1"/>
      <c r="G752" s="1"/>
      <c r="H752" s="1"/>
    </row>
    <row r="753" spans="2:8">
      <c r="B753" s="2"/>
      <c r="C753" s="1"/>
      <c r="D753" s="1"/>
      <c r="E753" s="1"/>
      <c r="F753" s="1"/>
      <c r="G753" s="1"/>
      <c r="H753" s="1"/>
    </row>
    <row r="754" spans="2:8">
      <c r="B754" s="2"/>
      <c r="C754" s="1"/>
      <c r="D754" s="1"/>
      <c r="E754" s="1"/>
      <c r="F754" s="1"/>
      <c r="G754" s="1"/>
      <c r="H754" s="1"/>
    </row>
    <row r="755" spans="2:8">
      <c r="B755" s="2"/>
      <c r="C755" s="1"/>
      <c r="D755" s="1"/>
      <c r="E755" s="1"/>
      <c r="F755" s="1"/>
      <c r="G755" s="1"/>
      <c r="H755" s="1"/>
    </row>
    <row r="756" spans="2:8">
      <c r="B756" s="2"/>
      <c r="C756" s="1"/>
      <c r="D756" s="1"/>
      <c r="E756" s="1"/>
      <c r="F756" s="1"/>
      <c r="G756" s="1"/>
      <c r="H756" s="1"/>
    </row>
    <row r="757" spans="2:8">
      <c r="B757" s="2"/>
      <c r="C757" s="1"/>
      <c r="D757" s="1"/>
      <c r="E757" s="1"/>
      <c r="F757" s="1"/>
      <c r="G757" s="1"/>
      <c r="H757" s="1"/>
    </row>
    <row r="758" spans="2:8">
      <c r="B758" s="2"/>
      <c r="C758" s="1"/>
      <c r="D758" s="1"/>
      <c r="E758" s="1"/>
      <c r="F758" s="1"/>
      <c r="G758" s="1"/>
      <c r="H758" s="1"/>
    </row>
    <row r="759" spans="2:8">
      <c r="B759" s="2"/>
      <c r="C759" s="1"/>
      <c r="D759" s="1"/>
      <c r="E759" s="1"/>
      <c r="F759" s="1"/>
      <c r="G759" s="1"/>
      <c r="H759" s="1"/>
    </row>
    <row r="760" spans="2:8">
      <c r="B760" s="2"/>
      <c r="C760" s="1"/>
      <c r="D760" s="1"/>
      <c r="E760" s="1"/>
      <c r="F760" s="1"/>
      <c r="G760" s="1"/>
      <c r="H760" s="1"/>
    </row>
    <row r="761" spans="2:8">
      <c r="B761" s="2"/>
      <c r="C761" s="1"/>
      <c r="D761" s="1"/>
      <c r="E761" s="1"/>
      <c r="F761" s="1"/>
      <c r="G761" s="1"/>
      <c r="H761" s="1"/>
    </row>
    <row r="762" spans="2:8">
      <c r="B762" s="2"/>
      <c r="C762" s="1"/>
      <c r="D762" s="1"/>
      <c r="E762" s="1"/>
      <c r="F762" s="1"/>
      <c r="G762" s="1"/>
      <c r="H762" s="1"/>
    </row>
    <row r="763" spans="2:8">
      <c r="B763" s="2"/>
      <c r="C763" s="1"/>
      <c r="D763" s="1"/>
      <c r="E763" s="1"/>
      <c r="F763" s="1"/>
      <c r="G763" s="1"/>
      <c r="H763" s="1"/>
    </row>
    <row r="764" spans="2:8">
      <c r="B764" s="2"/>
      <c r="C764" s="1"/>
      <c r="D764" s="1"/>
      <c r="E764" s="1"/>
      <c r="F764" s="1"/>
      <c r="G764" s="1"/>
      <c r="H764" s="1"/>
    </row>
    <row r="765" spans="2:8">
      <c r="B765" s="2"/>
      <c r="C765" s="1"/>
      <c r="D765" s="1"/>
      <c r="E765" s="1"/>
      <c r="F765" s="1"/>
      <c r="G765" s="1"/>
      <c r="H765" s="1"/>
    </row>
    <row r="766" spans="2:8">
      <c r="B766" s="2"/>
      <c r="C766" s="1"/>
      <c r="D766" s="1"/>
      <c r="E766" s="1"/>
      <c r="F766" s="1"/>
      <c r="G766" s="1"/>
      <c r="H766" s="1"/>
    </row>
    <row r="767" spans="2:8">
      <c r="B767" s="2"/>
      <c r="C767" s="1"/>
      <c r="D767" s="1"/>
      <c r="E767" s="1"/>
      <c r="F767" s="1"/>
      <c r="G767" s="1"/>
      <c r="H767" s="1"/>
    </row>
    <row r="768" spans="2:8">
      <c r="B768" s="2"/>
      <c r="C768" s="1"/>
      <c r="D768" s="1"/>
      <c r="E768" s="1"/>
      <c r="F768" s="1"/>
      <c r="G768" s="1"/>
      <c r="H768" s="1"/>
    </row>
    <row r="769" spans="2:8">
      <c r="B769" s="2"/>
      <c r="C769" s="1"/>
      <c r="D769" s="1"/>
      <c r="E769" s="1"/>
      <c r="F769" s="1"/>
      <c r="G769" s="1"/>
      <c r="H769" s="1"/>
    </row>
    <row r="770" spans="2:8">
      <c r="B770" s="2"/>
      <c r="C770" s="1"/>
      <c r="D770" s="1"/>
      <c r="E770" s="1"/>
      <c r="F770" s="1"/>
      <c r="G770" s="1"/>
      <c r="H770" s="1"/>
    </row>
    <row r="771" spans="2:8">
      <c r="B771" s="2"/>
      <c r="C771" s="1"/>
      <c r="D771" s="1"/>
      <c r="E771" s="1"/>
      <c r="F771" s="1"/>
      <c r="G771" s="1"/>
      <c r="H771" s="1"/>
    </row>
    <row r="772" spans="2:8">
      <c r="B772" s="2"/>
      <c r="C772" s="1"/>
      <c r="D772" s="1"/>
      <c r="E772" s="1"/>
      <c r="F772" s="1"/>
      <c r="G772" s="1"/>
      <c r="H772" s="1"/>
    </row>
    <row r="773" spans="2:8">
      <c r="B773" s="2"/>
      <c r="C773" s="1"/>
      <c r="D773" s="1"/>
      <c r="E773" s="1"/>
      <c r="F773" s="1"/>
      <c r="G773" s="1"/>
      <c r="H773" s="1"/>
    </row>
    <row r="774" spans="2:8">
      <c r="B774" s="2"/>
      <c r="C774" s="1"/>
      <c r="D774" s="1"/>
      <c r="E774" s="1"/>
      <c r="F774" s="1"/>
      <c r="G774" s="1"/>
      <c r="H774" s="1"/>
    </row>
    <row r="775" spans="2:8">
      <c r="B775" s="2"/>
      <c r="C775" s="1"/>
      <c r="D775" s="1"/>
      <c r="E775" s="1"/>
      <c r="F775" s="1"/>
      <c r="G775" s="1"/>
      <c r="H775" s="1"/>
    </row>
    <row r="776" spans="2:8">
      <c r="B776" s="2"/>
      <c r="C776" s="1"/>
      <c r="D776" s="1"/>
      <c r="E776" s="1"/>
      <c r="F776" s="1"/>
      <c r="G776" s="1"/>
      <c r="H776" s="1"/>
    </row>
    <row r="777" spans="2:8">
      <c r="B777" s="2"/>
      <c r="C777" s="1"/>
      <c r="D777" s="1"/>
      <c r="E777" s="1"/>
      <c r="F777" s="1"/>
      <c r="G777" s="1"/>
      <c r="H777" s="1"/>
    </row>
    <row r="778" spans="2:8">
      <c r="B778" s="2"/>
      <c r="C778" s="1"/>
      <c r="D778" s="1"/>
      <c r="E778" s="1"/>
      <c r="F778" s="1"/>
      <c r="G778" s="1"/>
      <c r="H778" s="1"/>
    </row>
    <row r="779" spans="2:8">
      <c r="B779" s="2"/>
      <c r="C779" s="1"/>
      <c r="D779" s="1"/>
      <c r="E779" s="1"/>
      <c r="F779" s="1"/>
      <c r="G779" s="1"/>
      <c r="H779" s="1"/>
    </row>
    <row r="780" spans="2:8">
      <c r="B780" s="2"/>
      <c r="C780" s="1"/>
      <c r="D780" s="1"/>
      <c r="E780" s="1"/>
      <c r="F780" s="1"/>
      <c r="G780" s="1"/>
      <c r="H780" s="1"/>
    </row>
    <row r="781" spans="2:8">
      <c r="B781" s="2"/>
      <c r="C781" s="1"/>
      <c r="D781" s="1"/>
      <c r="E781" s="1"/>
      <c r="F781" s="1"/>
      <c r="G781" s="1"/>
      <c r="H781" s="1"/>
    </row>
    <row r="782" spans="2:8">
      <c r="B782" s="2"/>
      <c r="C782" s="1"/>
      <c r="D782" s="1"/>
      <c r="E782" s="1"/>
      <c r="F782" s="1"/>
      <c r="G782" s="1"/>
      <c r="H782" s="1"/>
    </row>
    <row r="783" spans="2:8">
      <c r="B783" s="2"/>
      <c r="C783" s="1"/>
      <c r="D783" s="1"/>
      <c r="E783" s="1"/>
      <c r="F783" s="1"/>
      <c r="G783" s="1"/>
      <c r="H783" s="1"/>
    </row>
    <row r="784" spans="2:8">
      <c r="B784" s="2"/>
      <c r="C784" s="1"/>
      <c r="D784" s="1"/>
      <c r="E784" s="1"/>
      <c r="F784" s="1"/>
      <c r="G784" s="1"/>
      <c r="H784" s="1"/>
    </row>
    <row r="785" spans="2:8">
      <c r="B785" s="2"/>
      <c r="C785" s="1"/>
      <c r="D785" s="1"/>
      <c r="E785" s="1"/>
      <c r="F785" s="1"/>
      <c r="G785" s="1"/>
      <c r="H785" s="1"/>
    </row>
    <row r="786" spans="2:8">
      <c r="B786" s="2"/>
      <c r="C786" s="1"/>
      <c r="D786" s="1"/>
      <c r="E786" s="1"/>
      <c r="F786" s="1"/>
      <c r="G786" s="1"/>
      <c r="H786" s="1"/>
    </row>
    <row r="787" spans="2:8">
      <c r="B787" s="2"/>
      <c r="C787" s="1"/>
      <c r="D787" s="1"/>
      <c r="E787" s="1"/>
      <c r="F787" s="1"/>
      <c r="G787" s="1"/>
      <c r="H787" s="1"/>
    </row>
    <row r="788" spans="2:8">
      <c r="B788" s="2"/>
      <c r="C788" s="1"/>
      <c r="D788" s="1"/>
      <c r="E788" s="1"/>
      <c r="F788" s="1"/>
      <c r="G788" s="1"/>
      <c r="H788" s="1"/>
    </row>
    <row r="789" spans="2:8">
      <c r="B789" s="2"/>
      <c r="C789" s="1"/>
      <c r="D789" s="1"/>
      <c r="E789" s="1"/>
      <c r="F789" s="1"/>
      <c r="G789" s="1"/>
      <c r="H789" s="1"/>
    </row>
    <row r="790" spans="2:8">
      <c r="B790" s="2"/>
      <c r="C790" s="1"/>
      <c r="D790" s="1"/>
      <c r="E790" s="1"/>
      <c r="F790" s="1"/>
      <c r="G790" s="1"/>
      <c r="H790" s="1"/>
    </row>
    <row r="791" spans="2:8">
      <c r="B791" s="2"/>
      <c r="C791" s="1"/>
      <c r="D791" s="1"/>
      <c r="E791" s="1"/>
      <c r="F791" s="1"/>
      <c r="G791" s="1"/>
      <c r="H791" s="1"/>
    </row>
    <row r="792" spans="2:8">
      <c r="B792" s="2"/>
      <c r="C792" s="1"/>
      <c r="D792" s="1"/>
      <c r="E792" s="1"/>
      <c r="F792" s="1"/>
      <c r="G792" s="1"/>
      <c r="H792" s="1"/>
    </row>
    <row r="793" spans="2:8">
      <c r="B793" s="2"/>
      <c r="C793" s="1"/>
      <c r="D793" s="1"/>
      <c r="E793" s="1"/>
      <c r="F793" s="1"/>
      <c r="G793" s="1"/>
      <c r="H793" s="1"/>
    </row>
    <row r="794" spans="2:8">
      <c r="B794" s="2"/>
      <c r="C794" s="1"/>
      <c r="D794" s="1"/>
      <c r="E794" s="1"/>
      <c r="F794" s="1"/>
      <c r="G794" s="1"/>
      <c r="H794" s="1"/>
    </row>
    <row r="795" spans="2:8">
      <c r="B795" s="2"/>
      <c r="C795" s="1"/>
      <c r="D795" s="1"/>
      <c r="E795" s="1"/>
      <c r="F795" s="1"/>
      <c r="G795" s="1"/>
      <c r="H795" s="1"/>
    </row>
    <row r="796" spans="2:8">
      <c r="B796" s="2"/>
      <c r="C796" s="1"/>
      <c r="D796" s="1"/>
      <c r="E796" s="1"/>
      <c r="F796" s="1"/>
      <c r="G796" s="1"/>
      <c r="H796" s="1"/>
    </row>
    <row r="797" spans="2:8">
      <c r="B797" s="2"/>
      <c r="C797" s="1"/>
      <c r="D797" s="1"/>
      <c r="E797" s="1"/>
      <c r="F797" s="1"/>
      <c r="G797" s="1"/>
      <c r="H797" s="1"/>
    </row>
    <row r="798" spans="2:8">
      <c r="B798" s="2"/>
      <c r="C798" s="1"/>
      <c r="D798" s="1"/>
      <c r="E798" s="1"/>
      <c r="F798" s="1"/>
      <c r="G798" s="1"/>
      <c r="H798" s="1"/>
    </row>
    <row r="799" spans="2:8">
      <c r="B799" s="2"/>
      <c r="C799" s="1"/>
      <c r="D799" s="1"/>
      <c r="E799" s="1"/>
      <c r="F799" s="1"/>
      <c r="G799" s="1"/>
      <c r="H799" s="1"/>
    </row>
    <row r="800" spans="2:8">
      <c r="B800" s="2"/>
      <c r="C800" s="1"/>
      <c r="D800" s="1"/>
      <c r="E800" s="1"/>
      <c r="F800" s="1"/>
      <c r="G800" s="1"/>
      <c r="H800" s="1"/>
    </row>
    <row r="801" spans="2:8">
      <c r="B801" s="2"/>
      <c r="C801" s="1"/>
      <c r="D801" s="1"/>
      <c r="E801" s="1"/>
      <c r="F801" s="1"/>
      <c r="G801" s="1"/>
      <c r="H801" s="1"/>
    </row>
    <row r="802" spans="2:8">
      <c r="B802" s="2"/>
      <c r="C802" s="1"/>
      <c r="D802" s="1"/>
      <c r="E802" s="1"/>
      <c r="F802" s="1"/>
      <c r="G802" s="1"/>
      <c r="H802" s="1"/>
    </row>
    <row r="803" spans="2:8">
      <c r="B803" s="2"/>
      <c r="C803" s="1"/>
      <c r="D803" s="1"/>
      <c r="E803" s="1"/>
      <c r="F803" s="1"/>
      <c r="G803" s="1"/>
      <c r="H803" s="1"/>
    </row>
    <row r="804" spans="2:8">
      <c r="B804" s="2"/>
      <c r="C804" s="1"/>
      <c r="D804" s="1"/>
      <c r="E804" s="1"/>
      <c r="F804" s="1"/>
      <c r="G804" s="1"/>
      <c r="H804" s="1"/>
    </row>
    <row r="805" spans="2:8">
      <c r="B805" s="2"/>
      <c r="C805" s="1"/>
      <c r="D805" s="1"/>
      <c r="E805" s="1"/>
      <c r="F805" s="1"/>
      <c r="G805" s="1"/>
      <c r="H805" s="1"/>
    </row>
    <row r="806" spans="2:8">
      <c r="B806" s="2"/>
      <c r="C806" s="1"/>
      <c r="D806" s="1"/>
      <c r="E806" s="1"/>
      <c r="F806" s="1"/>
      <c r="G806" s="1"/>
      <c r="H806" s="1"/>
    </row>
    <row r="807" spans="2:8">
      <c r="B807" s="2"/>
      <c r="C807" s="1"/>
      <c r="D807" s="1"/>
      <c r="E807" s="1"/>
      <c r="F807" s="1"/>
      <c r="G807" s="1"/>
      <c r="H807" s="1"/>
    </row>
    <row r="808" spans="2:8">
      <c r="B808" s="2"/>
      <c r="C808" s="1"/>
      <c r="D808" s="1"/>
      <c r="E808" s="1"/>
      <c r="F808" s="1"/>
      <c r="G808" s="1"/>
      <c r="H808" s="1"/>
    </row>
    <row r="809" spans="2:8">
      <c r="B809" s="2"/>
      <c r="C809" s="1"/>
      <c r="D809" s="1"/>
      <c r="E809" s="1"/>
      <c r="F809" s="1"/>
      <c r="G809" s="1"/>
      <c r="H809" s="1"/>
    </row>
    <row r="810" spans="2:8">
      <c r="B810" s="2"/>
      <c r="C810" s="1"/>
      <c r="D810" s="1"/>
      <c r="E810" s="1"/>
      <c r="F810" s="1"/>
      <c r="G810" s="1"/>
      <c r="H810" s="1"/>
    </row>
    <row r="811" spans="2:8">
      <c r="B811" s="2"/>
      <c r="C811" s="1"/>
      <c r="D811" s="1"/>
      <c r="E811" s="1"/>
      <c r="F811" s="1"/>
      <c r="G811" s="1"/>
      <c r="H811" s="1"/>
    </row>
    <row r="812" spans="2:8">
      <c r="B812" s="2"/>
      <c r="C812" s="1"/>
      <c r="D812" s="1"/>
      <c r="E812" s="1"/>
      <c r="F812" s="1"/>
      <c r="G812" s="1"/>
      <c r="H812" s="1"/>
    </row>
    <row r="813" spans="2:8">
      <c r="B813" s="2"/>
      <c r="C813" s="1"/>
      <c r="D813" s="1"/>
      <c r="E813" s="1"/>
      <c r="F813" s="1"/>
      <c r="G813" s="1"/>
      <c r="H813" s="1"/>
    </row>
    <row r="814" spans="2:8">
      <c r="B814" s="2"/>
      <c r="C814" s="1"/>
      <c r="D814" s="1"/>
      <c r="E814" s="1"/>
      <c r="F814" s="1"/>
      <c r="G814" s="1"/>
      <c r="H814" s="1"/>
    </row>
    <row r="815" spans="2:8">
      <c r="B815" s="2"/>
      <c r="C815" s="1"/>
      <c r="D815" s="1"/>
      <c r="E815" s="1"/>
      <c r="F815" s="1"/>
      <c r="G815" s="1"/>
      <c r="H815" s="1"/>
    </row>
    <row r="816" spans="2:8">
      <c r="B816" s="2"/>
      <c r="C816" s="1"/>
      <c r="D816" s="1"/>
      <c r="E816" s="1"/>
      <c r="F816" s="1"/>
      <c r="G816" s="1"/>
      <c r="H816" s="1"/>
    </row>
    <row r="817" spans="2:8">
      <c r="B817" s="2"/>
      <c r="C817" s="1"/>
      <c r="D817" s="1"/>
      <c r="E817" s="1"/>
      <c r="F817" s="1"/>
      <c r="G817" s="1"/>
      <c r="H817" s="1"/>
    </row>
    <row r="818" spans="2:8">
      <c r="B818" s="2"/>
      <c r="C818" s="1"/>
      <c r="D818" s="1"/>
      <c r="E818" s="1"/>
      <c r="F818" s="1"/>
      <c r="G818" s="1"/>
      <c r="H818" s="1"/>
    </row>
    <row r="819" spans="2:8">
      <c r="B819" s="2"/>
      <c r="C819" s="1"/>
      <c r="D819" s="1"/>
      <c r="E819" s="1"/>
      <c r="F819" s="1"/>
      <c r="G819" s="1"/>
      <c r="H819" s="1"/>
    </row>
    <row r="820" spans="2:8">
      <c r="B820" s="2"/>
      <c r="C820" s="1"/>
      <c r="D820" s="1"/>
      <c r="E820" s="1"/>
      <c r="F820" s="1"/>
      <c r="G820" s="1"/>
      <c r="H820" s="1"/>
    </row>
    <row r="821" spans="2:8">
      <c r="B821" s="2"/>
      <c r="C821" s="1"/>
      <c r="D821" s="1"/>
      <c r="E821" s="1"/>
      <c r="F821" s="1"/>
      <c r="G821" s="1"/>
      <c r="H821" s="1"/>
    </row>
    <row r="822" spans="2:8">
      <c r="B822" s="2"/>
      <c r="C822" s="1"/>
      <c r="D822" s="1"/>
      <c r="E822" s="1"/>
      <c r="F822" s="1"/>
      <c r="G822" s="1"/>
      <c r="H822" s="1"/>
    </row>
    <row r="823" spans="2:8">
      <c r="B823" s="2"/>
      <c r="C823" s="1"/>
      <c r="D823" s="1"/>
      <c r="E823" s="1"/>
      <c r="F823" s="1"/>
      <c r="G823" s="1"/>
      <c r="H823" s="1"/>
    </row>
    <row r="824" spans="2:8">
      <c r="B824" s="2"/>
      <c r="C824" s="1"/>
      <c r="D824" s="1"/>
      <c r="E824" s="1"/>
      <c r="F824" s="1"/>
      <c r="G824" s="1"/>
      <c r="H824" s="1"/>
    </row>
    <row r="825" spans="2:8">
      <c r="B825" s="2"/>
      <c r="C825" s="1"/>
      <c r="D825" s="1"/>
      <c r="E825" s="1"/>
      <c r="F825" s="1"/>
      <c r="G825" s="1"/>
      <c r="H825" s="1"/>
    </row>
    <row r="826" spans="2:8">
      <c r="B826" s="2"/>
      <c r="C826" s="1"/>
      <c r="D826" s="1"/>
      <c r="E826" s="1"/>
      <c r="F826" s="1"/>
      <c r="G826" s="1"/>
      <c r="H826" s="1"/>
    </row>
    <row r="827" spans="2:8">
      <c r="B827" s="2"/>
      <c r="C827" s="1"/>
      <c r="D827" s="1"/>
      <c r="E827" s="1"/>
      <c r="F827" s="1"/>
      <c r="G827" s="1"/>
      <c r="H827" s="1"/>
    </row>
    <row r="828" spans="2:8">
      <c r="B828" s="2"/>
      <c r="C828" s="1"/>
      <c r="D828" s="1"/>
      <c r="E828" s="1"/>
      <c r="F828" s="1"/>
      <c r="G828" s="1"/>
      <c r="H828" s="1"/>
    </row>
    <row r="829" spans="2:8">
      <c r="B829" s="2"/>
      <c r="C829" s="1"/>
      <c r="D829" s="1"/>
      <c r="E829" s="1"/>
      <c r="F829" s="1"/>
      <c r="G829" s="1"/>
      <c r="H829" s="1"/>
    </row>
    <row r="830" spans="2:8">
      <c r="B830" s="2"/>
      <c r="C830" s="1"/>
      <c r="D830" s="1"/>
      <c r="E830" s="1"/>
      <c r="F830" s="1"/>
      <c r="G830" s="1"/>
      <c r="H830" s="1"/>
    </row>
    <row r="831" spans="2:8">
      <c r="B831" s="2"/>
      <c r="C831" s="1"/>
      <c r="D831" s="1"/>
      <c r="E831" s="1"/>
      <c r="F831" s="1"/>
      <c r="G831" s="1"/>
      <c r="H831" s="1"/>
    </row>
    <row r="832" spans="2:8">
      <c r="B832" s="2"/>
      <c r="C832" s="1"/>
      <c r="D832" s="1"/>
      <c r="E832" s="1"/>
      <c r="F832" s="1"/>
      <c r="G832" s="1"/>
      <c r="H832" s="1"/>
    </row>
    <row r="833" spans="2:8">
      <c r="B833" s="2"/>
      <c r="C833" s="1"/>
      <c r="D833" s="1"/>
      <c r="E833" s="1"/>
      <c r="F833" s="1"/>
      <c r="G833" s="1"/>
      <c r="H833" s="1"/>
    </row>
    <row r="834" spans="2:8">
      <c r="B834" s="2"/>
      <c r="C834" s="1"/>
      <c r="D834" s="1"/>
      <c r="E834" s="1"/>
      <c r="F834" s="1"/>
      <c r="G834" s="1"/>
      <c r="H834" s="1"/>
    </row>
    <row r="835" spans="2:8">
      <c r="B835" s="2"/>
      <c r="C835" s="1"/>
      <c r="D835" s="1"/>
      <c r="E835" s="1"/>
      <c r="F835" s="1"/>
      <c r="G835" s="1"/>
      <c r="H835" s="1"/>
    </row>
    <row r="836" spans="2:8">
      <c r="B836" s="2"/>
      <c r="C836" s="1"/>
      <c r="D836" s="1"/>
      <c r="E836" s="1"/>
      <c r="F836" s="1"/>
      <c r="G836" s="1"/>
      <c r="H836" s="1"/>
    </row>
    <row r="837" spans="2:8">
      <c r="B837" s="2"/>
      <c r="C837" s="1"/>
      <c r="D837" s="1"/>
      <c r="E837" s="1"/>
      <c r="F837" s="1"/>
      <c r="G837" s="1"/>
      <c r="H837" s="1"/>
    </row>
    <row r="838" spans="2:8">
      <c r="B838" s="2"/>
      <c r="C838" s="1"/>
      <c r="D838" s="1"/>
      <c r="E838" s="1"/>
      <c r="F838" s="1"/>
      <c r="G838" s="1"/>
      <c r="H838" s="1"/>
    </row>
    <row r="839" spans="2:8">
      <c r="B839" s="2"/>
      <c r="C839" s="1"/>
      <c r="D839" s="1"/>
      <c r="E839" s="1"/>
      <c r="F839" s="1"/>
      <c r="G839" s="1"/>
      <c r="H839" s="1"/>
    </row>
    <row r="840" spans="2:8">
      <c r="B840" s="2"/>
      <c r="C840" s="1"/>
      <c r="D840" s="1"/>
      <c r="E840" s="1"/>
      <c r="F840" s="1"/>
      <c r="G840" s="1"/>
      <c r="H840" s="1"/>
    </row>
    <row r="841" spans="2:8">
      <c r="B841" s="2"/>
      <c r="C841" s="1"/>
      <c r="D841" s="1"/>
      <c r="E841" s="1"/>
      <c r="F841" s="1"/>
      <c r="G841" s="1"/>
      <c r="H841" s="1"/>
    </row>
    <row r="842" spans="2:8">
      <c r="B842" s="2"/>
      <c r="C842" s="1"/>
      <c r="D842" s="1"/>
      <c r="E842" s="1"/>
      <c r="F842" s="1"/>
      <c r="G842" s="1"/>
      <c r="H842" s="1"/>
    </row>
    <row r="843" spans="2:8">
      <c r="B843" s="2"/>
      <c r="C843" s="1"/>
      <c r="D843" s="1"/>
      <c r="E843" s="1"/>
      <c r="F843" s="1"/>
      <c r="G843" s="1"/>
      <c r="H843" s="1"/>
    </row>
    <row r="844" spans="2:8">
      <c r="B844" s="2"/>
      <c r="C844" s="1"/>
      <c r="D844" s="1"/>
      <c r="E844" s="1"/>
      <c r="F844" s="1"/>
      <c r="G844" s="1"/>
      <c r="H844" s="1"/>
    </row>
    <row r="845" spans="2:8">
      <c r="B845" s="2"/>
      <c r="C845" s="1"/>
      <c r="D845" s="1"/>
      <c r="E845" s="1"/>
      <c r="F845" s="1"/>
      <c r="G845" s="1"/>
      <c r="H845" s="1"/>
    </row>
    <row r="846" spans="2:8">
      <c r="B846" s="2"/>
      <c r="C846" s="1"/>
      <c r="D846" s="1"/>
      <c r="E846" s="1"/>
      <c r="F846" s="1"/>
      <c r="G846" s="1"/>
      <c r="H846" s="1"/>
    </row>
    <row r="847" spans="2:8">
      <c r="B847" s="2"/>
      <c r="C847" s="1"/>
      <c r="D847" s="1"/>
      <c r="E847" s="1"/>
      <c r="F847" s="1"/>
      <c r="G847" s="1"/>
      <c r="H847" s="1"/>
    </row>
    <row r="848" spans="2:8">
      <c r="B848" s="2"/>
      <c r="C848" s="1"/>
      <c r="D848" s="1"/>
      <c r="E848" s="1"/>
      <c r="F848" s="1"/>
      <c r="G848" s="1"/>
      <c r="H848" s="1"/>
    </row>
    <row r="849" spans="2:8">
      <c r="B849" s="2"/>
      <c r="C849" s="1"/>
      <c r="D849" s="1"/>
      <c r="E849" s="1"/>
      <c r="F849" s="1"/>
      <c r="G849" s="1"/>
      <c r="H849" s="1"/>
    </row>
    <row r="850" spans="2:8">
      <c r="B850" s="2"/>
      <c r="C850" s="1"/>
      <c r="D850" s="1"/>
      <c r="E850" s="1"/>
      <c r="F850" s="1"/>
      <c r="G850" s="1"/>
      <c r="H850" s="1"/>
    </row>
    <row r="851" spans="2:8">
      <c r="B851" s="2"/>
      <c r="C851" s="1"/>
      <c r="D851" s="1"/>
      <c r="E851" s="1"/>
      <c r="F851" s="1"/>
      <c r="G851" s="1"/>
      <c r="H851" s="1"/>
    </row>
    <row r="852" spans="2:8">
      <c r="B852" s="2"/>
      <c r="C852" s="1"/>
      <c r="D852" s="1"/>
      <c r="E852" s="1"/>
      <c r="F852" s="1"/>
      <c r="G852" s="1"/>
      <c r="H852" s="1"/>
    </row>
    <row r="853" spans="2:8">
      <c r="B853" s="2"/>
      <c r="C853" s="1"/>
      <c r="D853" s="1"/>
      <c r="E853" s="1"/>
      <c r="F853" s="1"/>
      <c r="G853" s="1"/>
      <c r="H853" s="1"/>
    </row>
    <row r="854" spans="2:8">
      <c r="B854" s="2"/>
      <c r="C854" s="1"/>
      <c r="D854" s="1"/>
      <c r="E854" s="1"/>
      <c r="F854" s="1"/>
      <c r="G854" s="1"/>
      <c r="H854" s="1"/>
    </row>
    <row r="855" spans="2:8">
      <c r="B855" s="2"/>
      <c r="C855" s="1"/>
      <c r="D855" s="1"/>
      <c r="E855" s="1"/>
      <c r="F855" s="1"/>
      <c r="G855" s="1"/>
      <c r="H855" s="1"/>
    </row>
    <row r="856" spans="2:8">
      <c r="B856" s="2"/>
      <c r="C856" s="1"/>
      <c r="D856" s="1"/>
      <c r="E856" s="1"/>
      <c r="F856" s="1"/>
      <c r="G856" s="1"/>
      <c r="H856" s="1"/>
    </row>
    <row r="857" spans="2:8">
      <c r="B857" s="2"/>
      <c r="C857" s="1"/>
      <c r="D857" s="1"/>
      <c r="E857" s="1"/>
      <c r="F857" s="1"/>
      <c r="G857" s="1"/>
      <c r="H857" s="1"/>
    </row>
    <row r="858" spans="2:8">
      <c r="B858" s="2"/>
      <c r="C858" s="1"/>
      <c r="D858" s="1"/>
      <c r="E858" s="1"/>
      <c r="F858" s="1"/>
      <c r="G858" s="1"/>
      <c r="H858" s="1"/>
    </row>
    <row r="859" spans="2:8">
      <c r="B859" s="2"/>
      <c r="C859" s="1"/>
      <c r="D859" s="1"/>
      <c r="E859" s="1"/>
      <c r="F859" s="1"/>
      <c r="G859" s="1"/>
      <c r="H859" s="1"/>
    </row>
    <row r="860" spans="2:8">
      <c r="B860" s="2"/>
      <c r="C860" s="1"/>
      <c r="D860" s="1"/>
      <c r="E860" s="1"/>
      <c r="F860" s="1"/>
      <c r="G860" s="1"/>
      <c r="H860" s="1"/>
    </row>
    <row r="861" spans="2:8">
      <c r="B861" s="2"/>
      <c r="C861" s="1"/>
      <c r="D861" s="1"/>
      <c r="E861" s="1"/>
      <c r="F861" s="1"/>
      <c r="G861" s="1"/>
      <c r="H861" s="1"/>
    </row>
    <row r="862" spans="2:8">
      <c r="B862" s="2"/>
      <c r="C862" s="1"/>
      <c r="D862" s="1"/>
      <c r="E862" s="1"/>
      <c r="F862" s="1"/>
      <c r="G862" s="1"/>
      <c r="H862" s="1"/>
    </row>
    <row r="863" spans="2:8">
      <c r="B863" s="2"/>
      <c r="C863" s="1"/>
      <c r="D863" s="1"/>
      <c r="E863" s="1"/>
      <c r="F863" s="1"/>
      <c r="G863" s="1"/>
      <c r="H863" s="1"/>
    </row>
    <row r="864" spans="2:8">
      <c r="B864" s="2"/>
      <c r="C864" s="1"/>
      <c r="D864" s="1"/>
      <c r="E864" s="1"/>
      <c r="F864" s="1"/>
      <c r="G864" s="1"/>
      <c r="H864" s="1"/>
    </row>
    <row r="865" spans="2:8">
      <c r="B865" s="2"/>
      <c r="C865" s="1"/>
      <c r="D865" s="1"/>
      <c r="E865" s="1"/>
      <c r="F865" s="1"/>
      <c r="G865" s="1"/>
      <c r="H865" s="1"/>
    </row>
    <row r="866" spans="2:8">
      <c r="B866" s="2"/>
      <c r="C866" s="1"/>
      <c r="D866" s="1"/>
      <c r="E866" s="1"/>
      <c r="F866" s="1"/>
      <c r="G866" s="1"/>
      <c r="H866" s="1"/>
    </row>
    <row r="867" spans="2:8">
      <c r="B867" s="2"/>
      <c r="C867" s="1"/>
      <c r="D867" s="1"/>
      <c r="E867" s="1"/>
      <c r="F867" s="1"/>
      <c r="G867" s="1"/>
      <c r="H867" s="1"/>
    </row>
    <row r="868" spans="2:8">
      <c r="B868" s="2"/>
      <c r="C868" s="1"/>
      <c r="D868" s="1"/>
      <c r="E868" s="1"/>
      <c r="F868" s="1"/>
      <c r="G868" s="1"/>
      <c r="H868" s="1"/>
    </row>
    <row r="869" spans="2:8">
      <c r="B869" s="2"/>
      <c r="C869" s="1"/>
      <c r="D869" s="1"/>
      <c r="E869" s="1"/>
      <c r="F869" s="1"/>
      <c r="G869" s="1"/>
      <c r="H869" s="1"/>
    </row>
    <row r="870" spans="2:8">
      <c r="B870" s="2"/>
      <c r="C870" s="1"/>
      <c r="D870" s="1"/>
      <c r="E870" s="1"/>
      <c r="F870" s="1"/>
      <c r="G870" s="1"/>
      <c r="H870" s="1"/>
    </row>
    <row r="871" spans="2:8">
      <c r="B871" s="2"/>
      <c r="C871" s="1"/>
      <c r="D871" s="1"/>
      <c r="E871" s="1"/>
      <c r="F871" s="1"/>
      <c r="G871" s="1"/>
      <c r="H871" s="1"/>
    </row>
    <row r="872" spans="2:8">
      <c r="B872" s="2"/>
      <c r="C872" s="1"/>
      <c r="D872" s="1"/>
      <c r="E872" s="1"/>
      <c r="F872" s="1"/>
      <c r="G872" s="1"/>
      <c r="H872" s="1"/>
    </row>
    <row r="873" spans="2:8">
      <c r="B873" s="2"/>
      <c r="C873" s="1"/>
      <c r="D873" s="1"/>
      <c r="E873" s="1"/>
      <c r="F873" s="1"/>
      <c r="G873" s="1"/>
      <c r="H873" s="1"/>
    </row>
    <row r="874" spans="2:8">
      <c r="B874" s="2"/>
      <c r="C874" s="1"/>
      <c r="D874" s="1"/>
      <c r="E874" s="1"/>
      <c r="F874" s="1"/>
      <c r="G874" s="1"/>
      <c r="H874" s="1"/>
    </row>
    <row r="875" spans="2:8">
      <c r="B875" s="2"/>
      <c r="C875" s="1"/>
      <c r="D875" s="1"/>
      <c r="E875" s="1"/>
      <c r="F875" s="1"/>
      <c r="G875" s="1"/>
      <c r="H875" s="1"/>
    </row>
    <row r="876" spans="2:8">
      <c r="B876" s="2"/>
      <c r="C876" s="1"/>
      <c r="D876" s="1"/>
      <c r="E876" s="1"/>
      <c r="F876" s="1"/>
      <c r="G876" s="1"/>
      <c r="H876" s="1"/>
    </row>
    <row r="877" spans="2:8">
      <c r="B877" s="2"/>
      <c r="C877" s="1"/>
      <c r="D877" s="1"/>
      <c r="E877" s="1"/>
      <c r="F877" s="1"/>
      <c r="G877" s="1"/>
      <c r="H877" s="1"/>
    </row>
    <row r="878" spans="2:8">
      <c r="B878" s="2"/>
      <c r="C878" s="1"/>
      <c r="D878" s="1"/>
      <c r="E878" s="1"/>
      <c r="F878" s="1"/>
      <c r="G878" s="1"/>
      <c r="H878" s="1"/>
    </row>
    <row r="879" spans="2:8">
      <c r="B879" s="2"/>
      <c r="C879" s="1"/>
      <c r="D879" s="1"/>
      <c r="E879" s="1"/>
      <c r="F879" s="1"/>
      <c r="G879" s="1"/>
      <c r="H879" s="1"/>
    </row>
    <row r="880" spans="2:8">
      <c r="B880" s="2"/>
      <c r="C880" s="1"/>
      <c r="D880" s="1"/>
      <c r="E880" s="1"/>
      <c r="F880" s="1"/>
      <c r="G880" s="1"/>
      <c r="H880" s="1"/>
    </row>
    <row r="881" spans="2:8">
      <c r="B881" s="2"/>
      <c r="C881" s="1"/>
      <c r="D881" s="1"/>
      <c r="E881" s="1"/>
      <c r="F881" s="1"/>
      <c r="G881" s="1"/>
      <c r="H881" s="1"/>
    </row>
    <row r="882" spans="2:8">
      <c r="B882" s="2"/>
      <c r="C882" s="1"/>
      <c r="D882" s="1"/>
      <c r="E882" s="1"/>
      <c r="F882" s="1"/>
      <c r="G882" s="1"/>
      <c r="H882" s="1"/>
    </row>
    <row r="883" spans="2:8">
      <c r="B883" s="2"/>
      <c r="C883" s="1"/>
      <c r="D883" s="1"/>
      <c r="E883" s="1"/>
      <c r="F883" s="1"/>
      <c r="G883" s="1"/>
      <c r="H883" s="1"/>
    </row>
    <row r="884" spans="2:8">
      <c r="B884" s="2"/>
      <c r="C884" s="1"/>
      <c r="D884" s="1"/>
      <c r="E884" s="1"/>
      <c r="F884" s="1"/>
      <c r="G884" s="1"/>
      <c r="H884" s="1"/>
    </row>
    <row r="885" spans="2:8">
      <c r="B885" s="2"/>
      <c r="C885" s="1"/>
      <c r="D885" s="1"/>
      <c r="E885" s="1"/>
      <c r="F885" s="1"/>
      <c r="G885" s="1"/>
      <c r="H885" s="1"/>
    </row>
    <row r="886" spans="2:8">
      <c r="B886" s="2"/>
      <c r="C886" s="1"/>
      <c r="D886" s="1"/>
      <c r="E886" s="1"/>
      <c r="F886" s="1"/>
      <c r="G886" s="1"/>
      <c r="H886" s="1"/>
    </row>
    <row r="887" spans="2:8">
      <c r="B887" s="2"/>
      <c r="C887" s="1"/>
      <c r="D887" s="1"/>
      <c r="E887" s="1"/>
      <c r="F887" s="1"/>
      <c r="G887" s="1"/>
      <c r="H887" s="1"/>
    </row>
    <row r="888" spans="2:8">
      <c r="B888" s="2"/>
      <c r="C888" s="1"/>
      <c r="D888" s="1"/>
      <c r="E888" s="1"/>
      <c r="F888" s="1"/>
      <c r="G888" s="1"/>
      <c r="H888" s="1"/>
    </row>
    <row r="889" spans="2:8">
      <c r="B889" s="2"/>
      <c r="C889" s="1"/>
      <c r="D889" s="1"/>
      <c r="E889" s="1"/>
      <c r="F889" s="1"/>
      <c r="G889" s="1"/>
      <c r="H889" s="1"/>
    </row>
    <row r="890" spans="2:8">
      <c r="B890" s="2"/>
      <c r="C890" s="1"/>
      <c r="D890" s="1"/>
      <c r="E890" s="1"/>
      <c r="F890" s="1"/>
      <c r="G890" s="1"/>
      <c r="H890" s="1"/>
    </row>
    <row r="891" spans="2:8">
      <c r="B891" s="2"/>
      <c r="C891" s="1"/>
      <c r="D891" s="1"/>
      <c r="E891" s="1"/>
      <c r="F891" s="1"/>
      <c r="G891" s="1"/>
      <c r="H891" s="1"/>
    </row>
    <row r="892" spans="2:8">
      <c r="B892" s="2"/>
      <c r="C892" s="1"/>
      <c r="D892" s="1"/>
      <c r="E892" s="1"/>
      <c r="F892" s="1"/>
      <c r="G892" s="1"/>
      <c r="H892" s="1"/>
    </row>
    <row r="893" spans="2:8">
      <c r="B893" s="2"/>
      <c r="C893" s="1"/>
      <c r="D893" s="1"/>
      <c r="E893" s="1"/>
      <c r="F893" s="1"/>
      <c r="G893" s="1"/>
      <c r="H893" s="1"/>
    </row>
    <row r="894" spans="2:8">
      <c r="B894" s="2"/>
      <c r="C894" s="1"/>
      <c r="D894" s="1"/>
      <c r="E894" s="1"/>
      <c r="F894" s="1"/>
      <c r="G894" s="1"/>
      <c r="H894" s="1"/>
    </row>
    <row r="895" spans="2:8">
      <c r="B895" s="2"/>
      <c r="C895" s="1"/>
      <c r="D895" s="1"/>
      <c r="E895" s="1"/>
      <c r="F895" s="1"/>
      <c r="G895" s="1"/>
      <c r="H895" s="1"/>
    </row>
    <row r="896" spans="2:8">
      <c r="B896" s="2"/>
      <c r="C896" s="1"/>
      <c r="D896" s="1"/>
      <c r="E896" s="1"/>
      <c r="F896" s="1"/>
      <c r="G896" s="1"/>
      <c r="H896" s="1"/>
    </row>
    <row r="897" spans="2:8">
      <c r="B897" s="2"/>
      <c r="C897" s="1"/>
      <c r="D897" s="1"/>
      <c r="E897" s="1"/>
      <c r="F897" s="1"/>
      <c r="G897" s="1"/>
      <c r="H897" s="1"/>
    </row>
    <row r="898" spans="2:8">
      <c r="B898" s="2"/>
      <c r="C898" s="1"/>
      <c r="D898" s="1"/>
      <c r="E898" s="1"/>
      <c r="F898" s="1"/>
      <c r="G898" s="1"/>
      <c r="H898" s="1"/>
    </row>
    <row r="899" spans="2:8">
      <c r="B899" s="2"/>
      <c r="C899" s="1"/>
      <c r="D899" s="1"/>
      <c r="E899" s="1"/>
      <c r="F899" s="1"/>
      <c r="G899" s="1"/>
      <c r="H899" s="1"/>
    </row>
    <row r="900" spans="2:8">
      <c r="B900" s="2"/>
      <c r="C900" s="1"/>
      <c r="D900" s="1"/>
      <c r="E900" s="1"/>
      <c r="F900" s="1"/>
      <c r="G900" s="1"/>
      <c r="H900" s="1"/>
    </row>
    <row r="901" spans="2:8">
      <c r="B901" s="2"/>
      <c r="C901" s="1"/>
      <c r="D901" s="1"/>
      <c r="E901" s="1"/>
      <c r="F901" s="1"/>
      <c r="G901" s="1"/>
      <c r="H901" s="1"/>
    </row>
    <row r="902" spans="2:8">
      <c r="B902" s="2"/>
      <c r="C902" s="1"/>
      <c r="D902" s="1"/>
      <c r="E902" s="1"/>
      <c r="F902" s="1"/>
      <c r="G902" s="1"/>
      <c r="H902" s="1"/>
    </row>
    <row r="903" spans="2:8">
      <c r="B903" s="2"/>
      <c r="C903" s="1"/>
      <c r="D903" s="1"/>
      <c r="E903" s="1"/>
      <c r="F903" s="1"/>
      <c r="G903" s="1"/>
      <c r="H903" s="1"/>
    </row>
    <row r="904" spans="2:8">
      <c r="B904" s="2"/>
      <c r="C904" s="1"/>
      <c r="D904" s="1"/>
      <c r="E904" s="1"/>
      <c r="F904" s="1"/>
      <c r="G904" s="1"/>
      <c r="H904" s="1"/>
    </row>
    <row r="905" spans="2:8">
      <c r="B905" s="2"/>
      <c r="C905" s="1"/>
      <c r="D905" s="1"/>
      <c r="E905" s="1"/>
      <c r="F905" s="1"/>
      <c r="G905" s="1"/>
      <c r="H905" s="1"/>
    </row>
    <row r="906" spans="2:8">
      <c r="B906" s="2"/>
      <c r="C906" s="1"/>
      <c r="D906" s="1"/>
      <c r="E906" s="1"/>
      <c r="F906" s="1"/>
      <c r="G906" s="1"/>
      <c r="H906" s="1"/>
    </row>
    <row r="907" spans="2:8">
      <c r="B907" s="2"/>
      <c r="C907" s="1"/>
      <c r="D907" s="1"/>
      <c r="E907" s="1"/>
      <c r="F907" s="1"/>
      <c r="G907" s="1"/>
      <c r="H907" s="1"/>
    </row>
    <row r="908" spans="2:8">
      <c r="B908" s="2"/>
      <c r="C908" s="1"/>
      <c r="D908" s="1"/>
      <c r="E908" s="1"/>
      <c r="F908" s="1"/>
      <c r="G908" s="1"/>
      <c r="H908" s="1"/>
    </row>
    <row r="909" spans="2:8">
      <c r="B909" s="2"/>
      <c r="C909" s="1"/>
      <c r="D909" s="1"/>
      <c r="E909" s="1"/>
      <c r="F909" s="1"/>
      <c r="G909" s="1"/>
      <c r="H909" s="1"/>
    </row>
    <row r="910" spans="2:8">
      <c r="B910" s="2"/>
      <c r="C910" s="1"/>
      <c r="D910" s="1"/>
      <c r="E910" s="1"/>
      <c r="F910" s="1"/>
      <c r="G910" s="1"/>
      <c r="H910" s="1"/>
    </row>
    <row r="911" spans="2:8">
      <c r="B911" s="2"/>
      <c r="C911" s="1"/>
      <c r="D911" s="1"/>
      <c r="E911" s="1"/>
      <c r="F911" s="1"/>
      <c r="G911" s="1"/>
      <c r="H911" s="1"/>
    </row>
    <row r="912" spans="2:8">
      <c r="B912" s="2"/>
      <c r="C912" s="1"/>
      <c r="D912" s="1"/>
      <c r="E912" s="1"/>
      <c r="F912" s="1"/>
      <c r="G912" s="1"/>
      <c r="H912" s="1"/>
    </row>
    <row r="913" spans="2:8">
      <c r="B913" s="2"/>
      <c r="C913" s="1"/>
      <c r="D913" s="1"/>
      <c r="E913" s="1"/>
      <c r="F913" s="1"/>
      <c r="G913" s="1"/>
      <c r="H913" s="1"/>
    </row>
    <row r="914" spans="2:8">
      <c r="B914" s="2"/>
      <c r="C914" s="1"/>
      <c r="D914" s="1"/>
      <c r="E914" s="1"/>
      <c r="F914" s="1"/>
      <c r="G914" s="1"/>
      <c r="H914" s="1"/>
    </row>
    <row r="915" spans="2:8">
      <c r="B915" s="2"/>
      <c r="C915" s="1"/>
      <c r="D915" s="1"/>
      <c r="E915" s="1"/>
      <c r="F915" s="1"/>
      <c r="G915" s="1"/>
      <c r="H915" s="1"/>
    </row>
    <row r="916" spans="2:8">
      <c r="B916" s="2"/>
      <c r="C916" s="1"/>
      <c r="D916" s="1"/>
      <c r="E916" s="1"/>
      <c r="F916" s="1"/>
      <c r="G916" s="1"/>
      <c r="H916" s="1"/>
    </row>
    <row r="917" spans="2:8">
      <c r="B917" s="2"/>
      <c r="C917" s="1"/>
      <c r="D917" s="1"/>
      <c r="E917" s="1"/>
      <c r="F917" s="1"/>
      <c r="G917" s="1"/>
      <c r="H917" s="1"/>
    </row>
    <row r="918" spans="2:8">
      <c r="B918" s="2"/>
      <c r="C918" s="1"/>
      <c r="D918" s="1"/>
      <c r="E918" s="1"/>
      <c r="F918" s="1"/>
      <c r="G918" s="1"/>
      <c r="H918" s="1"/>
    </row>
    <row r="919" spans="2:8">
      <c r="B919" s="2"/>
      <c r="C919" s="1"/>
      <c r="D919" s="1"/>
      <c r="E919" s="1"/>
      <c r="F919" s="1"/>
      <c r="G919" s="1"/>
      <c r="H919" s="1"/>
    </row>
    <row r="920" spans="2:8">
      <c r="B920" s="2"/>
      <c r="C920" s="1"/>
      <c r="D920" s="1"/>
      <c r="E920" s="1"/>
      <c r="F920" s="1"/>
      <c r="G920" s="1"/>
      <c r="H920" s="1"/>
    </row>
    <row r="921" spans="2:8">
      <c r="B921" s="2"/>
      <c r="C921" s="1"/>
      <c r="D921" s="1"/>
      <c r="E921" s="1"/>
      <c r="F921" s="1"/>
      <c r="G921" s="1"/>
      <c r="H921" s="1"/>
    </row>
    <row r="922" spans="2:8">
      <c r="B922" s="2"/>
      <c r="C922" s="1"/>
      <c r="D922" s="1"/>
      <c r="E922" s="1"/>
      <c r="F922" s="1"/>
      <c r="G922" s="1"/>
      <c r="H922" s="1"/>
    </row>
    <row r="923" spans="2:8">
      <c r="B923" s="2"/>
      <c r="C923" s="1"/>
      <c r="D923" s="1"/>
      <c r="E923" s="1"/>
      <c r="F923" s="1"/>
      <c r="G923" s="1"/>
      <c r="H923" s="1"/>
    </row>
    <row r="924" spans="2:8">
      <c r="B924" s="2"/>
      <c r="C924" s="1"/>
      <c r="D924" s="1"/>
      <c r="E924" s="1"/>
      <c r="F924" s="1"/>
      <c r="G924" s="1"/>
      <c r="H924" s="1"/>
    </row>
    <row r="925" spans="2:8">
      <c r="B925" s="2"/>
      <c r="C925" s="1"/>
      <c r="D925" s="1"/>
      <c r="E925" s="1"/>
      <c r="F925" s="1"/>
      <c r="G925" s="1"/>
      <c r="H925" s="1"/>
    </row>
    <row r="926" spans="2:8">
      <c r="B926" s="2"/>
      <c r="C926" s="1"/>
      <c r="D926" s="1"/>
      <c r="E926" s="1"/>
      <c r="F926" s="1"/>
      <c r="G926" s="1"/>
      <c r="H926" s="1"/>
    </row>
    <row r="927" spans="2:8">
      <c r="B927" s="2"/>
      <c r="C927" s="1"/>
      <c r="D927" s="1"/>
      <c r="E927" s="1"/>
      <c r="F927" s="1"/>
      <c r="G927" s="1"/>
      <c r="H927" s="1"/>
    </row>
    <row r="928" spans="2:8">
      <c r="B928" s="2"/>
      <c r="C928" s="1"/>
      <c r="D928" s="1"/>
      <c r="E928" s="1"/>
      <c r="F928" s="1"/>
      <c r="G928" s="1"/>
      <c r="H928" s="1"/>
    </row>
    <row r="929" spans="2:8">
      <c r="B929" s="2"/>
      <c r="C929" s="1"/>
      <c r="D929" s="1"/>
      <c r="E929" s="1"/>
      <c r="F929" s="1"/>
      <c r="G929" s="1"/>
      <c r="H929" s="1"/>
    </row>
    <row r="930" spans="2:8">
      <c r="B930" s="2"/>
      <c r="C930" s="1"/>
      <c r="D930" s="1"/>
      <c r="E930" s="1"/>
      <c r="F930" s="1"/>
      <c r="G930" s="1"/>
      <c r="H930" s="1"/>
    </row>
    <row r="931" spans="2:8">
      <c r="B931" s="2"/>
      <c r="C931" s="1"/>
      <c r="D931" s="1"/>
      <c r="E931" s="1"/>
      <c r="F931" s="1"/>
      <c r="G931" s="1"/>
      <c r="H931" s="1"/>
    </row>
    <row r="932" spans="2:8">
      <c r="B932" s="2"/>
      <c r="C932" s="1"/>
      <c r="D932" s="1"/>
      <c r="E932" s="1"/>
      <c r="F932" s="1"/>
      <c r="G932" s="1"/>
      <c r="H932" s="1"/>
    </row>
    <row r="933" spans="2:8">
      <c r="B933" s="2"/>
      <c r="C933" s="1"/>
      <c r="D933" s="1"/>
      <c r="E933" s="1"/>
      <c r="F933" s="1"/>
      <c r="G933" s="1"/>
      <c r="H933" s="1"/>
    </row>
    <row r="934" spans="2:8">
      <c r="B934" s="2"/>
      <c r="C934" s="1"/>
      <c r="D934" s="1"/>
      <c r="E934" s="1"/>
      <c r="F934" s="1"/>
      <c r="G934" s="1"/>
      <c r="H934" s="1"/>
    </row>
    <row r="935" spans="2:8">
      <c r="B935" s="2"/>
      <c r="C935" s="1"/>
      <c r="D935" s="1"/>
      <c r="E935" s="1"/>
      <c r="F935" s="1"/>
      <c r="G935" s="1"/>
      <c r="H935" s="1"/>
    </row>
    <row r="936" spans="2:8">
      <c r="B936" s="2"/>
      <c r="C936" s="1"/>
      <c r="D936" s="1"/>
      <c r="E936" s="1"/>
      <c r="F936" s="1"/>
      <c r="G936" s="1"/>
      <c r="H936" s="1"/>
    </row>
    <row r="937" spans="2:8">
      <c r="B937" s="2"/>
      <c r="C937" s="1"/>
      <c r="D937" s="1"/>
      <c r="E937" s="1"/>
      <c r="F937" s="1"/>
      <c r="G937" s="1"/>
      <c r="H937" s="1"/>
    </row>
    <row r="938" spans="2:8">
      <c r="B938" s="2"/>
      <c r="C938" s="1"/>
      <c r="D938" s="1"/>
      <c r="E938" s="1"/>
      <c r="F938" s="1"/>
      <c r="G938" s="1"/>
      <c r="H938" s="1"/>
    </row>
    <row r="939" spans="2:8">
      <c r="B939" s="2"/>
      <c r="C939" s="1"/>
      <c r="D939" s="1"/>
      <c r="E939" s="1"/>
      <c r="F939" s="1"/>
      <c r="G939" s="1"/>
      <c r="H939" s="1"/>
    </row>
    <row r="940" spans="2:8">
      <c r="B940" s="2"/>
      <c r="C940" s="1"/>
      <c r="D940" s="1"/>
      <c r="E940" s="1"/>
      <c r="F940" s="1"/>
      <c r="G940" s="1"/>
      <c r="H940" s="1"/>
    </row>
    <row r="941" spans="2:8">
      <c r="B941" s="2"/>
      <c r="C941" s="1"/>
      <c r="D941" s="1"/>
      <c r="E941" s="1"/>
      <c r="F941" s="1"/>
      <c r="G941" s="1"/>
      <c r="H941" s="1"/>
    </row>
    <row r="942" spans="2:8">
      <c r="B942" s="2"/>
      <c r="C942" s="1"/>
      <c r="D942" s="1"/>
      <c r="E942" s="1"/>
      <c r="F942" s="1"/>
      <c r="G942" s="1"/>
      <c r="H942" s="1"/>
    </row>
    <row r="943" spans="2:8">
      <c r="B943" s="2"/>
      <c r="C943" s="1"/>
      <c r="D943" s="1"/>
      <c r="E943" s="1"/>
      <c r="F943" s="1"/>
      <c r="G943" s="1"/>
      <c r="H943" s="1"/>
    </row>
    <row r="944" spans="2:8">
      <c r="B944" s="2"/>
      <c r="C944" s="1"/>
      <c r="D944" s="1"/>
      <c r="E944" s="1"/>
      <c r="F944" s="1"/>
      <c r="G944" s="1"/>
      <c r="H944" s="1"/>
    </row>
    <row r="945" spans="2:8">
      <c r="B945" s="2"/>
      <c r="C945" s="1"/>
      <c r="D945" s="1"/>
      <c r="E945" s="1"/>
      <c r="F945" s="1"/>
      <c r="G945" s="1"/>
      <c r="H945" s="1"/>
    </row>
    <row r="946" spans="2:8">
      <c r="B946" s="2"/>
      <c r="C946" s="1"/>
      <c r="D946" s="1"/>
      <c r="E946" s="1"/>
      <c r="F946" s="1"/>
      <c r="G946" s="1"/>
      <c r="H946" s="1"/>
    </row>
    <row r="947" spans="2:8">
      <c r="B947" s="2"/>
      <c r="C947" s="1"/>
      <c r="D947" s="1"/>
      <c r="E947" s="1"/>
      <c r="F947" s="1"/>
      <c r="G947" s="1"/>
      <c r="H947" s="1"/>
    </row>
    <row r="948" spans="2:8">
      <c r="B948" s="2"/>
      <c r="C948" s="1"/>
      <c r="D948" s="1"/>
      <c r="E948" s="1"/>
      <c r="F948" s="1"/>
      <c r="G948" s="1"/>
      <c r="H948" s="1"/>
    </row>
    <row r="949" spans="2:8">
      <c r="B949" s="2"/>
      <c r="C949" s="1"/>
      <c r="D949" s="1"/>
      <c r="E949" s="1"/>
      <c r="F949" s="1"/>
      <c r="G949" s="1"/>
      <c r="H949" s="1"/>
    </row>
    <row r="950" spans="2:8">
      <c r="B950" s="2"/>
      <c r="C950" s="1"/>
      <c r="D950" s="1"/>
      <c r="E950" s="1"/>
      <c r="F950" s="1"/>
      <c r="G950" s="1"/>
      <c r="H950" s="1"/>
    </row>
    <row r="951" spans="2:8">
      <c r="B951" s="2"/>
      <c r="C951" s="1"/>
      <c r="D951" s="1"/>
      <c r="E951" s="1"/>
      <c r="F951" s="1"/>
      <c r="G951" s="1"/>
      <c r="H951" s="1"/>
    </row>
    <row r="952" spans="2:8">
      <c r="B952" s="2"/>
      <c r="C952" s="1"/>
      <c r="D952" s="1"/>
      <c r="E952" s="1"/>
      <c r="F952" s="1"/>
      <c r="G952" s="1"/>
      <c r="H952" s="1"/>
    </row>
    <row r="953" spans="2:8">
      <c r="B953" s="2"/>
      <c r="C953" s="1"/>
      <c r="D953" s="1"/>
      <c r="E953" s="1"/>
      <c r="F953" s="1"/>
      <c r="G953" s="1"/>
      <c r="H953" s="1"/>
    </row>
    <row r="954" spans="2:8">
      <c r="B954" s="2"/>
      <c r="C954" s="1"/>
      <c r="D954" s="1"/>
      <c r="E954" s="1"/>
      <c r="F954" s="1"/>
      <c r="G954" s="1"/>
      <c r="H954" s="1"/>
    </row>
    <row r="955" spans="2:8">
      <c r="B955" s="2"/>
      <c r="C955" s="1"/>
      <c r="D955" s="1"/>
      <c r="E955" s="1"/>
      <c r="F955" s="1"/>
      <c r="G955" s="1"/>
      <c r="H955" s="1"/>
    </row>
    <row r="956" spans="2:8">
      <c r="B956" s="2"/>
      <c r="C956" s="1"/>
      <c r="D956" s="1"/>
      <c r="E956" s="1"/>
      <c r="F956" s="1"/>
      <c r="G956" s="1"/>
      <c r="H956" s="1"/>
    </row>
    <row r="957" spans="2:8">
      <c r="B957" s="2"/>
      <c r="C957" s="1"/>
      <c r="D957" s="1"/>
      <c r="E957" s="1"/>
      <c r="F957" s="1"/>
      <c r="G957" s="1"/>
      <c r="H957" s="1"/>
    </row>
    <row r="958" spans="2:8">
      <c r="B958" s="2"/>
      <c r="C958" s="1"/>
      <c r="D958" s="1"/>
      <c r="E958" s="1"/>
      <c r="F958" s="1"/>
      <c r="G958" s="1"/>
      <c r="H958" s="1"/>
    </row>
    <row r="959" spans="2:8">
      <c r="B959" s="2"/>
      <c r="C959" s="1"/>
      <c r="D959" s="1"/>
      <c r="E959" s="1"/>
      <c r="F959" s="1"/>
      <c r="G959" s="1"/>
      <c r="H959" s="1"/>
    </row>
    <row r="960" spans="2:8">
      <c r="B960" s="2"/>
      <c r="C960" s="1"/>
      <c r="D960" s="1"/>
      <c r="E960" s="1"/>
      <c r="F960" s="1"/>
      <c r="G960" s="1"/>
      <c r="H960" s="1"/>
    </row>
    <row r="961" spans="2:8">
      <c r="B961" s="2"/>
      <c r="C961" s="1"/>
      <c r="D961" s="1"/>
      <c r="E961" s="1"/>
      <c r="F961" s="1"/>
      <c r="G961" s="1"/>
      <c r="H961" s="1"/>
    </row>
    <row r="962" spans="2:8">
      <c r="B962" s="2"/>
      <c r="C962" s="1"/>
      <c r="D962" s="1"/>
      <c r="E962" s="1"/>
      <c r="F962" s="1"/>
      <c r="G962" s="1"/>
      <c r="H962" s="1"/>
    </row>
    <row r="963" spans="2:8">
      <c r="B963" s="2"/>
      <c r="C963" s="1"/>
      <c r="D963" s="1"/>
      <c r="E963" s="1"/>
      <c r="F963" s="1"/>
      <c r="G963" s="1"/>
      <c r="H963" s="1"/>
    </row>
    <row r="964" spans="2:8">
      <c r="B964" s="2"/>
      <c r="C964" s="1"/>
      <c r="D964" s="1"/>
      <c r="E964" s="1"/>
      <c r="F964" s="1"/>
      <c r="G964" s="1"/>
      <c r="H964" s="1"/>
    </row>
    <row r="965" spans="2:8">
      <c r="B965" s="2"/>
      <c r="C965" s="1"/>
      <c r="D965" s="1"/>
      <c r="E965" s="1"/>
      <c r="F965" s="1"/>
      <c r="G965" s="1"/>
      <c r="H965" s="1"/>
    </row>
    <row r="966" spans="2:8">
      <c r="B966" s="2"/>
      <c r="C966" s="1"/>
      <c r="D966" s="1"/>
      <c r="E966" s="1"/>
      <c r="F966" s="1"/>
      <c r="G966" s="1"/>
      <c r="H966" s="1"/>
    </row>
    <row r="967" spans="2:8">
      <c r="B967" s="2"/>
      <c r="C967" s="1"/>
      <c r="D967" s="1"/>
      <c r="E967" s="1"/>
      <c r="F967" s="1"/>
      <c r="G967" s="1"/>
      <c r="H967" s="1"/>
    </row>
    <row r="968" spans="2:8">
      <c r="B968" s="2"/>
      <c r="C968" s="1"/>
      <c r="D968" s="1"/>
      <c r="E968" s="1"/>
      <c r="F968" s="1"/>
      <c r="G968" s="1"/>
      <c r="H968" s="1"/>
    </row>
    <row r="969" spans="2:8">
      <c r="B969" s="2"/>
      <c r="C969" s="1"/>
      <c r="D969" s="1"/>
      <c r="E969" s="1"/>
      <c r="F969" s="1"/>
      <c r="G969" s="1"/>
      <c r="H969" s="1"/>
    </row>
    <row r="970" spans="2:8">
      <c r="B970" s="2"/>
      <c r="C970" s="1"/>
      <c r="D970" s="1"/>
      <c r="E970" s="1"/>
      <c r="F970" s="1"/>
      <c r="G970" s="1"/>
      <c r="H970" s="1"/>
    </row>
    <row r="971" spans="2:8">
      <c r="B971" s="2"/>
      <c r="C971" s="1"/>
      <c r="D971" s="1"/>
      <c r="E971" s="1"/>
      <c r="F971" s="1"/>
      <c r="G971" s="1"/>
      <c r="H971" s="1"/>
    </row>
    <row r="972" spans="2:8">
      <c r="B972" s="2"/>
      <c r="C972" s="1"/>
      <c r="D972" s="1"/>
      <c r="E972" s="1"/>
      <c r="F972" s="1"/>
      <c r="G972" s="1"/>
      <c r="H972" s="1"/>
    </row>
    <row r="973" spans="2:8">
      <c r="B973" s="2"/>
      <c r="C973" s="1"/>
      <c r="D973" s="1"/>
      <c r="E973" s="1"/>
      <c r="F973" s="1"/>
      <c r="G973" s="1"/>
      <c r="H973" s="1"/>
    </row>
    <row r="974" spans="2:8">
      <c r="B974" s="2"/>
      <c r="C974" s="1"/>
      <c r="D974" s="1"/>
      <c r="E974" s="1"/>
      <c r="F974" s="1"/>
      <c r="G974" s="1"/>
      <c r="H974" s="1"/>
    </row>
    <row r="975" spans="2:8">
      <c r="B975" s="2"/>
      <c r="C975" s="1"/>
      <c r="D975" s="1"/>
      <c r="E975" s="1"/>
      <c r="F975" s="1"/>
      <c r="G975" s="1"/>
      <c r="H975" s="1"/>
    </row>
    <row r="976" spans="2:8">
      <c r="B976" s="2"/>
      <c r="C976" s="1"/>
      <c r="D976" s="1"/>
      <c r="E976" s="1"/>
      <c r="F976" s="1"/>
      <c r="G976" s="1"/>
      <c r="H976" s="1"/>
    </row>
    <row r="977" spans="2:8">
      <c r="B977" s="2"/>
      <c r="C977" s="1"/>
      <c r="D977" s="1"/>
      <c r="E977" s="1"/>
      <c r="F977" s="1"/>
      <c r="G977" s="1"/>
      <c r="H977" s="1"/>
    </row>
    <row r="978" spans="2:8">
      <c r="B978" s="2"/>
      <c r="C978" s="1"/>
      <c r="D978" s="1"/>
      <c r="E978" s="1"/>
      <c r="F978" s="1"/>
      <c r="G978" s="1"/>
      <c r="H978" s="1"/>
    </row>
    <row r="979" spans="2:8">
      <c r="B979" s="2"/>
      <c r="C979" s="1"/>
      <c r="D979" s="1"/>
      <c r="E979" s="1"/>
      <c r="F979" s="1"/>
      <c r="G979" s="1"/>
      <c r="H979" s="1"/>
    </row>
    <row r="980" spans="2:8">
      <c r="B980" s="2"/>
      <c r="C980" s="1"/>
      <c r="D980" s="1"/>
      <c r="E980" s="1"/>
      <c r="F980" s="1"/>
      <c r="G980" s="1"/>
      <c r="H980" s="1"/>
    </row>
    <row r="981" spans="2:8">
      <c r="B981" s="2"/>
      <c r="C981" s="1"/>
      <c r="D981" s="1"/>
      <c r="E981" s="1"/>
      <c r="F981" s="1"/>
      <c r="G981" s="1"/>
      <c r="H981" s="1"/>
    </row>
    <row r="982" spans="2:8">
      <c r="B982" s="2"/>
      <c r="C982" s="1"/>
      <c r="D982" s="1"/>
      <c r="E982" s="1"/>
      <c r="F982" s="1"/>
      <c r="G982" s="1"/>
      <c r="H982" s="1"/>
    </row>
    <row r="983" spans="2:8">
      <c r="B983" s="2"/>
      <c r="C983" s="1"/>
      <c r="D983" s="1"/>
      <c r="E983" s="1"/>
      <c r="F983" s="1"/>
      <c r="G983" s="1"/>
      <c r="H983" s="1"/>
    </row>
    <row r="984" spans="2:8">
      <c r="B984" s="2"/>
      <c r="C984" s="1"/>
      <c r="D984" s="1"/>
      <c r="E984" s="1"/>
      <c r="F984" s="1"/>
      <c r="G984" s="1"/>
      <c r="H984" s="1"/>
    </row>
    <row r="985" spans="2:8">
      <c r="B985" s="2"/>
      <c r="C985" s="1"/>
      <c r="D985" s="1"/>
      <c r="E985" s="1"/>
      <c r="F985" s="1"/>
      <c r="G985" s="1"/>
      <c r="H985" s="1"/>
    </row>
    <row r="986" spans="2:8">
      <c r="B986" s="2"/>
      <c r="C986" s="1"/>
      <c r="D986" s="1"/>
      <c r="E986" s="1"/>
      <c r="F986" s="1"/>
      <c r="G986" s="1"/>
      <c r="H986" s="1"/>
    </row>
    <row r="987" spans="2:8">
      <c r="B987" s="2"/>
      <c r="C987" s="1"/>
      <c r="D987" s="1"/>
      <c r="E987" s="1"/>
      <c r="F987" s="1"/>
      <c r="G987" s="1"/>
      <c r="H987" s="1"/>
    </row>
    <row r="988" spans="2:8">
      <c r="B988" s="2"/>
      <c r="C988" s="1"/>
      <c r="D988" s="1"/>
      <c r="E988" s="1"/>
      <c r="F988" s="1"/>
      <c r="G988" s="1"/>
      <c r="H988" s="1"/>
    </row>
    <row r="989" spans="2:8">
      <c r="B989" s="2"/>
      <c r="C989" s="1"/>
      <c r="D989" s="1"/>
      <c r="E989" s="1"/>
      <c r="F989" s="1"/>
      <c r="G989" s="1"/>
      <c r="H989" s="1"/>
    </row>
    <row r="990" spans="2:8">
      <c r="B990" s="2"/>
      <c r="C990" s="1"/>
      <c r="D990" s="1"/>
      <c r="E990" s="1"/>
      <c r="F990" s="1"/>
      <c r="G990" s="1"/>
      <c r="H990" s="1"/>
    </row>
    <row r="991" spans="2:8">
      <c r="B991" s="2"/>
      <c r="C991" s="1"/>
      <c r="D991" s="1"/>
      <c r="E991" s="1"/>
      <c r="F991" s="1"/>
      <c r="G991" s="1"/>
      <c r="H991" s="1"/>
    </row>
    <row r="992" spans="2:8">
      <c r="B992" s="2"/>
      <c r="C992" s="1"/>
      <c r="D992" s="1"/>
      <c r="E992" s="1"/>
      <c r="F992" s="1"/>
      <c r="G992" s="1"/>
      <c r="H992" s="1"/>
    </row>
    <row r="993" spans="2:8">
      <c r="B993" s="2"/>
      <c r="C993" s="1"/>
      <c r="D993" s="1"/>
      <c r="E993" s="1"/>
      <c r="F993" s="1"/>
      <c r="G993" s="1"/>
      <c r="H993" s="1"/>
    </row>
    <row r="994" spans="2:8">
      <c r="B994" s="2"/>
      <c r="C994" s="1"/>
      <c r="D994" s="1"/>
      <c r="E994" s="1"/>
      <c r="F994" s="1"/>
      <c r="G994" s="1"/>
      <c r="H994" s="1"/>
    </row>
    <row r="995" spans="2:8">
      <c r="B995" s="2"/>
      <c r="C995" s="1"/>
      <c r="D995" s="1"/>
      <c r="E995" s="1"/>
      <c r="F995" s="1"/>
      <c r="G995" s="1"/>
      <c r="H995" s="1"/>
    </row>
    <row r="996" spans="2:8">
      <c r="B996" s="2"/>
      <c r="C996" s="1"/>
      <c r="D996" s="1"/>
      <c r="E996" s="1"/>
      <c r="F996" s="1"/>
      <c r="G996" s="1"/>
      <c r="H996" s="1"/>
    </row>
    <row r="997" spans="2:8">
      <c r="B997" s="2"/>
      <c r="C997" s="1"/>
      <c r="D997" s="1"/>
      <c r="E997" s="1"/>
      <c r="F997" s="1"/>
      <c r="G997" s="1"/>
      <c r="H997" s="1"/>
    </row>
    <row r="998" spans="2:8">
      <c r="B998" s="2"/>
      <c r="C998" s="1"/>
      <c r="D998" s="1"/>
      <c r="E998" s="1"/>
      <c r="F998" s="1"/>
      <c r="G998" s="1"/>
      <c r="H998" s="1"/>
    </row>
    <row r="999" spans="2:8">
      <c r="B999" s="2"/>
      <c r="C999" s="1"/>
      <c r="D999" s="1"/>
      <c r="E999" s="1"/>
      <c r="F999" s="1"/>
      <c r="G999" s="1"/>
      <c r="H999" s="1"/>
    </row>
    <row r="1000" spans="2:8">
      <c r="B1000" s="2"/>
      <c r="C1000" s="1"/>
      <c r="D1000" s="1"/>
      <c r="E1000" s="1"/>
      <c r="F1000" s="1"/>
      <c r="G1000" s="1"/>
      <c r="H1000" s="1"/>
    </row>
    <row r="1001" spans="2:8">
      <c r="B1001" s="2"/>
      <c r="C1001" s="1"/>
      <c r="D1001" s="1"/>
      <c r="E1001" s="1"/>
      <c r="F1001" s="1"/>
      <c r="G1001" s="1"/>
      <c r="H1001" s="1"/>
    </row>
    <row r="1002" spans="2:8">
      <c r="B1002" s="2"/>
      <c r="C1002" s="1"/>
      <c r="D1002" s="1"/>
      <c r="E1002" s="1"/>
      <c r="F1002" s="1"/>
      <c r="G1002" s="1"/>
      <c r="H1002" s="1"/>
    </row>
    <row r="1003" spans="2:8">
      <c r="B1003" s="2"/>
      <c r="C1003" s="1"/>
      <c r="D1003" s="1"/>
      <c r="E1003" s="1"/>
      <c r="F1003" s="1"/>
      <c r="G1003" s="1"/>
      <c r="H1003" s="1"/>
    </row>
    <row r="1004" spans="2:8">
      <c r="B1004" s="2"/>
      <c r="C1004" s="1"/>
      <c r="D1004" s="1"/>
      <c r="E1004" s="1"/>
      <c r="F1004" s="1"/>
      <c r="G1004" s="1"/>
      <c r="H1004" s="1"/>
    </row>
    <row r="1005" spans="2:8">
      <c r="B1005" s="2"/>
      <c r="C1005" s="1"/>
      <c r="D1005" s="1"/>
      <c r="E1005" s="1"/>
      <c r="F1005" s="1"/>
      <c r="G1005" s="1"/>
      <c r="H1005" s="1"/>
    </row>
    <row r="1006" spans="2:8">
      <c r="B1006" s="2"/>
      <c r="C1006" s="1"/>
      <c r="D1006" s="1"/>
      <c r="E1006" s="1"/>
      <c r="F1006" s="1"/>
      <c r="G1006" s="1"/>
      <c r="H1006" s="1"/>
    </row>
    <row r="1007" spans="2:8">
      <c r="B1007" s="2"/>
      <c r="C1007" s="1"/>
      <c r="D1007" s="1"/>
      <c r="E1007" s="1"/>
      <c r="F1007" s="1"/>
      <c r="G1007" s="1"/>
      <c r="H1007" s="1"/>
    </row>
    <row r="1008" spans="2:8">
      <c r="B1008" s="2"/>
      <c r="C1008" s="1"/>
      <c r="D1008" s="1"/>
      <c r="E1008" s="1"/>
      <c r="F1008" s="1"/>
      <c r="G1008" s="1"/>
      <c r="H1008" s="1"/>
    </row>
    <row r="1009" spans="2:8">
      <c r="B1009" s="2"/>
      <c r="C1009" s="1"/>
      <c r="D1009" s="1"/>
      <c r="E1009" s="1"/>
      <c r="F1009" s="1"/>
      <c r="G1009" s="1"/>
      <c r="H1009" s="1"/>
    </row>
    <row r="1010" spans="2:8">
      <c r="B1010" s="2"/>
      <c r="C1010" s="1"/>
      <c r="D1010" s="1"/>
      <c r="E1010" s="1"/>
      <c r="F1010" s="1"/>
      <c r="G1010" s="1"/>
      <c r="H1010" s="1"/>
    </row>
    <row r="1011" spans="2:8">
      <c r="B1011" s="2"/>
      <c r="C1011" s="1"/>
      <c r="D1011" s="1"/>
      <c r="E1011" s="1"/>
      <c r="F1011" s="1"/>
      <c r="G1011" s="1"/>
      <c r="H1011" s="1"/>
    </row>
    <row r="1012" spans="2:8">
      <c r="B1012" s="2"/>
      <c r="C1012" s="1"/>
      <c r="D1012" s="1"/>
      <c r="E1012" s="1"/>
      <c r="F1012" s="1"/>
      <c r="G1012" s="1"/>
      <c r="H1012" s="1"/>
    </row>
    <row r="1013" spans="2:8">
      <c r="B1013" s="2"/>
      <c r="C1013" s="1"/>
      <c r="D1013" s="1"/>
      <c r="E1013" s="1"/>
      <c r="F1013" s="1"/>
      <c r="G1013" s="1"/>
      <c r="H1013" s="1"/>
    </row>
    <row r="1014" spans="2:8">
      <c r="B1014" s="2"/>
      <c r="C1014" s="1"/>
      <c r="D1014" s="1"/>
      <c r="E1014" s="1"/>
      <c r="F1014" s="1"/>
      <c r="G1014" s="1"/>
      <c r="H1014" s="1"/>
    </row>
    <row r="1015" spans="2:8">
      <c r="B1015" s="2"/>
      <c r="C1015" s="1"/>
      <c r="D1015" s="1"/>
      <c r="E1015" s="1"/>
      <c r="F1015" s="1"/>
      <c r="G1015" s="1"/>
      <c r="H1015" s="1"/>
    </row>
    <row r="1016" spans="2:8">
      <c r="B1016" s="2"/>
      <c r="C1016" s="1"/>
      <c r="D1016" s="1"/>
      <c r="E1016" s="1"/>
      <c r="F1016" s="1"/>
      <c r="G1016" s="1"/>
      <c r="H1016" s="1"/>
    </row>
    <row r="1017" spans="2:8">
      <c r="B1017" s="2"/>
      <c r="C1017" s="1"/>
      <c r="D1017" s="1"/>
      <c r="E1017" s="1"/>
      <c r="F1017" s="1"/>
      <c r="G1017" s="1"/>
      <c r="H1017" s="1"/>
    </row>
    <row r="1018" spans="2:8">
      <c r="B1018" s="2"/>
      <c r="C1018" s="1"/>
      <c r="D1018" s="1"/>
      <c r="E1018" s="1"/>
      <c r="F1018" s="1"/>
      <c r="G1018" s="1"/>
      <c r="H1018" s="1"/>
    </row>
    <row r="1019" spans="2:8">
      <c r="B1019" s="2"/>
      <c r="C1019" s="1"/>
      <c r="D1019" s="1"/>
      <c r="E1019" s="1"/>
      <c r="F1019" s="1"/>
      <c r="G1019" s="1"/>
      <c r="H1019" s="1"/>
    </row>
    <row r="1020" spans="2:8">
      <c r="B1020" s="2"/>
      <c r="C1020" s="1"/>
      <c r="D1020" s="1"/>
      <c r="E1020" s="1"/>
      <c r="F1020" s="1"/>
      <c r="G1020" s="1"/>
      <c r="H1020" s="1"/>
    </row>
    <row r="1021" spans="2:8">
      <c r="B1021" s="2"/>
      <c r="C1021" s="1"/>
      <c r="D1021" s="1"/>
      <c r="E1021" s="1"/>
      <c r="F1021" s="1"/>
      <c r="G1021" s="1"/>
      <c r="H1021" s="1"/>
    </row>
    <row r="1022" spans="2:8">
      <c r="B1022" s="2"/>
      <c r="C1022" s="1"/>
      <c r="D1022" s="1"/>
      <c r="E1022" s="1"/>
      <c r="F1022" s="1"/>
      <c r="G1022" s="1"/>
      <c r="H1022" s="1"/>
    </row>
    <row r="1023" spans="2:8">
      <c r="B1023" s="2"/>
      <c r="C1023" s="1"/>
      <c r="D1023" s="1"/>
      <c r="E1023" s="1"/>
      <c r="F1023" s="1"/>
      <c r="G1023" s="1"/>
      <c r="H1023" s="1"/>
    </row>
    <row r="1024" spans="2:8">
      <c r="B1024" s="2"/>
      <c r="C1024" s="1"/>
      <c r="D1024" s="1"/>
      <c r="E1024" s="1"/>
      <c r="F1024" s="1"/>
      <c r="G1024" s="1"/>
      <c r="H1024" s="1"/>
    </row>
    <row r="1025" spans="2:8">
      <c r="B1025" s="2"/>
      <c r="C1025" s="1"/>
      <c r="D1025" s="1"/>
      <c r="E1025" s="1"/>
      <c r="F1025" s="1"/>
      <c r="G1025" s="1"/>
      <c r="H1025" s="1"/>
    </row>
    <row r="1026" spans="2:8">
      <c r="B1026" s="2"/>
      <c r="C1026" s="1"/>
      <c r="D1026" s="1"/>
      <c r="E1026" s="1"/>
      <c r="F1026" s="1"/>
      <c r="G1026" s="1"/>
      <c r="H1026" s="1"/>
    </row>
    <row r="1027" spans="2:8">
      <c r="B1027" s="2"/>
      <c r="C1027" s="1"/>
      <c r="D1027" s="1"/>
      <c r="E1027" s="1"/>
      <c r="F1027" s="1"/>
      <c r="G1027" s="1"/>
      <c r="H1027" s="1"/>
    </row>
    <row r="1028" spans="2:8">
      <c r="B1028" s="2"/>
      <c r="C1028" s="1"/>
      <c r="D1028" s="1"/>
      <c r="E1028" s="1"/>
      <c r="F1028" s="1"/>
      <c r="G1028" s="1"/>
      <c r="H1028" s="1"/>
    </row>
    <row r="1029" spans="2:8">
      <c r="B1029" s="2"/>
      <c r="C1029" s="1"/>
      <c r="D1029" s="1"/>
      <c r="E1029" s="1"/>
      <c r="F1029" s="1"/>
      <c r="G1029" s="1"/>
      <c r="H1029" s="1"/>
    </row>
    <row r="1030" spans="2:8">
      <c r="B1030" s="2"/>
      <c r="C1030" s="1"/>
      <c r="D1030" s="1"/>
      <c r="E1030" s="1"/>
      <c r="F1030" s="1"/>
      <c r="G1030" s="1"/>
      <c r="H1030" s="1"/>
    </row>
    <row r="1031" spans="2:8">
      <c r="B1031" s="2"/>
      <c r="C1031" s="1"/>
      <c r="D1031" s="1"/>
      <c r="E1031" s="1"/>
      <c r="F1031" s="1"/>
      <c r="G1031" s="1"/>
      <c r="H1031" s="1"/>
    </row>
    <row r="1032" spans="2:8">
      <c r="B1032" s="2"/>
      <c r="C1032" s="1"/>
      <c r="D1032" s="1"/>
      <c r="E1032" s="1"/>
      <c r="F1032" s="1"/>
      <c r="G1032" s="1"/>
      <c r="H1032" s="1"/>
    </row>
    <row r="1033" spans="2:8">
      <c r="B1033" s="2"/>
      <c r="C1033" s="1"/>
      <c r="D1033" s="1"/>
      <c r="E1033" s="1"/>
      <c r="F1033" s="1"/>
      <c r="G1033" s="1"/>
      <c r="H1033" s="1"/>
    </row>
    <row r="1034" spans="2:8">
      <c r="B1034" s="2"/>
      <c r="C1034" s="1"/>
      <c r="D1034" s="1"/>
      <c r="E1034" s="1"/>
      <c r="F1034" s="1"/>
      <c r="G1034" s="1"/>
      <c r="H1034" s="1"/>
    </row>
    <row r="1035" spans="2:8">
      <c r="B1035" s="2"/>
      <c r="C1035" s="1"/>
      <c r="D1035" s="1"/>
      <c r="E1035" s="1"/>
      <c r="F1035" s="1"/>
      <c r="G1035" s="1"/>
      <c r="H1035" s="1"/>
    </row>
    <row r="1036" spans="2:8">
      <c r="B1036" s="2"/>
      <c r="C1036" s="1"/>
      <c r="D1036" s="1"/>
      <c r="E1036" s="1"/>
      <c r="F1036" s="1"/>
      <c r="G1036" s="1"/>
      <c r="H1036" s="1"/>
    </row>
    <row r="1037" spans="2:8">
      <c r="B1037" s="2"/>
      <c r="C1037" s="1"/>
      <c r="D1037" s="1"/>
      <c r="E1037" s="1"/>
      <c r="F1037" s="1"/>
      <c r="G1037" s="1"/>
      <c r="H1037" s="1"/>
    </row>
    <row r="1038" spans="2:8">
      <c r="B1038" s="2"/>
      <c r="C1038" s="1"/>
      <c r="D1038" s="1"/>
      <c r="E1038" s="1"/>
      <c r="F1038" s="1"/>
      <c r="G1038" s="1"/>
      <c r="H1038" s="1"/>
    </row>
    <row r="1039" spans="2:8">
      <c r="B1039" s="2"/>
      <c r="C1039" s="1"/>
      <c r="D1039" s="1"/>
      <c r="E1039" s="1"/>
      <c r="F1039" s="1"/>
      <c r="G1039" s="1"/>
      <c r="H1039" s="1"/>
    </row>
    <row r="1040" spans="2:8">
      <c r="B1040" s="2"/>
      <c r="C1040" s="1"/>
      <c r="D1040" s="1"/>
      <c r="E1040" s="1"/>
      <c r="F1040" s="1"/>
      <c r="G1040" s="1"/>
      <c r="H1040" s="1"/>
    </row>
    <row r="1041" spans="2:8">
      <c r="B1041" s="2"/>
      <c r="C1041" s="1"/>
      <c r="D1041" s="1"/>
      <c r="E1041" s="1"/>
      <c r="F1041" s="1"/>
      <c r="G1041" s="1"/>
      <c r="H1041" s="1"/>
    </row>
    <row r="1042" spans="2:8">
      <c r="B1042" s="2"/>
      <c r="C1042" s="1"/>
      <c r="D1042" s="1"/>
      <c r="E1042" s="1"/>
      <c r="F1042" s="1"/>
      <c r="G1042" s="1"/>
      <c r="H1042" s="1"/>
    </row>
    <row r="1043" spans="2:8">
      <c r="B1043" s="2"/>
      <c r="C1043" s="1"/>
      <c r="D1043" s="1"/>
      <c r="E1043" s="1"/>
      <c r="F1043" s="1"/>
      <c r="G1043" s="1"/>
      <c r="H1043" s="1"/>
    </row>
    <row r="1044" spans="2:8">
      <c r="B1044" s="2"/>
      <c r="C1044" s="1"/>
      <c r="D1044" s="1"/>
      <c r="E1044" s="1"/>
      <c r="F1044" s="1"/>
      <c r="G1044" s="1"/>
      <c r="H1044" s="1"/>
    </row>
    <row r="1045" spans="2:8">
      <c r="B1045" s="2"/>
      <c r="C1045" s="1"/>
      <c r="D1045" s="1"/>
      <c r="E1045" s="1"/>
      <c r="F1045" s="1"/>
      <c r="G1045" s="1"/>
      <c r="H1045" s="1"/>
    </row>
    <row r="1046" spans="2:8">
      <c r="B1046" s="2"/>
      <c r="C1046" s="1"/>
      <c r="D1046" s="1"/>
      <c r="E1046" s="1"/>
      <c r="F1046" s="1"/>
      <c r="G1046" s="1"/>
      <c r="H1046" s="1"/>
    </row>
    <row r="1047" spans="2:8">
      <c r="B1047" s="2"/>
      <c r="C1047" s="1"/>
      <c r="D1047" s="1"/>
      <c r="E1047" s="1"/>
      <c r="F1047" s="1"/>
      <c r="G1047" s="1"/>
      <c r="H1047" s="1"/>
    </row>
    <row r="1048" spans="2:8">
      <c r="B1048" s="2"/>
      <c r="C1048" s="1"/>
      <c r="D1048" s="1"/>
      <c r="E1048" s="1"/>
      <c r="F1048" s="1"/>
      <c r="G1048" s="1"/>
      <c r="H1048" s="1"/>
    </row>
    <row r="1049" spans="2:8">
      <c r="B1049" s="2"/>
      <c r="C1049" s="1"/>
      <c r="D1049" s="1"/>
      <c r="E1049" s="1"/>
      <c r="F1049" s="1"/>
      <c r="G1049" s="1"/>
      <c r="H1049" s="1"/>
    </row>
    <row r="1050" spans="2:8">
      <c r="B1050" s="2"/>
      <c r="C1050" s="1"/>
      <c r="D1050" s="1"/>
      <c r="E1050" s="1"/>
      <c r="F1050" s="1"/>
      <c r="G1050" s="1"/>
      <c r="H1050" s="1"/>
    </row>
    <row r="1051" spans="2:8">
      <c r="B1051" s="2"/>
      <c r="C1051" s="1"/>
      <c r="D1051" s="1"/>
      <c r="E1051" s="1"/>
      <c r="F1051" s="1"/>
      <c r="G1051" s="1"/>
      <c r="H1051" s="1"/>
    </row>
    <row r="1052" spans="2:8">
      <c r="B1052" s="2"/>
      <c r="C1052" s="1"/>
      <c r="D1052" s="1"/>
      <c r="E1052" s="1"/>
      <c r="F1052" s="1"/>
      <c r="G1052" s="1"/>
      <c r="H1052" s="1"/>
    </row>
    <row r="1053" spans="2:8">
      <c r="B1053" s="2"/>
      <c r="C1053" s="1"/>
      <c r="D1053" s="1"/>
      <c r="E1053" s="1"/>
      <c r="F1053" s="1"/>
      <c r="G1053" s="1"/>
      <c r="H1053" s="1"/>
    </row>
    <row r="1054" spans="2:8">
      <c r="B1054" s="2"/>
      <c r="C1054" s="1"/>
      <c r="D1054" s="1"/>
      <c r="E1054" s="1"/>
      <c r="F1054" s="1"/>
      <c r="G1054" s="1"/>
      <c r="H1054" s="1"/>
    </row>
    <row r="1055" spans="2:8">
      <c r="B1055" s="2"/>
      <c r="C1055" s="1"/>
      <c r="D1055" s="1"/>
      <c r="E1055" s="1"/>
      <c r="F1055" s="1"/>
      <c r="G1055" s="1"/>
      <c r="H1055" s="1"/>
    </row>
    <row r="1056" spans="2:8">
      <c r="B1056" s="2"/>
      <c r="C1056" s="1"/>
      <c r="D1056" s="1"/>
      <c r="E1056" s="1"/>
      <c r="F1056" s="1"/>
      <c r="G1056" s="1"/>
      <c r="H1056" s="1"/>
    </row>
    <row r="1057" spans="2:8">
      <c r="B1057" s="2"/>
      <c r="C1057" s="1"/>
      <c r="D1057" s="1"/>
      <c r="E1057" s="1"/>
      <c r="F1057" s="1"/>
      <c r="G1057" s="1"/>
      <c r="H1057" s="1"/>
    </row>
    <row r="1058" spans="2:8">
      <c r="B1058" s="2"/>
      <c r="C1058" s="1"/>
      <c r="D1058" s="1"/>
      <c r="E1058" s="1"/>
      <c r="F1058" s="1"/>
      <c r="G1058" s="1"/>
      <c r="H1058" s="1"/>
    </row>
    <row r="1059" spans="2:8">
      <c r="B1059" s="2"/>
      <c r="C1059" s="1"/>
      <c r="D1059" s="1"/>
      <c r="E1059" s="1"/>
      <c r="F1059" s="1"/>
      <c r="G1059" s="1"/>
      <c r="H1059" s="1"/>
    </row>
    <row r="1060" spans="2:8">
      <c r="B1060" s="2"/>
      <c r="C1060" s="1"/>
      <c r="D1060" s="1"/>
      <c r="E1060" s="1"/>
      <c r="F1060" s="1"/>
      <c r="G1060" s="1"/>
      <c r="H1060" s="1"/>
    </row>
    <row r="1061" spans="2:8">
      <c r="B1061" s="2"/>
      <c r="C1061" s="1"/>
      <c r="D1061" s="1"/>
      <c r="E1061" s="1"/>
      <c r="F1061" s="1"/>
      <c r="G1061" s="1"/>
      <c r="H1061" s="1"/>
    </row>
    <row r="1062" spans="2:8">
      <c r="B1062" s="2"/>
      <c r="C1062" s="1"/>
      <c r="D1062" s="1"/>
      <c r="E1062" s="1"/>
      <c r="F1062" s="1"/>
      <c r="G1062" s="1"/>
      <c r="H1062" s="1"/>
    </row>
    <row r="1063" spans="2:8">
      <c r="B1063" s="2"/>
      <c r="C1063" s="1"/>
      <c r="D1063" s="1"/>
      <c r="E1063" s="1"/>
      <c r="F1063" s="1"/>
      <c r="G1063" s="1"/>
      <c r="H1063" s="1"/>
    </row>
    <row r="1064" spans="2:8">
      <c r="B1064" s="2"/>
      <c r="C1064" s="1"/>
      <c r="D1064" s="1"/>
      <c r="E1064" s="1"/>
      <c r="F1064" s="1"/>
      <c r="G1064" s="1"/>
      <c r="H1064" s="1"/>
    </row>
    <row r="1065" spans="2:8">
      <c r="B1065" s="2"/>
      <c r="C1065" s="1"/>
      <c r="D1065" s="1"/>
      <c r="E1065" s="1"/>
      <c r="F1065" s="1"/>
      <c r="G1065" s="1"/>
      <c r="H1065" s="1"/>
    </row>
    <row r="1066" spans="2:8">
      <c r="B1066" s="2"/>
      <c r="C1066" s="1"/>
      <c r="D1066" s="1"/>
      <c r="E1066" s="1"/>
      <c r="F1066" s="1"/>
      <c r="G1066" s="1"/>
      <c r="H1066" s="1"/>
    </row>
    <row r="1067" spans="2:8">
      <c r="B1067" s="2"/>
      <c r="C1067" s="1"/>
      <c r="D1067" s="1"/>
      <c r="E1067" s="1"/>
      <c r="F1067" s="1"/>
      <c r="G1067" s="1"/>
      <c r="H1067" s="1"/>
    </row>
    <row r="1068" spans="2:8">
      <c r="B1068" s="2"/>
      <c r="C1068" s="1"/>
      <c r="D1068" s="1"/>
      <c r="E1068" s="1"/>
      <c r="F1068" s="1"/>
      <c r="G1068" s="1"/>
      <c r="H1068" s="1"/>
    </row>
    <row r="1069" spans="2:8">
      <c r="B1069" s="2"/>
      <c r="C1069" s="1"/>
      <c r="D1069" s="1"/>
      <c r="E1069" s="1"/>
      <c r="F1069" s="1"/>
      <c r="G1069" s="1"/>
      <c r="H1069" s="1"/>
    </row>
    <row r="1070" spans="2:8">
      <c r="B1070" s="2"/>
      <c r="C1070" s="1"/>
      <c r="D1070" s="1"/>
      <c r="E1070" s="1"/>
      <c r="F1070" s="1"/>
      <c r="G1070" s="1"/>
      <c r="H1070" s="1"/>
    </row>
    <row r="1071" spans="2:8">
      <c r="B1071" s="2"/>
      <c r="C1071" s="1"/>
      <c r="D1071" s="1"/>
      <c r="E1071" s="1"/>
      <c r="F1071" s="1"/>
      <c r="G1071" s="1"/>
      <c r="H1071" s="1"/>
    </row>
    <row r="1072" spans="2:8">
      <c r="B1072" s="2"/>
      <c r="C1072" s="1"/>
      <c r="D1072" s="1"/>
      <c r="E1072" s="1"/>
      <c r="F1072" s="1"/>
      <c r="G1072" s="1"/>
      <c r="H1072" s="1"/>
    </row>
    <row r="1073" spans="2:8">
      <c r="B1073" s="2"/>
      <c r="C1073" s="1"/>
      <c r="D1073" s="1"/>
      <c r="E1073" s="1"/>
      <c r="F1073" s="1"/>
      <c r="G1073" s="1"/>
      <c r="H1073" s="1"/>
    </row>
    <row r="1074" spans="2:8">
      <c r="B1074" s="2"/>
      <c r="C1074" s="1"/>
      <c r="D1074" s="1"/>
      <c r="E1074" s="1"/>
      <c r="F1074" s="1"/>
      <c r="G1074" s="1"/>
      <c r="H1074" s="1"/>
    </row>
    <row r="1075" spans="2:8">
      <c r="B1075" s="2"/>
      <c r="C1075" s="1"/>
      <c r="D1075" s="1"/>
      <c r="E1075" s="1"/>
      <c r="F1075" s="1"/>
      <c r="G1075" s="1"/>
      <c r="H1075" s="1"/>
    </row>
    <row r="1076" spans="2:8">
      <c r="B1076" s="2"/>
      <c r="C1076" s="1"/>
      <c r="D1076" s="1"/>
      <c r="E1076" s="1"/>
      <c r="F1076" s="1"/>
      <c r="G1076" s="1"/>
      <c r="H1076" s="1"/>
    </row>
    <row r="1077" spans="2:8">
      <c r="B1077" s="2"/>
      <c r="C1077" s="1"/>
      <c r="D1077" s="1"/>
      <c r="E1077" s="1"/>
      <c r="F1077" s="1"/>
      <c r="G1077" s="1"/>
      <c r="H1077" s="1"/>
    </row>
    <row r="1078" spans="2:8">
      <c r="B1078" s="2"/>
      <c r="C1078" s="1"/>
      <c r="D1078" s="1"/>
      <c r="E1078" s="1"/>
      <c r="F1078" s="1"/>
      <c r="G1078" s="1"/>
      <c r="H1078" s="1"/>
    </row>
    <row r="1079" spans="2:8">
      <c r="B1079" s="2"/>
      <c r="C1079" s="1"/>
      <c r="D1079" s="1"/>
      <c r="E1079" s="1"/>
      <c r="F1079" s="1"/>
      <c r="G1079" s="1"/>
      <c r="H1079" s="1"/>
    </row>
    <row r="1080" spans="2:8">
      <c r="B1080" s="2"/>
      <c r="C1080" s="1"/>
      <c r="D1080" s="1"/>
      <c r="E1080" s="1"/>
      <c r="F1080" s="1"/>
      <c r="G1080" s="1"/>
      <c r="H1080" s="1"/>
    </row>
    <row r="1081" spans="2:8">
      <c r="B1081" s="2"/>
      <c r="C1081" s="1"/>
      <c r="D1081" s="1"/>
      <c r="E1081" s="1"/>
      <c r="F1081" s="1"/>
      <c r="G1081" s="1"/>
      <c r="H1081" s="1"/>
    </row>
    <row r="1082" spans="2:8">
      <c r="B1082" s="2"/>
      <c r="C1082" s="1"/>
      <c r="D1082" s="1"/>
      <c r="E1082" s="1"/>
      <c r="F1082" s="1"/>
      <c r="G1082" s="1"/>
      <c r="H1082" s="1"/>
    </row>
    <row r="1083" spans="2:8">
      <c r="B1083" s="2"/>
      <c r="C1083" s="1"/>
      <c r="D1083" s="1"/>
      <c r="E1083" s="1"/>
      <c r="F1083" s="1"/>
      <c r="G1083" s="1"/>
      <c r="H1083" s="1"/>
    </row>
    <row r="1084" spans="2:8">
      <c r="B1084" s="2"/>
      <c r="C1084" s="1"/>
      <c r="D1084" s="1"/>
      <c r="E1084" s="1"/>
      <c r="F1084" s="1"/>
      <c r="G1084" s="1"/>
      <c r="H1084" s="1"/>
    </row>
    <row r="1085" spans="2:8">
      <c r="B1085" s="2"/>
      <c r="C1085" s="1"/>
      <c r="D1085" s="1"/>
      <c r="E1085" s="1"/>
      <c r="F1085" s="1"/>
      <c r="G1085" s="1"/>
      <c r="H1085" s="1"/>
    </row>
    <row r="1086" spans="2:8">
      <c r="B1086" s="2"/>
      <c r="C1086" s="1"/>
      <c r="D1086" s="1"/>
      <c r="E1086" s="1"/>
      <c r="F1086" s="1"/>
      <c r="G1086" s="1"/>
      <c r="H1086" s="1"/>
    </row>
    <row r="1087" spans="2:8">
      <c r="B1087" s="2"/>
      <c r="C1087" s="1"/>
      <c r="D1087" s="1"/>
      <c r="E1087" s="1"/>
      <c r="F1087" s="1"/>
      <c r="G1087" s="1"/>
      <c r="H1087" s="1"/>
    </row>
    <row r="1088" spans="2:8">
      <c r="B1088" s="2"/>
      <c r="C1088" s="1"/>
      <c r="D1088" s="1"/>
      <c r="E1088" s="1"/>
      <c r="F1088" s="1"/>
      <c r="G1088" s="1"/>
      <c r="H1088" s="1"/>
    </row>
    <row r="1089" spans="2:8">
      <c r="B1089" s="2"/>
      <c r="C1089" s="1"/>
      <c r="D1089" s="1"/>
      <c r="E1089" s="1"/>
      <c r="F1089" s="1"/>
      <c r="G1089" s="1"/>
      <c r="H1089" s="1"/>
    </row>
    <row r="1090" spans="2:8">
      <c r="B1090" s="2"/>
      <c r="C1090" s="1"/>
      <c r="D1090" s="1"/>
      <c r="E1090" s="1"/>
      <c r="F1090" s="1"/>
      <c r="G1090" s="1"/>
      <c r="H1090" s="1"/>
    </row>
    <row r="1091" spans="2:8">
      <c r="B1091" s="2"/>
      <c r="C1091" s="1"/>
      <c r="D1091" s="1"/>
      <c r="E1091" s="1"/>
      <c r="F1091" s="1"/>
      <c r="G1091" s="1"/>
      <c r="H1091" s="1"/>
    </row>
    <row r="1092" spans="2:8">
      <c r="B1092" s="2"/>
      <c r="C1092" s="1"/>
      <c r="D1092" s="1"/>
      <c r="E1092" s="1"/>
      <c r="F1092" s="1"/>
      <c r="G1092" s="1"/>
      <c r="H1092" s="1"/>
    </row>
    <row r="1093" spans="2:8">
      <c r="B1093" s="2"/>
      <c r="C1093" s="1"/>
      <c r="D1093" s="1"/>
      <c r="E1093" s="1"/>
      <c r="F1093" s="1"/>
      <c r="G1093" s="1"/>
      <c r="H1093" s="1"/>
    </row>
    <row r="1094" spans="2:8">
      <c r="B1094" s="2"/>
      <c r="C1094" s="1"/>
      <c r="D1094" s="1"/>
      <c r="E1094" s="1"/>
      <c r="F1094" s="1"/>
      <c r="G1094" s="1"/>
      <c r="H1094" s="1"/>
    </row>
    <row r="1095" spans="2:8">
      <c r="B1095" s="2"/>
      <c r="C1095" s="1"/>
      <c r="D1095" s="1"/>
      <c r="E1095" s="1"/>
      <c r="F1095" s="1"/>
      <c r="G1095" s="1"/>
      <c r="H1095" s="1"/>
    </row>
    <row r="1096" spans="2:8">
      <c r="B1096" s="2"/>
      <c r="C1096" s="1"/>
      <c r="D1096" s="1"/>
      <c r="E1096" s="1"/>
      <c r="F1096" s="1"/>
      <c r="G1096" s="1"/>
      <c r="H1096" s="1"/>
    </row>
    <row r="1097" spans="2:8">
      <c r="B1097" s="2"/>
      <c r="C1097" s="1"/>
      <c r="D1097" s="1"/>
      <c r="E1097" s="1"/>
      <c r="F1097" s="1"/>
      <c r="G1097" s="1"/>
      <c r="H1097" s="1"/>
    </row>
    <row r="1098" spans="2:8">
      <c r="B1098" s="2"/>
      <c r="C1098" s="1"/>
      <c r="D1098" s="1"/>
      <c r="E1098" s="1"/>
      <c r="F1098" s="1"/>
      <c r="G1098" s="1"/>
      <c r="H1098" s="1"/>
    </row>
    <row r="1099" spans="2:8">
      <c r="B1099" s="2"/>
      <c r="C1099" s="1"/>
      <c r="D1099" s="1"/>
      <c r="E1099" s="1"/>
      <c r="F1099" s="1"/>
      <c r="G1099" s="1"/>
      <c r="H1099" s="1"/>
    </row>
    <row r="1100" spans="2:8">
      <c r="B1100" s="2"/>
      <c r="C1100" s="1"/>
      <c r="D1100" s="1"/>
      <c r="E1100" s="1"/>
      <c r="F1100" s="1"/>
      <c r="G1100" s="1"/>
      <c r="H1100" s="1"/>
    </row>
    <row r="1101" spans="2:8">
      <c r="B1101" s="2"/>
      <c r="C1101" s="1"/>
      <c r="D1101" s="1"/>
      <c r="E1101" s="1"/>
      <c r="F1101" s="1"/>
      <c r="G1101" s="1"/>
      <c r="H1101" s="1"/>
    </row>
    <row r="1102" spans="2:8">
      <c r="B1102" s="2"/>
      <c r="C1102" s="1"/>
      <c r="D1102" s="1"/>
      <c r="E1102" s="1"/>
      <c r="F1102" s="1"/>
      <c r="G1102" s="1"/>
      <c r="H1102" s="1"/>
    </row>
    <row r="1103" spans="2:8">
      <c r="B1103" s="2"/>
      <c r="C1103" s="1"/>
      <c r="D1103" s="1"/>
      <c r="E1103" s="1"/>
      <c r="F1103" s="1"/>
      <c r="G1103" s="1"/>
      <c r="H1103" s="1"/>
    </row>
    <row r="1104" spans="2:8">
      <c r="B1104" s="2"/>
      <c r="C1104" s="1"/>
      <c r="D1104" s="1"/>
      <c r="E1104" s="1"/>
      <c r="F1104" s="1"/>
      <c r="G1104" s="1"/>
      <c r="H1104" s="1"/>
    </row>
    <row r="1105" spans="2:8">
      <c r="B1105" s="2"/>
      <c r="C1105" s="1"/>
      <c r="D1105" s="1"/>
      <c r="E1105" s="1"/>
      <c r="F1105" s="1"/>
      <c r="G1105" s="1"/>
      <c r="H1105" s="1"/>
    </row>
    <row r="1106" spans="2:8">
      <c r="B1106" s="2"/>
      <c r="C1106" s="1"/>
      <c r="D1106" s="1"/>
      <c r="E1106" s="1"/>
      <c r="F1106" s="1"/>
      <c r="G1106" s="1"/>
      <c r="H1106" s="1"/>
    </row>
    <row r="1107" spans="2:8">
      <c r="B1107" s="2"/>
      <c r="C1107" s="1"/>
      <c r="D1107" s="1"/>
      <c r="E1107" s="1"/>
      <c r="F1107" s="1"/>
      <c r="G1107" s="1"/>
      <c r="H1107" s="1"/>
    </row>
    <row r="1108" spans="2:8">
      <c r="B1108" s="2"/>
      <c r="C1108" s="1"/>
      <c r="D1108" s="1"/>
      <c r="E1108" s="1"/>
      <c r="F1108" s="1"/>
      <c r="G1108" s="1"/>
      <c r="H1108" s="1"/>
    </row>
    <row r="1109" spans="2:8">
      <c r="B1109" s="2"/>
      <c r="C1109" s="1"/>
      <c r="D1109" s="1"/>
      <c r="E1109" s="1"/>
      <c r="F1109" s="1"/>
      <c r="G1109" s="1"/>
      <c r="H1109" s="1"/>
    </row>
    <row r="1110" spans="2:8">
      <c r="B1110" s="2"/>
      <c r="C1110" s="1"/>
      <c r="D1110" s="1"/>
      <c r="E1110" s="1"/>
      <c r="F1110" s="1"/>
      <c r="G1110" s="1"/>
      <c r="H1110" s="1"/>
    </row>
    <row r="1111" spans="2:8">
      <c r="B1111" s="2"/>
      <c r="C1111" s="1"/>
      <c r="D1111" s="1"/>
      <c r="E1111" s="1"/>
      <c r="F1111" s="1"/>
      <c r="G1111" s="1"/>
      <c r="H1111" s="1"/>
    </row>
    <row r="1112" spans="2:8">
      <c r="B1112" s="2"/>
      <c r="C1112" s="1"/>
      <c r="D1112" s="1"/>
      <c r="E1112" s="1"/>
      <c r="F1112" s="1"/>
      <c r="G1112" s="1"/>
      <c r="H1112" s="1"/>
    </row>
    <row r="1113" spans="2:8">
      <c r="B1113" s="2"/>
      <c r="C1113" s="1"/>
      <c r="D1113" s="1"/>
      <c r="E1113" s="1"/>
      <c r="F1113" s="1"/>
      <c r="G1113" s="1"/>
      <c r="H1113" s="1"/>
    </row>
    <row r="1114" spans="2:8">
      <c r="B1114" s="2"/>
      <c r="C1114" s="1"/>
      <c r="D1114" s="1"/>
      <c r="E1114" s="1"/>
      <c r="F1114" s="1"/>
      <c r="G1114" s="1"/>
      <c r="H1114" s="1"/>
    </row>
    <row r="1115" spans="2:8">
      <c r="B1115" s="2"/>
      <c r="C1115" s="1"/>
      <c r="D1115" s="1"/>
      <c r="E1115" s="1"/>
      <c r="F1115" s="1"/>
      <c r="G1115" s="1"/>
      <c r="H1115" s="1"/>
    </row>
    <row r="1116" spans="2:8">
      <c r="B1116" s="2"/>
      <c r="C1116" s="1"/>
      <c r="D1116" s="1"/>
      <c r="E1116" s="1"/>
      <c r="F1116" s="1"/>
      <c r="G1116" s="1"/>
      <c r="H1116" s="1"/>
    </row>
    <row r="1117" spans="2:8">
      <c r="B1117" s="2"/>
      <c r="C1117" s="1"/>
      <c r="D1117" s="1"/>
      <c r="E1117" s="1"/>
      <c r="F1117" s="1"/>
      <c r="G1117" s="1"/>
      <c r="H1117" s="1"/>
    </row>
    <row r="1118" spans="2:8">
      <c r="B1118" s="2"/>
      <c r="C1118" s="1"/>
      <c r="D1118" s="1"/>
      <c r="E1118" s="1"/>
      <c r="F1118" s="1"/>
      <c r="G1118" s="1"/>
      <c r="H1118" s="1"/>
    </row>
    <row r="1119" spans="2:8">
      <c r="B1119" s="2"/>
      <c r="C1119" s="1"/>
      <c r="D1119" s="1"/>
      <c r="E1119" s="1"/>
      <c r="F1119" s="1"/>
      <c r="G1119" s="1"/>
      <c r="H1119" s="1"/>
    </row>
    <row r="1120" spans="2:8">
      <c r="B1120" s="2"/>
      <c r="C1120" s="1"/>
      <c r="D1120" s="1"/>
      <c r="E1120" s="1"/>
      <c r="F1120" s="1"/>
      <c r="G1120" s="1"/>
      <c r="H1120" s="1"/>
    </row>
    <row r="1121" spans="2:8">
      <c r="B1121" s="2"/>
      <c r="C1121" s="1"/>
      <c r="D1121" s="1"/>
      <c r="E1121" s="1"/>
      <c r="F1121" s="1"/>
      <c r="G1121" s="1"/>
      <c r="H1121" s="1"/>
    </row>
    <row r="1122" spans="2:8">
      <c r="B1122" s="2"/>
      <c r="C1122" s="1"/>
      <c r="D1122" s="1"/>
      <c r="E1122" s="1"/>
      <c r="F1122" s="1"/>
      <c r="G1122" s="1"/>
      <c r="H1122" s="1"/>
    </row>
    <row r="1123" spans="2:8">
      <c r="B1123" s="2"/>
      <c r="C1123" s="1"/>
      <c r="D1123" s="1"/>
      <c r="E1123" s="1"/>
      <c r="F1123" s="1"/>
      <c r="G1123" s="1"/>
      <c r="H1123" s="1"/>
    </row>
    <row r="1124" spans="2:8">
      <c r="B1124" s="2"/>
      <c r="C1124" s="1"/>
      <c r="D1124" s="1"/>
      <c r="E1124" s="1"/>
      <c r="F1124" s="1"/>
      <c r="G1124" s="1"/>
      <c r="H1124" s="1"/>
    </row>
    <row r="1125" spans="2:8">
      <c r="B1125" s="2"/>
      <c r="C1125" s="1"/>
      <c r="D1125" s="1"/>
      <c r="E1125" s="1"/>
      <c r="F1125" s="1"/>
      <c r="G1125" s="1"/>
      <c r="H1125" s="1"/>
    </row>
    <row r="1126" spans="2:8">
      <c r="B1126" s="2"/>
      <c r="C1126" s="1"/>
      <c r="D1126" s="1"/>
      <c r="E1126" s="1"/>
      <c r="F1126" s="1"/>
      <c r="G1126" s="1"/>
      <c r="H1126" s="1"/>
    </row>
    <row r="1127" spans="2:8">
      <c r="B1127" s="2"/>
      <c r="C1127" s="1"/>
      <c r="D1127" s="1"/>
      <c r="E1127" s="1"/>
      <c r="F1127" s="1"/>
      <c r="G1127" s="1"/>
      <c r="H1127" s="1"/>
    </row>
    <row r="1128" spans="2:8">
      <c r="B1128" s="2"/>
      <c r="C1128" s="1"/>
      <c r="D1128" s="1"/>
      <c r="E1128" s="1"/>
      <c r="F1128" s="1"/>
      <c r="G1128" s="1"/>
      <c r="H1128" s="1"/>
    </row>
    <row r="1129" spans="2:8">
      <c r="B1129" s="2"/>
      <c r="C1129" s="1"/>
      <c r="D1129" s="1"/>
      <c r="E1129" s="1"/>
      <c r="F1129" s="1"/>
      <c r="G1129" s="1"/>
      <c r="H1129" s="1"/>
    </row>
    <row r="1130" spans="2:8">
      <c r="B1130" s="2"/>
      <c r="C1130" s="1"/>
      <c r="D1130" s="1"/>
      <c r="E1130" s="1"/>
      <c r="F1130" s="1"/>
      <c r="G1130" s="1"/>
      <c r="H1130" s="1"/>
    </row>
    <row r="1131" spans="2:8">
      <c r="B1131" s="2"/>
      <c r="C1131" s="1"/>
      <c r="D1131" s="1"/>
      <c r="E1131" s="1"/>
      <c r="F1131" s="1"/>
      <c r="G1131" s="1"/>
      <c r="H1131" s="1"/>
    </row>
    <row r="1132" spans="2:8">
      <c r="B1132" s="2"/>
      <c r="C1132" s="1"/>
      <c r="D1132" s="1"/>
      <c r="E1132" s="1"/>
      <c r="F1132" s="1"/>
      <c r="G1132" s="1"/>
      <c r="H1132" s="1"/>
    </row>
    <row r="1133" spans="2:8">
      <c r="B1133" s="2"/>
      <c r="C1133" s="1"/>
      <c r="D1133" s="1"/>
      <c r="E1133" s="1"/>
      <c r="F1133" s="1"/>
      <c r="G1133" s="1"/>
      <c r="H1133" s="1"/>
    </row>
    <row r="1134" spans="2:8">
      <c r="B1134" s="2"/>
      <c r="C1134" s="1"/>
      <c r="D1134" s="1"/>
      <c r="E1134" s="1"/>
      <c r="F1134" s="1"/>
      <c r="G1134" s="1"/>
      <c r="H1134" s="1"/>
    </row>
    <row r="1135" spans="2:8">
      <c r="B1135" s="2"/>
      <c r="C1135" s="1"/>
      <c r="D1135" s="1"/>
      <c r="E1135" s="1"/>
      <c r="F1135" s="1"/>
      <c r="G1135" s="1"/>
      <c r="H1135" s="1"/>
    </row>
    <row r="1136" spans="2:8">
      <c r="B1136" s="2"/>
      <c r="C1136" s="1"/>
      <c r="D1136" s="1"/>
      <c r="E1136" s="1"/>
      <c r="F1136" s="1"/>
      <c r="G1136" s="1"/>
      <c r="H1136" s="1"/>
    </row>
    <row r="1137" spans="2:8">
      <c r="B1137" s="2"/>
      <c r="C1137" s="1"/>
      <c r="D1137" s="1"/>
      <c r="E1137" s="1"/>
      <c r="F1137" s="1"/>
      <c r="G1137" s="1"/>
      <c r="H1137" s="1"/>
    </row>
    <row r="1138" spans="2:8">
      <c r="B1138" s="2"/>
      <c r="C1138" s="1"/>
      <c r="D1138" s="1"/>
      <c r="E1138" s="1"/>
      <c r="F1138" s="1"/>
      <c r="G1138" s="1"/>
      <c r="H1138" s="1"/>
    </row>
    <row r="1139" spans="2:8">
      <c r="B1139" s="2"/>
      <c r="C1139" s="1"/>
      <c r="D1139" s="1"/>
      <c r="E1139" s="1"/>
      <c r="F1139" s="1"/>
      <c r="G1139" s="1"/>
      <c r="H1139" s="1"/>
    </row>
    <row r="1140" spans="2:8">
      <c r="B1140" s="2"/>
      <c r="C1140" s="1"/>
      <c r="D1140" s="1"/>
      <c r="E1140" s="1"/>
      <c r="F1140" s="1"/>
      <c r="G1140" s="1"/>
      <c r="H1140" s="1"/>
    </row>
    <row r="1141" spans="2:8">
      <c r="B1141" s="2"/>
      <c r="C1141" s="1"/>
      <c r="D1141" s="1"/>
      <c r="E1141" s="1"/>
      <c r="F1141" s="1"/>
      <c r="G1141" s="1"/>
      <c r="H1141" s="1"/>
    </row>
    <row r="1142" spans="2:8">
      <c r="B1142" s="2"/>
      <c r="C1142" s="1"/>
      <c r="D1142" s="1"/>
      <c r="E1142" s="1"/>
      <c r="F1142" s="1"/>
      <c r="G1142" s="1"/>
      <c r="H1142" s="1"/>
    </row>
    <row r="1143" spans="2:8">
      <c r="B1143" s="2"/>
      <c r="C1143" s="1"/>
      <c r="D1143" s="1"/>
      <c r="E1143" s="1"/>
      <c r="F1143" s="1"/>
      <c r="G1143" s="1"/>
      <c r="H1143" s="1"/>
    </row>
    <row r="1144" spans="2:8">
      <c r="B1144" s="2"/>
      <c r="C1144" s="1"/>
      <c r="D1144" s="1"/>
      <c r="E1144" s="1"/>
      <c r="F1144" s="1"/>
      <c r="G1144" s="1"/>
      <c r="H1144" s="1"/>
    </row>
    <row r="1145" spans="2:8">
      <c r="B1145" s="2"/>
      <c r="C1145" s="1"/>
      <c r="D1145" s="1"/>
      <c r="E1145" s="1"/>
      <c r="F1145" s="1"/>
      <c r="G1145" s="1"/>
      <c r="H1145" s="1"/>
    </row>
    <row r="1146" spans="2:8">
      <c r="B1146" s="2"/>
      <c r="C1146" s="1"/>
      <c r="D1146" s="1"/>
      <c r="E1146" s="1"/>
      <c r="F1146" s="1"/>
      <c r="G1146" s="1"/>
      <c r="H1146" s="1"/>
    </row>
    <row r="1147" spans="2:8">
      <c r="B1147" s="2"/>
      <c r="C1147" s="1"/>
      <c r="D1147" s="1"/>
      <c r="E1147" s="1"/>
      <c r="F1147" s="1"/>
      <c r="G1147" s="1"/>
      <c r="H1147" s="1"/>
    </row>
    <row r="1148" spans="2:8">
      <c r="B1148" s="2"/>
      <c r="C1148" s="1"/>
      <c r="D1148" s="1"/>
      <c r="E1148" s="1"/>
      <c r="F1148" s="1"/>
      <c r="G1148" s="1"/>
      <c r="H1148" s="1"/>
    </row>
    <row r="1149" spans="2:8">
      <c r="B1149" s="2"/>
      <c r="C1149" s="1"/>
      <c r="D1149" s="1"/>
      <c r="E1149" s="1"/>
      <c r="F1149" s="1"/>
      <c r="G1149" s="1"/>
      <c r="H1149" s="1"/>
    </row>
    <row r="1150" spans="2:8">
      <c r="B1150" s="2"/>
      <c r="C1150" s="1"/>
      <c r="D1150" s="1"/>
      <c r="E1150" s="1"/>
      <c r="F1150" s="1"/>
      <c r="G1150" s="1"/>
      <c r="H1150" s="1"/>
    </row>
    <row r="1151" spans="2:8">
      <c r="B1151" s="2"/>
      <c r="C1151" s="1"/>
      <c r="D1151" s="1"/>
      <c r="E1151" s="1"/>
      <c r="F1151" s="1"/>
      <c r="G1151" s="1"/>
      <c r="H1151" s="1"/>
    </row>
    <row r="1152" spans="2:8">
      <c r="B1152" s="2"/>
      <c r="C1152" s="1"/>
      <c r="D1152" s="1"/>
      <c r="E1152" s="1"/>
      <c r="F1152" s="1"/>
      <c r="G1152" s="1"/>
      <c r="H1152" s="1"/>
    </row>
    <row r="1153" spans="2:8">
      <c r="B1153" s="2"/>
      <c r="C1153" s="1"/>
      <c r="D1153" s="1"/>
      <c r="E1153" s="1"/>
      <c r="F1153" s="1"/>
      <c r="G1153" s="1"/>
      <c r="H1153" s="1"/>
    </row>
    <row r="1154" spans="2:8">
      <c r="B1154" s="2"/>
      <c r="C1154" s="1"/>
      <c r="D1154" s="1"/>
      <c r="E1154" s="1"/>
      <c r="F1154" s="1"/>
      <c r="G1154" s="1"/>
      <c r="H1154" s="1"/>
    </row>
    <row r="1155" spans="2:8">
      <c r="B1155" s="2"/>
      <c r="C1155" s="1"/>
      <c r="D1155" s="1"/>
      <c r="E1155" s="1"/>
      <c r="F1155" s="1"/>
      <c r="G1155" s="1"/>
      <c r="H1155" s="1"/>
    </row>
    <row r="1156" spans="2:8">
      <c r="B1156" s="2"/>
      <c r="C1156" s="1"/>
      <c r="D1156" s="1"/>
      <c r="E1156" s="1"/>
      <c r="F1156" s="1"/>
      <c r="G1156" s="1"/>
      <c r="H1156" s="1"/>
    </row>
    <row r="1157" spans="2:8">
      <c r="B1157" s="2"/>
      <c r="C1157" s="1"/>
      <c r="D1157" s="1"/>
      <c r="E1157" s="1"/>
      <c r="F1157" s="1"/>
      <c r="G1157" s="1"/>
      <c r="H1157" s="1"/>
    </row>
    <row r="1158" spans="2:8">
      <c r="B1158" s="2"/>
      <c r="C1158" s="1"/>
      <c r="D1158" s="1"/>
      <c r="E1158" s="1"/>
      <c r="F1158" s="1"/>
      <c r="G1158" s="1"/>
      <c r="H1158" s="1"/>
    </row>
    <row r="1159" spans="2:8">
      <c r="B1159" s="2"/>
      <c r="C1159" s="1"/>
      <c r="D1159" s="1"/>
      <c r="E1159" s="1"/>
      <c r="F1159" s="1"/>
      <c r="G1159" s="1"/>
      <c r="H1159" s="1"/>
    </row>
    <row r="1160" spans="2:8">
      <c r="B1160" s="2"/>
      <c r="C1160" s="1"/>
      <c r="D1160" s="1"/>
      <c r="E1160" s="1"/>
      <c r="F1160" s="1"/>
      <c r="G1160" s="1"/>
      <c r="H1160" s="1"/>
    </row>
    <row r="1161" spans="2:8">
      <c r="B1161" s="2"/>
      <c r="C1161" s="1"/>
      <c r="D1161" s="1"/>
      <c r="E1161" s="1"/>
      <c r="F1161" s="1"/>
      <c r="G1161" s="1"/>
      <c r="H1161" s="1"/>
    </row>
    <row r="1162" spans="2:8">
      <c r="B1162" s="2"/>
      <c r="C1162" s="1"/>
      <c r="D1162" s="1"/>
      <c r="E1162" s="1"/>
      <c r="F1162" s="1"/>
      <c r="G1162" s="1"/>
      <c r="H1162" s="1"/>
    </row>
    <row r="1163" spans="2:8">
      <c r="B1163" s="2"/>
      <c r="C1163" s="1"/>
      <c r="D1163" s="1"/>
      <c r="E1163" s="1"/>
      <c r="F1163" s="1"/>
      <c r="G1163" s="1"/>
      <c r="H1163" s="1"/>
    </row>
    <row r="1164" spans="2:8">
      <c r="B1164" s="2"/>
      <c r="C1164" s="1"/>
      <c r="D1164" s="1"/>
      <c r="E1164" s="1"/>
      <c r="F1164" s="1"/>
      <c r="G1164" s="1"/>
      <c r="H1164" s="1"/>
    </row>
    <row r="1165" spans="2:8">
      <c r="B1165" s="2"/>
      <c r="C1165" s="1"/>
      <c r="D1165" s="1"/>
      <c r="E1165" s="1"/>
      <c r="F1165" s="1"/>
      <c r="G1165" s="1"/>
      <c r="H1165" s="1"/>
    </row>
    <row r="1166" spans="2:8">
      <c r="B1166" s="2"/>
      <c r="C1166" s="1"/>
      <c r="D1166" s="1"/>
      <c r="E1166" s="1"/>
      <c r="F1166" s="1"/>
      <c r="G1166" s="1"/>
      <c r="H1166" s="1"/>
    </row>
    <row r="1167" spans="2:8">
      <c r="B1167" s="2"/>
      <c r="C1167" s="1"/>
      <c r="D1167" s="1"/>
      <c r="E1167" s="1"/>
      <c r="F1167" s="1"/>
      <c r="G1167" s="1"/>
      <c r="H1167" s="1"/>
    </row>
    <row r="1168" spans="2:8">
      <c r="B1168" s="2"/>
      <c r="C1168" s="1"/>
      <c r="D1168" s="1"/>
      <c r="E1168" s="1"/>
      <c r="F1168" s="1"/>
      <c r="G1168" s="1"/>
      <c r="H1168" s="1"/>
    </row>
    <row r="1169" spans="2:8">
      <c r="B1169" s="2"/>
      <c r="C1169" s="1"/>
      <c r="D1169" s="1"/>
      <c r="E1169" s="1"/>
      <c r="F1169" s="1"/>
      <c r="G1169" s="1"/>
      <c r="H1169" s="1"/>
    </row>
    <row r="1170" spans="2:8">
      <c r="B1170" s="2"/>
      <c r="C1170" s="1"/>
      <c r="D1170" s="1"/>
      <c r="E1170" s="1"/>
      <c r="F1170" s="1"/>
      <c r="G1170" s="1"/>
      <c r="H1170" s="1"/>
    </row>
    <row r="1171" spans="2:8">
      <c r="B1171" s="2"/>
      <c r="C1171" s="1"/>
      <c r="D1171" s="1"/>
      <c r="E1171" s="1"/>
      <c r="F1171" s="1"/>
      <c r="G1171" s="1"/>
      <c r="H1171" s="1"/>
    </row>
    <row r="1172" spans="2:8">
      <c r="B1172" s="2"/>
      <c r="C1172" s="1"/>
      <c r="D1172" s="1"/>
      <c r="E1172" s="1"/>
      <c r="F1172" s="1"/>
      <c r="G1172" s="1"/>
      <c r="H1172" s="1"/>
    </row>
    <row r="1173" spans="2:8">
      <c r="B1173" s="2"/>
      <c r="C1173" s="1"/>
      <c r="D1173" s="1"/>
      <c r="E1173" s="1"/>
      <c r="F1173" s="1"/>
      <c r="G1173" s="1"/>
      <c r="H1173" s="1"/>
    </row>
    <row r="1174" spans="2:8">
      <c r="B1174" s="2"/>
      <c r="C1174" s="1"/>
      <c r="D1174" s="1"/>
      <c r="E1174" s="1"/>
      <c r="F1174" s="1"/>
      <c r="G1174" s="1"/>
      <c r="H1174" s="1"/>
    </row>
    <row r="1175" spans="2:8">
      <c r="B1175" s="2"/>
      <c r="C1175" s="1"/>
      <c r="D1175" s="1"/>
      <c r="E1175" s="1"/>
      <c r="F1175" s="1"/>
      <c r="G1175" s="1"/>
      <c r="H1175" s="1"/>
    </row>
    <row r="1176" spans="2:8">
      <c r="B1176" s="2"/>
      <c r="C1176" s="1"/>
      <c r="D1176" s="1"/>
      <c r="E1176" s="1"/>
      <c r="F1176" s="1"/>
      <c r="G1176" s="1"/>
      <c r="H1176" s="1"/>
    </row>
    <row r="1177" spans="2:8">
      <c r="B1177" s="2"/>
      <c r="C1177" s="1"/>
      <c r="D1177" s="1"/>
      <c r="E1177" s="1"/>
      <c r="F1177" s="1"/>
      <c r="G1177" s="1"/>
      <c r="H1177" s="1"/>
    </row>
    <row r="1178" spans="2:8">
      <c r="B1178" s="2"/>
      <c r="C1178" s="1"/>
      <c r="D1178" s="1"/>
      <c r="E1178" s="1"/>
      <c r="F1178" s="1"/>
      <c r="G1178" s="1"/>
      <c r="H1178" s="1"/>
    </row>
    <row r="1179" spans="2:8">
      <c r="B1179" s="2"/>
      <c r="C1179" s="1"/>
      <c r="D1179" s="1"/>
      <c r="E1179" s="1"/>
      <c r="F1179" s="1"/>
      <c r="G1179" s="1"/>
      <c r="H1179" s="1"/>
    </row>
    <row r="1180" spans="2:8">
      <c r="B1180" s="2"/>
      <c r="C1180" s="1"/>
      <c r="D1180" s="1"/>
      <c r="E1180" s="1"/>
      <c r="F1180" s="1"/>
      <c r="G1180" s="1"/>
      <c r="H1180" s="1"/>
    </row>
    <row r="1181" spans="2:8">
      <c r="B1181" s="2"/>
      <c r="C1181" s="1"/>
      <c r="D1181" s="1"/>
      <c r="E1181" s="1"/>
      <c r="F1181" s="1"/>
      <c r="G1181" s="1"/>
      <c r="H1181" s="1"/>
    </row>
    <row r="1182" spans="2:8">
      <c r="B1182" s="2"/>
      <c r="C1182" s="1"/>
      <c r="D1182" s="1"/>
      <c r="E1182" s="1"/>
      <c r="F1182" s="1"/>
      <c r="G1182" s="1"/>
      <c r="H1182" s="1"/>
    </row>
    <row r="1183" spans="2:8">
      <c r="B1183" s="2"/>
      <c r="C1183" s="1"/>
      <c r="D1183" s="1"/>
      <c r="E1183" s="1"/>
      <c r="F1183" s="1"/>
      <c r="G1183" s="1"/>
      <c r="H1183" s="1"/>
    </row>
    <row r="1184" spans="2:8">
      <c r="B1184" s="2"/>
      <c r="C1184" s="1"/>
      <c r="D1184" s="1"/>
      <c r="E1184" s="1"/>
      <c r="F1184" s="1"/>
      <c r="G1184" s="1"/>
      <c r="H1184" s="1"/>
    </row>
    <row r="1185" spans="2:8">
      <c r="B1185" s="2"/>
      <c r="C1185" s="1"/>
      <c r="D1185" s="1"/>
      <c r="E1185" s="1"/>
      <c r="F1185" s="1"/>
      <c r="G1185" s="1"/>
      <c r="H1185" s="1"/>
    </row>
    <row r="1186" spans="2:8">
      <c r="B1186" s="2"/>
      <c r="C1186" s="1"/>
      <c r="D1186" s="1"/>
      <c r="E1186" s="1"/>
      <c r="F1186" s="1"/>
      <c r="G1186" s="1"/>
      <c r="H1186" s="1"/>
    </row>
    <row r="1187" spans="2:8">
      <c r="B1187" s="2"/>
      <c r="C1187" s="1"/>
      <c r="D1187" s="1"/>
      <c r="E1187" s="1"/>
      <c r="F1187" s="1"/>
      <c r="G1187" s="1"/>
      <c r="H1187" s="1"/>
    </row>
    <row r="1188" spans="2:8">
      <c r="B1188" s="2"/>
      <c r="C1188" s="1"/>
      <c r="D1188" s="1"/>
      <c r="E1188" s="1"/>
      <c r="F1188" s="1"/>
      <c r="G1188" s="1"/>
      <c r="H1188" s="1"/>
    </row>
    <row r="1189" spans="2:8">
      <c r="B1189" s="2"/>
      <c r="C1189" s="1"/>
      <c r="D1189" s="1"/>
      <c r="E1189" s="1"/>
      <c r="F1189" s="1"/>
      <c r="G1189" s="1"/>
      <c r="H1189" s="1"/>
    </row>
    <row r="1190" spans="2:8">
      <c r="B1190" s="2"/>
      <c r="C1190" s="1"/>
      <c r="D1190" s="1"/>
      <c r="E1190" s="1"/>
      <c r="F1190" s="1"/>
      <c r="G1190" s="1"/>
      <c r="H1190" s="1"/>
    </row>
    <row r="1191" spans="2:8">
      <c r="B1191" s="2"/>
      <c r="C1191" s="1"/>
      <c r="D1191" s="1"/>
      <c r="E1191" s="1"/>
      <c r="F1191" s="1"/>
      <c r="G1191" s="1"/>
      <c r="H1191" s="1"/>
    </row>
    <row r="1192" spans="2:8">
      <c r="B1192" s="2"/>
      <c r="C1192" s="1"/>
      <c r="D1192" s="1"/>
      <c r="E1192" s="1"/>
      <c r="F1192" s="1"/>
      <c r="G1192" s="1"/>
      <c r="H1192" s="1"/>
    </row>
    <row r="1193" spans="2:8">
      <c r="B1193" s="2"/>
      <c r="C1193" s="1"/>
      <c r="D1193" s="1"/>
      <c r="E1193" s="1"/>
      <c r="F1193" s="1"/>
      <c r="G1193" s="1"/>
      <c r="H1193" s="1"/>
    </row>
    <row r="1194" spans="2:8">
      <c r="B1194" s="2"/>
      <c r="C1194" s="1"/>
      <c r="D1194" s="1"/>
      <c r="E1194" s="1"/>
      <c r="F1194" s="1"/>
      <c r="G1194" s="1"/>
      <c r="H1194" s="1"/>
    </row>
    <row r="1195" spans="2:8">
      <c r="B1195" s="2"/>
      <c r="C1195" s="1"/>
      <c r="D1195" s="1"/>
      <c r="E1195" s="1"/>
      <c r="F1195" s="1"/>
      <c r="G1195" s="1"/>
      <c r="H1195" s="1"/>
    </row>
    <row r="1196" spans="2:8">
      <c r="B1196" s="2"/>
      <c r="C1196" s="1"/>
      <c r="D1196" s="1"/>
      <c r="E1196" s="1"/>
      <c r="F1196" s="1"/>
      <c r="G1196" s="1"/>
      <c r="H1196" s="1"/>
    </row>
    <row r="1197" spans="2:8">
      <c r="B1197" s="2"/>
      <c r="C1197" s="1"/>
      <c r="D1197" s="1"/>
      <c r="E1197" s="1"/>
      <c r="F1197" s="1"/>
      <c r="G1197" s="1"/>
      <c r="H1197" s="1"/>
    </row>
    <row r="1198" spans="2:8">
      <c r="B1198" s="2"/>
      <c r="C1198" s="1"/>
      <c r="D1198" s="1"/>
      <c r="E1198" s="1"/>
      <c r="F1198" s="1"/>
      <c r="G1198" s="1"/>
      <c r="H1198" s="1"/>
    </row>
    <row r="1199" spans="2:8">
      <c r="B1199" s="2"/>
      <c r="C1199" s="1"/>
      <c r="D1199" s="1"/>
      <c r="E1199" s="1"/>
      <c r="F1199" s="1"/>
      <c r="G1199" s="1"/>
      <c r="H1199" s="1"/>
    </row>
    <row r="1200" spans="2:8">
      <c r="B1200" s="2"/>
      <c r="C1200" s="1"/>
      <c r="D1200" s="1"/>
      <c r="E1200" s="1"/>
      <c r="F1200" s="1"/>
      <c r="G1200" s="1"/>
      <c r="H1200" s="1"/>
    </row>
    <row r="1201" spans="2:8">
      <c r="B1201" s="2"/>
      <c r="C1201" s="1"/>
      <c r="D1201" s="1"/>
      <c r="E1201" s="1"/>
      <c r="F1201" s="1"/>
      <c r="G1201" s="1"/>
      <c r="H1201" s="1"/>
    </row>
    <row r="1202" spans="2:8">
      <c r="B1202" s="2"/>
      <c r="C1202" s="1"/>
      <c r="D1202" s="1"/>
      <c r="E1202" s="1"/>
      <c r="F1202" s="1"/>
      <c r="G1202" s="1"/>
      <c r="H1202" s="1"/>
    </row>
    <row r="1203" spans="2:8">
      <c r="B1203" s="2"/>
      <c r="C1203" s="1"/>
      <c r="D1203" s="1"/>
      <c r="E1203" s="1"/>
      <c r="F1203" s="1"/>
      <c r="G1203" s="1"/>
      <c r="H1203" s="1"/>
    </row>
    <row r="1204" spans="2:8">
      <c r="B1204" s="2"/>
      <c r="C1204" s="1"/>
      <c r="D1204" s="1"/>
      <c r="E1204" s="1"/>
      <c r="F1204" s="1"/>
      <c r="G1204" s="1"/>
      <c r="H1204" s="1"/>
    </row>
    <row r="1205" spans="2:8">
      <c r="B1205" s="2"/>
      <c r="C1205" s="1"/>
      <c r="D1205" s="1"/>
      <c r="E1205" s="1"/>
      <c r="F1205" s="1"/>
      <c r="G1205" s="1"/>
      <c r="H1205" s="1"/>
    </row>
    <row r="1206" spans="2:8">
      <c r="B1206" s="2"/>
      <c r="C1206" s="1"/>
      <c r="D1206" s="1"/>
      <c r="E1206" s="1"/>
      <c r="F1206" s="1"/>
      <c r="G1206" s="1"/>
      <c r="H1206" s="1"/>
    </row>
    <row r="1207" spans="2:8">
      <c r="B1207" s="2"/>
      <c r="C1207" s="1"/>
      <c r="D1207" s="1"/>
      <c r="E1207" s="1"/>
      <c r="F1207" s="1"/>
      <c r="G1207" s="1"/>
      <c r="H1207" s="1"/>
    </row>
    <row r="1208" spans="2:8">
      <c r="B1208" s="2"/>
      <c r="C1208" s="1"/>
      <c r="D1208" s="1"/>
      <c r="E1208" s="1"/>
      <c r="F1208" s="1"/>
      <c r="G1208" s="1"/>
      <c r="H1208" s="1"/>
    </row>
    <row r="1209" spans="2:8">
      <c r="B1209" s="2"/>
      <c r="C1209" s="1"/>
      <c r="D1209" s="1"/>
      <c r="E1209" s="1"/>
      <c r="F1209" s="1"/>
      <c r="G1209" s="1"/>
      <c r="H1209" s="1"/>
    </row>
    <row r="1210" spans="2:8">
      <c r="B1210" s="2"/>
      <c r="C1210" s="1"/>
      <c r="D1210" s="1"/>
      <c r="E1210" s="1"/>
      <c r="F1210" s="1"/>
      <c r="G1210" s="1"/>
      <c r="H1210" s="1"/>
    </row>
    <row r="1211" spans="2:8">
      <c r="B1211" s="2"/>
      <c r="C1211" s="1"/>
      <c r="D1211" s="1"/>
      <c r="E1211" s="1"/>
      <c r="F1211" s="1"/>
      <c r="G1211" s="1"/>
      <c r="H1211" s="1"/>
    </row>
    <row r="1212" spans="2:8">
      <c r="B1212" s="2"/>
      <c r="C1212" s="1"/>
      <c r="D1212" s="1"/>
      <c r="E1212" s="1"/>
      <c r="F1212" s="1"/>
      <c r="G1212" s="1"/>
      <c r="H1212" s="1"/>
    </row>
    <row r="1213" spans="2:8">
      <c r="B1213" s="2"/>
      <c r="C1213" s="1"/>
      <c r="D1213" s="1"/>
      <c r="E1213" s="1"/>
      <c r="F1213" s="1"/>
      <c r="G1213" s="1"/>
      <c r="H1213" s="1"/>
    </row>
    <row r="1214" spans="2:8">
      <c r="B1214" s="2"/>
      <c r="C1214" s="1"/>
      <c r="D1214" s="1"/>
      <c r="E1214" s="1"/>
      <c r="F1214" s="1"/>
      <c r="G1214" s="1"/>
      <c r="H1214" s="1"/>
    </row>
    <row r="1215" spans="2:8">
      <c r="B1215" s="2"/>
      <c r="C1215" s="1"/>
      <c r="D1215" s="1"/>
      <c r="E1215" s="1"/>
      <c r="F1215" s="1"/>
      <c r="G1215" s="1"/>
      <c r="H1215" s="1"/>
    </row>
    <row r="1216" spans="2:8">
      <c r="B1216" s="2"/>
      <c r="C1216" s="1"/>
      <c r="D1216" s="1"/>
      <c r="E1216" s="1"/>
      <c r="F1216" s="1"/>
      <c r="G1216" s="1"/>
      <c r="H1216" s="1"/>
    </row>
    <row r="1217" spans="2:8">
      <c r="B1217" s="2"/>
      <c r="C1217" s="1"/>
      <c r="D1217" s="1"/>
      <c r="E1217" s="1"/>
      <c r="F1217" s="1"/>
      <c r="G1217" s="1"/>
      <c r="H1217" s="1"/>
    </row>
    <row r="1218" spans="2:8">
      <c r="B1218" s="2"/>
      <c r="C1218" s="1"/>
      <c r="D1218" s="1"/>
      <c r="E1218" s="1"/>
      <c r="F1218" s="1"/>
      <c r="G1218" s="1"/>
      <c r="H1218" s="1"/>
    </row>
    <row r="1219" spans="2:8">
      <c r="B1219" s="2"/>
      <c r="C1219" s="1"/>
      <c r="D1219" s="1"/>
      <c r="E1219" s="1"/>
      <c r="F1219" s="1"/>
      <c r="G1219" s="1"/>
      <c r="H1219" s="1"/>
    </row>
    <row r="1220" spans="2:8">
      <c r="B1220" s="2"/>
      <c r="C1220" s="1"/>
      <c r="D1220" s="1"/>
      <c r="E1220" s="1"/>
      <c r="F1220" s="1"/>
      <c r="G1220" s="1"/>
      <c r="H1220" s="1"/>
    </row>
    <row r="1221" spans="2:8">
      <c r="B1221" s="2"/>
      <c r="C1221" s="1"/>
      <c r="D1221" s="1"/>
      <c r="E1221" s="1"/>
      <c r="F1221" s="1"/>
      <c r="G1221" s="1"/>
      <c r="H1221" s="1"/>
    </row>
    <row r="1222" spans="2:8">
      <c r="B1222" s="2"/>
      <c r="C1222" s="1"/>
      <c r="D1222" s="1"/>
      <c r="E1222" s="1"/>
      <c r="F1222" s="1"/>
      <c r="G1222" s="1"/>
      <c r="H1222" s="1"/>
    </row>
    <row r="1223" spans="2:8">
      <c r="B1223" s="2"/>
      <c r="C1223" s="1"/>
      <c r="D1223" s="1"/>
      <c r="E1223" s="1"/>
      <c r="F1223" s="1"/>
      <c r="G1223" s="1"/>
      <c r="H1223" s="1"/>
    </row>
    <row r="1224" spans="2:8">
      <c r="B1224" s="2"/>
      <c r="C1224" s="1"/>
      <c r="D1224" s="1"/>
      <c r="E1224" s="1"/>
      <c r="F1224" s="1"/>
      <c r="G1224" s="1"/>
      <c r="H1224" s="1"/>
    </row>
    <row r="1225" spans="2:8">
      <c r="B1225" s="2"/>
      <c r="C1225" s="1"/>
      <c r="D1225" s="1"/>
      <c r="E1225" s="1"/>
      <c r="F1225" s="1"/>
      <c r="G1225" s="1"/>
      <c r="H1225" s="1"/>
    </row>
    <row r="1226" spans="2:8">
      <c r="B1226" s="2"/>
      <c r="C1226" s="1"/>
      <c r="D1226" s="1"/>
      <c r="E1226" s="1"/>
      <c r="F1226" s="1"/>
      <c r="G1226" s="1"/>
      <c r="H1226" s="1"/>
    </row>
    <row r="1227" spans="2:8">
      <c r="B1227" s="2"/>
      <c r="C1227" s="1"/>
      <c r="D1227" s="1"/>
      <c r="E1227" s="1"/>
      <c r="F1227" s="1"/>
      <c r="G1227" s="1"/>
      <c r="H1227" s="1"/>
    </row>
    <row r="1228" spans="2:8">
      <c r="B1228" s="2"/>
      <c r="C1228" s="1"/>
      <c r="D1228" s="1"/>
      <c r="E1228" s="1"/>
      <c r="F1228" s="1"/>
      <c r="G1228" s="1"/>
      <c r="H1228" s="1"/>
    </row>
    <row r="1229" spans="2:8">
      <c r="B1229" s="2"/>
      <c r="C1229" s="1"/>
      <c r="D1229" s="1"/>
      <c r="E1229" s="1"/>
      <c r="F1229" s="1"/>
      <c r="G1229" s="1"/>
      <c r="H1229" s="1"/>
    </row>
    <row r="1230" spans="2:8">
      <c r="B1230" s="2"/>
      <c r="C1230" s="1"/>
      <c r="D1230" s="1"/>
      <c r="E1230" s="1"/>
      <c r="F1230" s="1"/>
      <c r="G1230" s="1"/>
      <c r="H1230" s="1"/>
    </row>
    <row r="1231" spans="2:8">
      <c r="B1231" s="2"/>
      <c r="C1231" s="1"/>
      <c r="D1231" s="1"/>
      <c r="E1231" s="1"/>
      <c r="F1231" s="1"/>
      <c r="G1231" s="1"/>
      <c r="H1231" s="1"/>
    </row>
    <row r="1232" spans="2:8">
      <c r="B1232" s="2"/>
      <c r="C1232" s="1"/>
      <c r="D1232" s="1"/>
      <c r="E1232" s="1"/>
      <c r="F1232" s="1"/>
      <c r="G1232" s="1"/>
      <c r="H1232" s="1"/>
    </row>
    <row r="1233" spans="2:8">
      <c r="B1233" s="2"/>
      <c r="C1233" s="1"/>
      <c r="D1233" s="1"/>
      <c r="E1233" s="1"/>
      <c r="F1233" s="1"/>
      <c r="G1233" s="1"/>
      <c r="H1233" s="1"/>
    </row>
    <row r="1234" spans="2:8">
      <c r="B1234" s="2"/>
      <c r="C1234" s="1"/>
      <c r="D1234" s="1"/>
      <c r="E1234" s="1"/>
      <c r="F1234" s="1"/>
      <c r="G1234" s="1"/>
      <c r="H1234" s="1"/>
    </row>
    <row r="1235" spans="2:8">
      <c r="B1235" s="2"/>
      <c r="C1235" s="1"/>
      <c r="D1235" s="1"/>
      <c r="E1235" s="1"/>
      <c r="F1235" s="1"/>
      <c r="G1235" s="1"/>
      <c r="H1235" s="1"/>
    </row>
    <row r="1236" spans="2:8">
      <c r="B1236" s="2"/>
      <c r="C1236" s="1"/>
      <c r="D1236" s="1"/>
      <c r="E1236" s="1"/>
      <c r="F1236" s="1"/>
      <c r="G1236" s="1"/>
      <c r="H1236" s="1"/>
    </row>
    <row r="1237" spans="2:8">
      <c r="B1237" s="2"/>
      <c r="C1237" s="1"/>
      <c r="D1237" s="1"/>
      <c r="E1237" s="1"/>
      <c r="F1237" s="1"/>
      <c r="G1237" s="1"/>
      <c r="H1237" s="1"/>
    </row>
    <row r="1238" spans="2:8">
      <c r="B1238" s="2"/>
      <c r="C1238" s="1"/>
      <c r="D1238" s="1"/>
      <c r="E1238" s="1"/>
      <c r="F1238" s="1"/>
      <c r="G1238" s="1"/>
      <c r="H1238" s="1"/>
    </row>
    <row r="1239" spans="2:8">
      <c r="B1239" s="2"/>
      <c r="C1239" s="1"/>
      <c r="D1239" s="1"/>
      <c r="E1239" s="1"/>
      <c r="F1239" s="1"/>
      <c r="G1239" s="1"/>
      <c r="H1239" s="1"/>
    </row>
    <row r="1240" spans="2:8">
      <c r="B1240" s="2"/>
      <c r="C1240" s="1"/>
      <c r="D1240" s="1"/>
      <c r="E1240" s="1"/>
      <c r="F1240" s="1"/>
      <c r="G1240" s="1"/>
      <c r="H1240" s="1"/>
    </row>
    <row r="1241" spans="2:8">
      <c r="B1241" s="2"/>
      <c r="C1241" s="1"/>
      <c r="D1241" s="1"/>
      <c r="E1241" s="1"/>
      <c r="F1241" s="1"/>
      <c r="G1241" s="1"/>
      <c r="H1241" s="1"/>
    </row>
    <row r="1242" spans="2:8">
      <c r="B1242" s="2"/>
      <c r="C1242" s="1"/>
      <c r="D1242" s="1"/>
      <c r="E1242" s="1"/>
      <c r="F1242" s="1"/>
      <c r="G1242" s="1"/>
      <c r="H1242" s="1"/>
    </row>
    <row r="1243" spans="2:8">
      <c r="B1243" s="2"/>
      <c r="C1243" s="1"/>
      <c r="D1243" s="1"/>
      <c r="E1243" s="1"/>
      <c r="F1243" s="1"/>
      <c r="G1243" s="1"/>
      <c r="H1243" s="1"/>
    </row>
    <row r="1244" spans="2:8">
      <c r="B1244" s="2"/>
      <c r="C1244" s="1"/>
      <c r="D1244" s="1"/>
      <c r="E1244" s="1"/>
      <c r="F1244" s="1"/>
      <c r="G1244" s="1"/>
      <c r="H1244" s="1"/>
    </row>
    <row r="1245" spans="2:8">
      <c r="B1245" s="2"/>
      <c r="C1245" s="1"/>
      <c r="D1245" s="1"/>
      <c r="E1245" s="1"/>
      <c r="F1245" s="1"/>
      <c r="G1245" s="1"/>
      <c r="H1245" s="1"/>
    </row>
    <row r="1246" spans="2:8">
      <c r="B1246" s="2"/>
      <c r="C1246" s="1"/>
      <c r="D1246" s="1"/>
      <c r="E1246" s="1"/>
      <c r="F1246" s="1"/>
      <c r="G1246" s="1"/>
      <c r="H1246" s="1"/>
    </row>
    <row r="1247" spans="2:8">
      <c r="B1247" s="2"/>
      <c r="C1247" s="1"/>
      <c r="D1247" s="1"/>
      <c r="E1247" s="1"/>
      <c r="F1247" s="1"/>
      <c r="G1247" s="1"/>
      <c r="H1247" s="1"/>
    </row>
    <row r="1248" spans="2:8">
      <c r="B1248" s="2"/>
      <c r="C1248" s="1"/>
      <c r="D1248" s="1"/>
      <c r="E1248" s="1"/>
      <c r="F1248" s="1"/>
      <c r="G1248" s="1"/>
      <c r="H1248" s="1"/>
    </row>
    <row r="1249" spans="2:8">
      <c r="B1249" s="2"/>
      <c r="C1249" s="1"/>
      <c r="D1249" s="1"/>
      <c r="E1249" s="1"/>
      <c r="F1249" s="1"/>
      <c r="G1249" s="1"/>
      <c r="H1249" s="1"/>
    </row>
    <row r="1250" spans="2:8">
      <c r="B1250" s="2"/>
      <c r="C1250" s="1"/>
      <c r="D1250" s="1"/>
      <c r="E1250" s="1"/>
      <c r="F1250" s="1"/>
      <c r="G1250" s="1"/>
      <c r="H1250" s="1"/>
    </row>
    <row r="1251" spans="2:8">
      <c r="B1251" s="2"/>
      <c r="C1251" s="1"/>
      <c r="D1251" s="1"/>
      <c r="E1251" s="1"/>
      <c r="F1251" s="1"/>
      <c r="G1251" s="1"/>
      <c r="H1251" s="1"/>
    </row>
    <row r="1252" spans="2:8">
      <c r="B1252" s="2"/>
      <c r="C1252" s="1"/>
      <c r="D1252" s="1"/>
      <c r="E1252" s="1"/>
      <c r="F1252" s="1"/>
      <c r="G1252" s="1"/>
      <c r="H1252" s="1"/>
    </row>
    <row r="1253" spans="2:8">
      <c r="B1253" s="2"/>
      <c r="C1253" s="1"/>
      <c r="D1253" s="1"/>
      <c r="E1253" s="1"/>
      <c r="F1253" s="1"/>
      <c r="G1253" s="1"/>
      <c r="H1253" s="1"/>
    </row>
    <row r="1254" spans="2:8">
      <c r="B1254" s="2"/>
      <c r="C1254" s="1"/>
      <c r="D1254" s="1"/>
      <c r="E1254" s="1"/>
      <c r="F1254" s="1"/>
      <c r="G1254" s="1"/>
      <c r="H1254" s="1"/>
    </row>
    <row r="1255" spans="2:8">
      <c r="B1255" s="2"/>
      <c r="C1255" s="1"/>
      <c r="D1255" s="1"/>
      <c r="E1255" s="1"/>
      <c r="F1255" s="1"/>
      <c r="G1255" s="1"/>
      <c r="H1255" s="1"/>
    </row>
    <row r="1256" spans="2:8">
      <c r="B1256" s="2"/>
      <c r="C1256" s="1"/>
      <c r="D1256" s="1"/>
      <c r="E1256" s="1"/>
      <c r="F1256" s="1"/>
      <c r="G1256" s="1"/>
      <c r="H1256" s="1"/>
    </row>
    <row r="1257" spans="2:8">
      <c r="B1257" s="2"/>
      <c r="C1257" s="1"/>
      <c r="D1257" s="1"/>
      <c r="E1257" s="1"/>
      <c r="F1257" s="1"/>
      <c r="G1257" s="1"/>
      <c r="H1257" s="1"/>
    </row>
    <row r="1258" spans="2:8">
      <c r="B1258" s="2"/>
      <c r="C1258" s="1"/>
      <c r="D1258" s="1"/>
      <c r="E1258" s="1"/>
      <c r="F1258" s="1"/>
      <c r="G1258" s="1"/>
      <c r="H1258" s="1"/>
    </row>
    <row r="1259" spans="2:8">
      <c r="B1259" s="2"/>
      <c r="C1259" s="1"/>
      <c r="D1259" s="1"/>
      <c r="E1259" s="1"/>
      <c r="F1259" s="1"/>
      <c r="G1259" s="1"/>
      <c r="H1259" s="1"/>
    </row>
    <row r="1260" spans="2:8">
      <c r="B1260" s="2"/>
      <c r="C1260" s="1"/>
      <c r="D1260" s="1"/>
      <c r="E1260" s="1"/>
      <c r="F1260" s="1"/>
      <c r="G1260" s="1"/>
      <c r="H1260" s="1"/>
    </row>
    <row r="1261" spans="2:8">
      <c r="B1261" s="2"/>
      <c r="C1261" s="1"/>
      <c r="D1261" s="1"/>
      <c r="E1261" s="1"/>
      <c r="F1261" s="1"/>
      <c r="G1261" s="1"/>
      <c r="H1261" s="1"/>
    </row>
    <row r="1262" spans="2:8">
      <c r="B1262" s="2"/>
      <c r="C1262" s="1"/>
      <c r="D1262" s="1"/>
      <c r="E1262" s="1"/>
      <c r="F1262" s="1"/>
      <c r="G1262" s="1"/>
      <c r="H1262" s="1"/>
    </row>
    <row r="1263" spans="2:8">
      <c r="B1263" s="2"/>
      <c r="C1263" s="1"/>
      <c r="D1263" s="1"/>
      <c r="E1263" s="1"/>
      <c r="F1263" s="1"/>
      <c r="G1263" s="1"/>
      <c r="H1263" s="1"/>
    </row>
    <row r="1264" spans="2:8">
      <c r="B1264" s="2"/>
      <c r="C1264" s="1"/>
      <c r="D1264" s="1"/>
      <c r="E1264" s="1"/>
      <c r="F1264" s="1"/>
      <c r="G1264" s="1"/>
      <c r="H1264" s="1"/>
    </row>
    <row r="1265" spans="2:8">
      <c r="B1265" s="2"/>
      <c r="C1265" s="1"/>
      <c r="D1265" s="1"/>
      <c r="E1265" s="1"/>
      <c r="F1265" s="1"/>
      <c r="G1265" s="1"/>
      <c r="H1265" s="1"/>
    </row>
    <row r="1266" spans="2:8">
      <c r="B1266" s="2"/>
      <c r="C1266" s="1"/>
      <c r="D1266" s="1"/>
      <c r="E1266" s="1"/>
      <c r="F1266" s="1"/>
      <c r="G1266" s="1"/>
      <c r="H1266" s="1"/>
    </row>
    <row r="1267" spans="2:8">
      <c r="B1267" s="2"/>
      <c r="C1267" s="1"/>
      <c r="D1267" s="1"/>
      <c r="E1267" s="1"/>
      <c r="F1267" s="1"/>
      <c r="G1267" s="1"/>
      <c r="H1267" s="1"/>
    </row>
    <row r="1268" spans="2:8">
      <c r="B1268" s="2"/>
      <c r="C1268" s="1"/>
      <c r="D1268" s="1"/>
      <c r="E1268" s="1"/>
      <c r="F1268" s="1"/>
      <c r="G1268" s="1"/>
      <c r="H1268" s="1"/>
    </row>
    <row r="1269" spans="2:8">
      <c r="B1269" s="2"/>
      <c r="C1269" s="1"/>
      <c r="D1269" s="1"/>
      <c r="E1269" s="1"/>
      <c r="F1269" s="1"/>
      <c r="G1269" s="1"/>
      <c r="H1269" s="1"/>
    </row>
    <row r="1270" spans="2:8">
      <c r="B1270" s="2"/>
      <c r="C1270" s="1"/>
      <c r="D1270" s="1"/>
      <c r="E1270" s="1"/>
      <c r="F1270" s="1"/>
      <c r="G1270" s="1"/>
      <c r="H1270" s="1"/>
    </row>
    <row r="1271" spans="2:8">
      <c r="B1271" s="2"/>
      <c r="C1271" s="1"/>
      <c r="D1271" s="1"/>
      <c r="E1271" s="1"/>
      <c r="F1271" s="1"/>
      <c r="G1271" s="1"/>
      <c r="H1271" s="1"/>
    </row>
    <row r="1272" spans="2:8">
      <c r="B1272" s="2"/>
      <c r="C1272" s="1"/>
      <c r="D1272" s="1"/>
      <c r="E1272" s="1"/>
      <c r="F1272" s="1"/>
      <c r="G1272" s="1"/>
      <c r="H1272" s="1"/>
    </row>
    <row r="1273" spans="2:8">
      <c r="B1273" s="2"/>
      <c r="C1273" s="1"/>
      <c r="D1273" s="1"/>
      <c r="E1273" s="1"/>
      <c r="F1273" s="1"/>
      <c r="G1273" s="1"/>
      <c r="H1273" s="1"/>
    </row>
    <row r="1274" spans="2:8">
      <c r="B1274" s="2"/>
      <c r="C1274" s="1"/>
      <c r="D1274" s="1"/>
      <c r="E1274" s="1"/>
      <c r="F1274" s="1"/>
      <c r="G1274" s="1"/>
      <c r="H1274" s="1"/>
    </row>
    <row r="1275" spans="2:8">
      <c r="B1275" s="2"/>
      <c r="C1275" s="1"/>
      <c r="D1275" s="1"/>
      <c r="E1275" s="1"/>
      <c r="F1275" s="1"/>
      <c r="G1275" s="1"/>
      <c r="H1275" s="1"/>
    </row>
    <row r="1276" spans="2:8">
      <c r="B1276" s="2"/>
      <c r="C1276" s="1"/>
      <c r="D1276" s="1"/>
      <c r="E1276" s="1"/>
      <c r="F1276" s="1"/>
      <c r="G1276" s="1"/>
      <c r="H1276" s="1"/>
    </row>
    <row r="1277" spans="2:8">
      <c r="B1277" s="2"/>
      <c r="C1277" s="1"/>
      <c r="D1277" s="1"/>
      <c r="E1277" s="1"/>
      <c r="F1277" s="1"/>
      <c r="G1277" s="1"/>
      <c r="H1277" s="1"/>
    </row>
    <row r="1278" spans="2:8">
      <c r="B1278" s="2"/>
      <c r="C1278" s="1"/>
      <c r="D1278" s="1"/>
      <c r="E1278" s="1"/>
      <c r="F1278" s="1"/>
      <c r="G1278" s="1"/>
      <c r="H1278" s="1"/>
    </row>
    <row r="1279" spans="2:8">
      <c r="B1279" s="2"/>
      <c r="C1279" s="1"/>
      <c r="D1279" s="1"/>
      <c r="E1279" s="1"/>
      <c r="F1279" s="1"/>
      <c r="G1279" s="1"/>
      <c r="H1279" s="1"/>
    </row>
    <row r="1280" spans="2:8">
      <c r="B1280" s="2"/>
      <c r="C1280" s="1"/>
      <c r="D1280" s="1"/>
      <c r="E1280" s="1"/>
      <c r="F1280" s="1"/>
      <c r="G1280" s="1"/>
      <c r="H1280" s="1"/>
    </row>
    <row r="1281" spans="2:8">
      <c r="B1281" s="2"/>
      <c r="C1281" s="1"/>
      <c r="D1281" s="1"/>
      <c r="E1281" s="1"/>
      <c r="F1281" s="1"/>
      <c r="G1281" s="1"/>
      <c r="H1281" s="1"/>
    </row>
    <row r="1282" spans="2:8">
      <c r="B1282" s="2"/>
      <c r="C1282" s="1"/>
      <c r="D1282" s="1"/>
      <c r="E1282" s="1"/>
      <c r="F1282" s="1"/>
      <c r="G1282" s="1"/>
      <c r="H1282" s="1"/>
    </row>
    <row r="1283" spans="2:8">
      <c r="B1283" s="2"/>
      <c r="C1283" s="1"/>
      <c r="D1283" s="1"/>
      <c r="E1283" s="1"/>
      <c r="F1283" s="1"/>
      <c r="G1283" s="1"/>
      <c r="H1283" s="1"/>
    </row>
    <row r="1284" spans="2:8">
      <c r="B1284" s="2"/>
      <c r="C1284" s="1"/>
      <c r="D1284" s="1"/>
      <c r="E1284" s="1"/>
      <c r="F1284" s="1"/>
      <c r="G1284" s="1"/>
      <c r="H1284" s="1"/>
    </row>
    <row r="1285" spans="2:8">
      <c r="B1285" s="2"/>
      <c r="C1285" s="1"/>
      <c r="D1285" s="1"/>
      <c r="E1285" s="1"/>
      <c r="F1285" s="1"/>
      <c r="G1285" s="1"/>
      <c r="H1285" s="1"/>
    </row>
    <row r="1286" spans="2:8">
      <c r="B1286" s="2"/>
      <c r="C1286" s="1"/>
      <c r="D1286" s="1"/>
      <c r="E1286" s="1"/>
      <c r="F1286" s="1"/>
      <c r="G1286" s="1"/>
      <c r="H1286" s="1"/>
    </row>
    <row r="1287" spans="2:8">
      <c r="B1287" s="2"/>
      <c r="C1287" s="1"/>
      <c r="D1287" s="1"/>
      <c r="E1287" s="1"/>
      <c r="F1287" s="1"/>
      <c r="G1287" s="1"/>
      <c r="H1287" s="1"/>
    </row>
    <row r="1288" spans="2:8">
      <c r="B1288" s="2"/>
      <c r="C1288" s="1"/>
      <c r="D1288" s="1"/>
      <c r="E1288" s="1"/>
      <c r="F1288" s="1"/>
      <c r="G1288" s="1"/>
      <c r="H1288" s="1"/>
    </row>
    <row r="1289" spans="2:8">
      <c r="B1289" s="2"/>
      <c r="C1289" s="1"/>
      <c r="D1289" s="1"/>
      <c r="E1289" s="1"/>
      <c r="F1289" s="1"/>
      <c r="G1289" s="1"/>
      <c r="H1289" s="1"/>
    </row>
    <row r="1290" spans="2:8">
      <c r="B1290" s="2"/>
      <c r="C1290" s="1"/>
      <c r="D1290" s="1"/>
      <c r="E1290" s="1"/>
      <c r="F1290" s="1"/>
      <c r="G1290" s="1"/>
      <c r="H1290" s="1"/>
    </row>
    <row r="1291" spans="2:8">
      <c r="B1291" s="2"/>
      <c r="C1291" s="1"/>
      <c r="D1291" s="1"/>
      <c r="E1291" s="1"/>
      <c r="F1291" s="1"/>
      <c r="G1291" s="1"/>
      <c r="H1291" s="1"/>
    </row>
    <row r="1292" spans="2:8">
      <c r="B1292" s="2"/>
      <c r="C1292" s="1"/>
      <c r="D1292" s="1"/>
      <c r="E1292" s="1"/>
      <c r="F1292" s="1"/>
      <c r="G1292" s="1"/>
      <c r="H1292" s="1"/>
    </row>
    <row r="1293" spans="2:8">
      <c r="B1293" s="2"/>
      <c r="C1293" s="1"/>
      <c r="D1293" s="1"/>
      <c r="E1293" s="1"/>
      <c r="F1293" s="1"/>
      <c r="G1293" s="1"/>
      <c r="H1293" s="1"/>
    </row>
    <row r="1294" spans="2:8">
      <c r="B1294" s="2"/>
      <c r="C1294" s="1"/>
      <c r="D1294" s="1"/>
      <c r="E1294" s="1"/>
      <c r="F1294" s="1"/>
      <c r="G1294" s="1"/>
      <c r="H1294" s="1"/>
    </row>
    <row r="1295" spans="2:8">
      <c r="B1295" s="2"/>
      <c r="C1295" s="1"/>
      <c r="D1295" s="1"/>
      <c r="E1295" s="1"/>
      <c r="F1295" s="1"/>
      <c r="G1295" s="1"/>
      <c r="H1295" s="1"/>
    </row>
    <row r="1296" spans="2:8">
      <c r="B1296" s="2"/>
      <c r="C1296" s="1"/>
      <c r="D1296" s="1"/>
      <c r="E1296" s="1"/>
      <c r="F1296" s="1"/>
      <c r="G1296" s="1"/>
      <c r="H1296" s="1"/>
    </row>
    <row r="1297" spans="2:8">
      <c r="B1297" s="2"/>
      <c r="C1297" s="1"/>
      <c r="D1297" s="1"/>
      <c r="E1297" s="1"/>
      <c r="F1297" s="1"/>
      <c r="G1297" s="1"/>
      <c r="H1297" s="1"/>
    </row>
    <row r="1298" spans="2:8">
      <c r="B1298" s="2"/>
      <c r="C1298" s="1"/>
      <c r="D1298" s="1"/>
      <c r="E1298" s="1"/>
      <c r="F1298" s="1"/>
      <c r="G1298" s="1"/>
      <c r="H1298" s="1"/>
    </row>
    <row r="1299" spans="2:8">
      <c r="B1299" s="2"/>
      <c r="C1299" s="1"/>
      <c r="D1299" s="1"/>
      <c r="E1299" s="1"/>
      <c r="F1299" s="1"/>
      <c r="G1299" s="1"/>
      <c r="H1299" s="1"/>
    </row>
    <row r="1300" spans="2:8">
      <c r="B1300" s="2"/>
      <c r="C1300" s="1"/>
      <c r="D1300" s="1"/>
      <c r="E1300" s="1"/>
      <c r="F1300" s="1"/>
      <c r="G1300" s="1"/>
      <c r="H1300" s="1"/>
    </row>
    <row r="1301" spans="2:8">
      <c r="B1301" s="2"/>
      <c r="C1301" s="1"/>
      <c r="D1301" s="1"/>
      <c r="E1301" s="1"/>
      <c r="F1301" s="1"/>
      <c r="G1301" s="1"/>
      <c r="H1301" s="1"/>
    </row>
    <row r="1302" spans="2:8">
      <c r="B1302" s="2"/>
      <c r="C1302" s="1"/>
      <c r="D1302" s="1"/>
      <c r="E1302" s="1"/>
      <c r="F1302" s="1"/>
      <c r="G1302" s="1"/>
      <c r="H1302" s="1"/>
    </row>
    <row r="1303" spans="2:8">
      <c r="B1303" s="2"/>
      <c r="C1303" s="1"/>
      <c r="D1303" s="1"/>
      <c r="E1303" s="1"/>
      <c r="F1303" s="1"/>
      <c r="G1303" s="1"/>
      <c r="H1303" s="1"/>
    </row>
    <row r="1304" spans="2:8">
      <c r="B1304" s="2"/>
      <c r="C1304" s="1"/>
      <c r="D1304" s="1"/>
      <c r="E1304" s="1"/>
      <c r="F1304" s="1"/>
      <c r="G1304" s="1"/>
      <c r="H1304" s="1"/>
    </row>
    <row r="1305" spans="2:8">
      <c r="B1305" s="2"/>
      <c r="C1305" s="1"/>
      <c r="D1305" s="1"/>
      <c r="E1305" s="1"/>
      <c r="F1305" s="1"/>
      <c r="G1305" s="1"/>
      <c r="H1305" s="1"/>
    </row>
    <row r="1306" spans="2:8">
      <c r="B1306" s="2"/>
      <c r="C1306" s="1"/>
      <c r="D1306" s="1"/>
      <c r="E1306" s="1"/>
      <c r="F1306" s="1"/>
      <c r="G1306" s="1"/>
      <c r="H1306" s="1"/>
    </row>
    <row r="1307" spans="2:8">
      <c r="B1307" s="2"/>
      <c r="C1307" s="1"/>
      <c r="D1307" s="1"/>
      <c r="E1307" s="1"/>
      <c r="F1307" s="1"/>
      <c r="G1307" s="1"/>
      <c r="H1307" s="1"/>
    </row>
    <row r="1308" spans="2:8">
      <c r="B1308" s="2"/>
      <c r="C1308" s="1"/>
      <c r="D1308" s="1"/>
      <c r="E1308" s="1"/>
      <c r="F1308" s="1"/>
      <c r="G1308" s="1"/>
      <c r="H1308" s="1"/>
    </row>
    <row r="1309" spans="2:8">
      <c r="B1309" s="2"/>
      <c r="C1309" s="1"/>
      <c r="D1309" s="1"/>
      <c r="E1309" s="1"/>
      <c r="F1309" s="1"/>
      <c r="G1309" s="1"/>
      <c r="H1309" s="1"/>
    </row>
    <row r="1310" spans="2:8">
      <c r="B1310" s="2"/>
      <c r="C1310" s="1"/>
      <c r="D1310" s="1"/>
      <c r="E1310" s="1"/>
      <c r="F1310" s="1"/>
      <c r="G1310" s="1"/>
      <c r="H1310" s="1"/>
    </row>
    <row r="1311" spans="2:8">
      <c r="B1311" s="2"/>
      <c r="C1311" s="1"/>
      <c r="D1311" s="1"/>
      <c r="E1311" s="1"/>
      <c r="F1311" s="1"/>
      <c r="G1311" s="1"/>
      <c r="H1311" s="1"/>
    </row>
    <row r="1312" spans="2:8">
      <c r="B1312" s="2"/>
      <c r="C1312" s="1"/>
      <c r="D1312" s="1"/>
      <c r="E1312" s="1"/>
      <c r="F1312" s="1"/>
      <c r="G1312" s="1"/>
      <c r="H1312" s="1"/>
    </row>
    <row r="1313" spans="2:8">
      <c r="B1313" s="2"/>
      <c r="C1313" s="1"/>
      <c r="D1313" s="1"/>
      <c r="E1313" s="1"/>
      <c r="F1313" s="1"/>
      <c r="G1313" s="1"/>
      <c r="H1313" s="1"/>
    </row>
    <row r="1314" spans="2:8">
      <c r="B1314" s="2"/>
      <c r="C1314" s="1"/>
      <c r="D1314" s="1"/>
      <c r="E1314" s="1"/>
      <c r="F1314" s="1"/>
      <c r="G1314" s="1"/>
      <c r="H1314" s="1"/>
    </row>
    <row r="1315" spans="2:8">
      <c r="B1315" s="2"/>
      <c r="C1315" s="1"/>
      <c r="D1315" s="1"/>
      <c r="E1315" s="1"/>
      <c r="F1315" s="1"/>
      <c r="G1315" s="1"/>
      <c r="H1315" s="1"/>
    </row>
    <row r="1316" spans="2:8">
      <c r="B1316" s="2"/>
      <c r="C1316" s="1"/>
      <c r="D1316" s="1"/>
      <c r="E1316" s="1"/>
      <c r="F1316" s="1"/>
      <c r="G1316" s="1"/>
      <c r="H1316" s="1"/>
    </row>
    <row r="1317" spans="2:8">
      <c r="B1317" s="2"/>
      <c r="C1317" s="1"/>
      <c r="D1317" s="1"/>
      <c r="E1317" s="1"/>
      <c r="F1317" s="1"/>
      <c r="G1317" s="1"/>
      <c r="H1317" s="1"/>
    </row>
    <row r="1318" spans="2:8">
      <c r="B1318" s="2"/>
      <c r="C1318" s="1"/>
      <c r="D1318" s="1"/>
      <c r="E1318" s="1"/>
      <c r="F1318" s="1"/>
      <c r="G1318" s="1"/>
      <c r="H1318" s="1"/>
    </row>
    <row r="1319" spans="2:8">
      <c r="B1319" s="2"/>
      <c r="C1319" s="1"/>
      <c r="D1319" s="1"/>
      <c r="E1319" s="1"/>
      <c r="F1319" s="1"/>
      <c r="G1319" s="1"/>
      <c r="H1319" s="1"/>
    </row>
    <row r="1320" spans="2:8">
      <c r="B1320" s="2"/>
      <c r="C1320" s="1"/>
      <c r="D1320" s="1"/>
      <c r="E1320" s="1"/>
      <c r="F1320" s="1"/>
      <c r="G1320" s="1"/>
      <c r="H1320" s="1"/>
    </row>
    <row r="1321" spans="2:8">
      <c r="B1321" s="2"/>
      <c r="C1321" s="1"/>
      <c r="D1321" s="1"/>
      <c r="E1321" s="1"/>
      <c r="F1321" s="1"/>
      <c r="G1321" s="1"/>
      <c r="H1321" s="1"/>
    </row>
    <row r="1322" spans="2:8">
      <c r="B1322" s="2"/>
      <c r="C1322" s="1"/>
      <c r="D1322" s="1"/>
      <c r="E1322" s="1"/>
      <c r="F1322" s="1"/>
      <c r="G1322" s="1"/>
      <c r="H1322" s="1"/>
    </row>
    <row r="1323" spans="2:8">
      <c r="B1323" s="2"/>
      <c r="C1323" s="1"/>
      <c r="D1323" s="1"/>
      <c r="E1323" s="1"/>
      <c r="F1323" s="1"/>
      <c r="G1323" s="1"/>
      <c r="H1323" s="1"/>
    </row>
    <row r="1324" spans="2:8">
      <c r="B1324" s="2"/>
      <c r="C1324" s="1"/>
      <c r="D1324" s="1"/>
      <c r="E1324" s="1"/>
      <c r="F1324" s="1"/>
      <c r="G1324" s="1"/>
      <c r="H1324" s="1"/>
    </row>
    <row r="1325" spans="2:8">
      <c r="B1325" s="2"/>
      <c r="C1325" s="1"/>
      <c r="D1325" s="1"/>
      <c r="E1325" s="1"/>
      <c r="F1325" s="1"/>
      <c r="G1325" s="1"/>
      <c r="H1325" s="1"/>
    </row>
    <row r="1326" spans="2:8">
      <c r="B1326" s="2"/>
      <c r="C1326" s="1"/>
      <c r="D1326" s="1"/>
      <c r="E1326" s="1"/>
      <c r="F1326" s="1"/>
      <c r="G1326" s="1"/>
      <c r="H1326" s="1"/>
    </row>
    <row r="1327" spans="2:8">
      <c r="B1327" s="2"/>
      <c r="C1327" s="1"/>
      <c r="D1327" s="1"/>
      <c r="E1327" s="1"/>
      <c r="F1327" s="1"/>
      <c r="G1327" s="1"/>
      <c r="H1327" s="1"/>
    </row>
    <row r="1328" spans="2:8">
      <c r="B1328" s="2"/>
      <c r="C1328" s="1"/>
      <c r="D1328" s="1"/>
      <c r="E1328" s="1"/>
      <c r="F1328" s="1"/>
      <c r="G1328" s="1"/>
      <c r="H1328" s="1"/>
    </row>
    <row r="1329" spans="2:8">
      <c r="B1329" s="2"/>
      <c r="C1329" s="1"/>
      <c r="D1329" s="1"/>
      <c r="E1329" s="1"/>
      <c r="F1329" s="1"/>
      <c r="G1329" s="1"/>
      <c r="H1329" s="1"/>
    </row>
    <row r="1330" spans="2:8">
      <c r="B1330" s="2"/>
      <c r="C1330" s="1"/>
      <c r="D1330" s="1"/>
      <c r="E1330" s="1"/>
      <c r="F1330" s="1"/>
      <c r="G1330" s="1"/>
      <c r="H1330" s="1"/>
    </row>
    <row r="1331" spans="2:8">
      <c r="B1331" s="2"/>
      <c r="C1331" s="1"/>
      <c r="D1331" s="1"/>
      <c r="E1331" s="1"/>
      <c r="F1331" s="1"/>
      <c r="G1331" s="1"/>
      <c r="H1331" s="1"/>
    </row>
    <row r="1332" spans="2:8">
      <c r="B1332" s="2"/>
      <c r="C1332" s="1"/>
      <c r="D1332" s="1"/>
      <c r="E1332" s="1"/>
      <c r="F1332" s="1"/>
      <c r="G1332" s="1"/>
      <c r="H1332" s="1"/>
    </row>
    <row r="1333" spans="2:8">
      <c r="B1333" s="2"/>
      <c r="C1333" s="1"/>
      <c r="D1333" s="1"/>
      <c r="E1333" s="1"/>
      <c r="F1333" s="1"/>
      <c r="G1333" s="1"/>
      <c r="H1333" s="1"/>
    </row>
    <row r="1334" spans="2:8">
      <c r="B1334" s="2"/>
      <c r="C1334" s="1"/>
      <c r="D1334" s="1"/>
      <c r="E1334" s="1"/>
      <c r="F1334" s="1"/>
      <c r="G1334" s="1"/>
      <c r="H1334" s="1"/>
    </row>
    <row r="1335" spans="2:8">
      <c r="B1335" s="2"/>
      <c r="C1335" s="1"/>
      <c r="D1335" s="1"/>
      <c r="E1335" s="1"/>
      <c r="F1335" s="1"/>
      <c r="G1335" s="1"/>
      <c r="H1335" s="1"/>
    </row>
    <row r="1336" spans="2:8">
      <c r="B1336" s="2"/>
      <c r="C1336" s="1"/>
      <c r="D1336" s="1"/>
      <c r="E1336" s="1"/>
      <c r="F1336" s="1"/>
      <c r="G1336" s="1"/>
      <c r="H1336" s="1"/>
    </row>
    <row r="1337" spans="2:8">
      <c r="B1337" s="2"/>
      <c r="C1337" s="1"/>
      <c r="D1337" s="1"/>
      <c r="E1337" s="1"/>
      <c r="F1337" s="1"/>
      <c r="G1337" s="1"/>
      <c r="H1337" s="1"/>
    </row>
    <row r="1338" spans="2:8">
      <c r="B1338" s="2"/>
      <c r="C1338" s="1"/>
      <c r="D1338" s="1"/>
      <c r="E1338" s="1"/>
      <c r="F1338" s="1"/>
      <c r="G1338" s="1"/>
      <c r="H1338" s="1"/>
    </row>
    <row r="1339" spans="2:8">
      <c r="B1339" s="2"/>
      <c r="C1339" s="1"/>
      <c r="D1339" s="1"/>
      <c r="E1339" s="1"/>
      <c r="F1339" s="1"/>
      <c r="G1339" s="1"/>
      <c r="H1339" s="1"/>
    </row>
    <row r="1340" spans="2:8">
      <c r="B1340" s="2"/>
      <c r="C1340" s="1"/>
      <c r="D1340" s="1"/>
      <c r="E1340" s="1"/>
      <c r="F1340" s="1"/>
      <c r="G1340" s="1"/>
      <c r="H1340" s="1"/>
    </row>
    <row r="1341" spans="2:8">
      <c r="B1341" s="2"/>
      <c r="C1341" s="1"/>
      <c r="D1341" s="1"/>
      <c r="E1341" s="1"/>
      <c r="F1341" s="1"/>
      <c r="G1341" s="1"/>
      <c r="H1341" s="1"/>
    </row>
    <row r="1342" spans="2:8">
      <c r="B1342" s="2"/>
      <c r="C1342" s="1"/>
      <c r="D1342" s="1"/>
      <c r="E1342" s="1"/>
      <c r="F1342" s="1"/>
      <c r="G1342" s="1"/>
      <c r="H1342" s="1"/>
    </row>
    <row r="1343" spans="2:8">
      <c r="B1343" s="2"/>
      <c r="C1343" s="1"/>
      <c r="D1343" s="1"/>
      <c r="E1343" s="1"/>
      <c r="F1343" s="1"/>
      <c r="G1343" s="1"/>
      <c r="H1343" s="1"/>
    </row>
    <row r="1344" spans="2:8">
      <c r="B1344" s="2"/>
      <c r="C1344" s="1"/>
      <c r="D1344" s="1"/>
      <c r="E1344" s="1"/>
      <c r="F1344" s="1"/>
      <c r="G1344" s="1"/>
      <c r="H1344" s="1"/>
    </row>
    <row r="1345" spans="2:8">
      <c r="B1345" s="2"/>
      <c r="C1345" s="1"/>
      <c r="D1345" s="1"/>
      <c r="E1345" s="1"/>
      <c r="F1345" s="1"/>
      <c r="G1345" s="1"/>
      <c r="H1345" s="1"/>
    </row>
    <row r="1346" spans="2:8">
      <c r="B1346" s="2"/>
      <c r="C1346" s="1"/>
      <c r="D1346" s="1"/>
      <c r="E1346" s="1"/>
      <c r="F1346" s="1"/>
      <c r="G1346" s="1"/>
      <c r="H1346" s="1"/>
    </row>
    <row r="1347" spans="2:8">
      <c r="B1347" s="2"/>
      <c r="C1347" s="1"/>
      <c r="D1347" s="1"/>
      <c r="E1347" s="1"/>
      <c r="F1347" s="1"/>
      <c r="G1347" s="1"/>
      <c r="H1347" s="1"/>
    </row>
    <row r="1348" spans="2:8">
      <c r="B1348" s="2"/>
      <c r="C1348" s="1"/>
      <c r="D1348" s="1"/>
      <c r="E1348" s="1"/>
      <c r="F1348" s="1"/>
      <c r="G1348" s="1"/>
      <c r="H1348" s="1"/>
    </row>
    <row r="1349" spans="2:8">
      <c r="B1349" s="2"/>
      <c r="C1349" s="1"/>
      <c r="D1349" s="1"/>
      <c r="E1349" s="1"/>
      <c r="F1349" s="1"/>
      <c r="G1349" s="1"/>
      <c r="H1349" s="1"/>
    </row>
    <row r="1350" spans="2:8">
      <c r="B1350" s="2"/>
      <c r="C1350" s="1"/>
      <c r="D1350" s="1"/>
      <c r="E1350" s="1"/>
      <c r="F1350" s="1"/>
      <c r="G1350" s="1"/>
      <c r="H1350" s="1"/>
    </row>
    <row r="1351" spans="2:8">
      <c r="B1351" s="2"/>
      <c r="C1351" s="1"/>
      <c r="D1351" s="1"/>
      <c r="E1351" s="1"/>
      <c r="F1351" s="1"/>
      <c r="G1351" s="1"/>
      <c r="H1351" s="1"/>
    </row>
    <row r="1352" spans="2:8">
      <c r="B1352" s="2"/>
      <c r="C1352" s="1"/>
      <c r="D1352" s="1"/>
      <c r="E1352" s="1"/>
      <c r="F1352" s="1"/>
      <c r="G1352" s="1"/>
      <c r="H1352" s="1"/>
    </row>
    <row r="1353" spans="2:8">
      <c r="B1353" s="2"/>
      <c r="C1353" s="1"/>
      <c r="D1353" s="1"/>
      <c r="E1353" s="1"/>
      <c r="F1353" s="1"/>
      <c r="G1353" s="1"/>
      <c r="H1353" s="1"/>
    </row>
    <row r="1354" spans="2:8">
      <c r="B1354" s="2"/>
      <c r="C1354" s="1"/>
      <c r="D1354" s="1"/>
      <c r="E1354" s="1"/>
      <c r="F1354" s="1"/>
      <c r="G1354" s="1"/>
      <c r="H1354" s="1"/>
    </row>
    <row r="1355" spans="2:8">
      <c r="B1355" s="2"/>
      <c r="C1355" s="1"/>
      <c r="D1355" s="1"/>
      <c r="E1355" s="1"/>
      <c r="F1355" s="1"/>
      <c r="G1355" s="1"/>
      <c r="H1355" s="1"/>
    </row>
    <row r="1356" spans="2:8">
      <c r="B1356" s="2"/>
      <c r="C1356" s="1"/>
      <c r="D1356" s="1"/>
      <c r="E1356" s="1"/>
      <c r="F1356" s="1"/>
      <c r="G1356" s="1"/>
      <c r="H1356" s="1"/>
    </row>
    <row r="1357" spans="2:8">
      <c r="B1357" s="2"/>
      <c r="C1357" s="1"/>
      <c r="D1357" s="1"/>
      <c r="E1357" s="1"/>
      <c r="F1357" s="1"/>
      <c r="G1357" s="1"/>
      <c r="H1357" s="1"/>
    </row>
    <row r="1358" spans="2:8">
      <c r="B1358" s="2"/>
      <c r="C1358" s="1"/>
      <c r="D1358" s="1"/>
      <c r="E1358" s="1"/>
      <c r="F1358" s="1"/>
      <c r="G1358" s="1"/>
      <c r="H1358" s="1"/>
    </row>
    <row r="1359" spans="2:8">
      <c r="B1359" s="2"/>
      <c r="C1359" s="1"/>
      <c r="D1359" s="1"/>
      <c r="E1359" s="1"/>
      <c r="F1359" s="1"/>
      <c r="G1359" s="1"/>
      <c r="H1359" s="1"/>
    </row>
    <row r="1360" spans="2:8">
      <c r="B1360" s="2"/>
      <c r="C1360" s="1"/>
      <c r="D1360" s="1"/>
      <c r="E1360" s="1"/>
      <c r="F1360" s="1"/>
      <c r="G1360" s="1"/>
      <c r="H1360" s="1"/>
    </row>
    <row r="1361" spans="2:8">
      <c r="B1361" s="2"/>
      <c r="C1361" s="1"/>
      <c r="D1361" s="1"/>
      <c r="E1361" s="1"/>
      <c r="F1361" s="1"/>
      <c r="G1361" s="1"/>
      <c r="H1361" s="1"/>
    </row>
    <row r="1362" spans="2:8">
      <c r="B1362" s="2"/>
      <c r="C1362" s="1"/>
      <c r="D1362" s="1"/>
      <c r="E1362" s="1"/>
      <c r="F1362" s="1"/>
      <c r="G1362" s="1"/>
      <c r="H1362" s="1"/>
    </row>
    <row r="1363" spans="2:8">
      <c r="B1363" s="2"/>
      <c r="C1363" s="1"/>
      <c r="D1363" s="1"/>
      <c r="E1363" s="1"/>
      <c r="F1363" s="1"/>
      <c r="G1363" s="1"/>
      <c r="H1363" s="1"/>
    </row>
    <row r="1364" spans="2:8">
      <c r="B1364" s="2"/>
      <c r="C1364" s="1"/>
      <c r="D1364" s="1"/>
      <c r="E1364" s="1"/>
      <c r="F1364" s="1"/>
      <c r="G1364" s="1"/>
      <c r="H1364" s="1"/>
    </row>
    <row r="1365" spans="2:8">
      <c r="B1365" s="2"/>
      <c r="C1365" s="1"/>
      <c r="D1365" s="1"/>
      <c r="E1365" s="1"/>
      <c r="F1365" s="1"/>
      <c r="G1365" s="1"/>
      <c r="H1365" s="1"/>
    </row>
    <row r="1366" spans="2:8">
      <c r="B1366" s="2"/>
      <c r="C1366" s="1"/>
      <c r="D1366" s="1"/>
      <c r="E1366" s="1"/>
      <c r="F1366" s="1"/>
      <c r="G1366" s="1"/>
      <c r="H1366" s="1"/>
    </row>
    <row r="1367" spans="2:8">
      <c r="B1367" s="2"/>
      <c r="C1367" s="1"/>
      <c r="D1367" s="1"/>
      <c r="E1367" s="1"/>
      <c r="F1367" s="1"/>
      <c r="G1367" s="1"/>
      <c r="H1367" s="1"/>
    </row>
    <row r="1368" spans="2:8">
      <c r="B1368" s="2"/>
      <c r="C1368" s="1"/>
      <c r="D1368" s="1"/>
      <c r="E1368" s="1"/>
      <c r="F1368" s="1"/>
      <c r="G1368" s="1"/>
      <c r="H1368" s="1"/>
    </row>
    <row r="1369" spans="2:8">
      <c r="B1369" s="2"/>
      <c r="C1369" s="1"/>
      <c r="D1369" s="1"/>
      <c r="E1369" s="1"/>
      <c r="F1369" s="1"/>
      <c r="G1369" s="1"/>
      <c r="H1369" s="1"/>
    </row>
    <row r="1370" spans="2:8">
      <c r="B1370" s="2"/>
      <c r="C1370" s="1"/>
      <c r="D1370" s="1"/>
      <c r="E1370" s="1"/>
      <c r="F1370" s="1"/>
      <c r="G1370" s="1"/>
      <c r="H1370" s="1"/>
    </row>
    <row r="1371" spans="2:8">
      <c r="B1371" s="2"/>
      <c r="C1371" s="1"/>
      <c r="D1371" s="1"/>
      <c r="E1371" s="1"/>
      <c r="F1371" s="1"/>
      <c r="G1371" s="1"/>
      <c r="H1371" s="1"/>
    </row>
    <row r="1372" spans="2:8">
      <c r="B1372" s="2"/>
      <c r="C1372" s="1"/>
      <c r="D1372" s="1"/>
      <c r="E1372" s="1"/>
      <c r="F1372" s="1"/>
      <c r="G1372" s="1"/>
      <c r="H1372" s="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D059F-AA66-9C4D-AB92-A71C0D09CE91}">
  <dimension ref="A4:H371"/>
  <sheetViews>
    <sheetView workbookViewId="0"/>
  </sheetViews>
  <sheetFormatPr baseColWidth="10" defaultRowHeight="20"/>
  <cols>
    <col min="2" max="2" width="11.42578125" bestFit="1" customWidth="1"/>
  </cols>
  <sheetData>
    <row r="4" spans="1:8" ht="21" thickBot="1">
      <c r="A4" s="50" t="s">
        <v>10</v>
      </c>
    </row>
    <row r="5" spans="1:8" ht="21" thickBot="1">
      <c r="B5" s="29" t="s">
        <v>0</v>
      </c>
      <c r="C5" s="30" t="s">
        <v>1</v>
      </c>
      <c r="D5" s="30" t="s">
        <v>2</v>
      </c>
      <c r="E5" s="30" t="s">
        <v>3</v>
      </c>
      <c r="F5" s="30" t="s">
        <v>4</v>
      </c>
      <c r="G5" s="30" t="s">
        <v>5</v>
      </c>
      <c r="H5" s="31" t="s">
        <v>6</v>
      </c>
    </row>
    <row r="6" spans="1:8">
      <c r="B6" s="32">
        <v>40909</v>
      </c>
      <c r="C6" s="33">
        <v>0</v>
      </c>
      <c r="D6" s="33">
        <v>0</v>
      </c>
      <c r="E6" s="33">
        <v>1</v>
      </c>
      <c r="F6" s="33">
        <v>-1</v>
      </c>
      <c r="G6" s="33">
        <v>-1</v>
      </c>
      <c r="H6" s="21">
        <v>0</v>
      </c>
    </row>
    <row r="7" spans="1:8">
      <c r="B7" s="32">
        <v>40910</v>
      </c>
      <c r="C7" s="33">
        <v>0</v>
      </c>
      <c r="D7" s="33">
        <v>0</v>
      </c>
      <c r="E7" s="33">
        <v>1</v>
      </c>
      <c r="F7" s="33">
        <v>-1</v>
      </c>
      <c r="G7" s="33">
        <v>-1</v>
      </c>
      <c r="H7" s="21">
        <v>0</v>
      </c>
    </row>
    <row r="8" spans="1:8">
      <c r="B8" s="32">
        <v>40911</v>
      </c>
      <c r="C8" s="33">
        <v>0</v>
      </c>
      <c r="D8" s="33">
        <v>0</v>
      </c>
      <c r="E8" s="33">
        <v>1</v>
      </c>
      <c r="F8" s="33">
        <v>-1</v>
      </c>
      <c r="G8" s="33">
        <v>-1</v>
      </c>
      <c r="H8" s="21">
        <v>0</v>
      </c>
    </row>
    <row r="9" spans="1:8">
      <c r="B9" s="32">
        <v>40912</v>
      </c>
      <c r="C9" s="33">
        <v>12</v>
      </c>
      <c r="D9" s="33">
        <v>0</v>
      </c>
      <c r="E9" s="33">
        <v>0</v>
      </c>
      <c r="F9" s="33">
        <v>0</v>
      </c>
      <c r="G9" s="33">
        <v>0</v>
      </c>
      <c r="H9" s="21">
        <v>1</v>
      </c>
    </row>
    <row r="10" spans="1:8">
      <c r="B10" s="32">
        <v>40913</v>
      </c>
      <c r="C10" s="33">
        <v>9</v>
      </c>
      <c r="D10" s="33">
        <v>0</v>
      </c>
      <c r="E10" s="33">
        <v>0</v>
      </c>
      <c r="F10" s="33">
        <v>0</v>
      </c>
      <c r="G10" s="33">
        <v>0</v>
      </c>
      <c r="H10" s="21">
        <v>1</v>
      </c>
    </row>
    <row r="11" spans="1:8">
      <c r="B11" s="32">
        <v>40914</v>
      </c>
      <c r="C11" s="33">
        <v>8</v>
      </c>
      <c r="D11" s="33">
        <v>0</v>
      </c>
      <c r="E11" s="33">
        <v>0</v>
      </c>
      <c r="F11" s="33">
        <v>0</v>
      </c>
      <c r="G11" s="33">
        <v>0</v>
      </c>
      <c r="H11" s="21">
        <v>1</v>
      </c>
    </row>
    <row r="12" spans="1:8">
      <c r="B12" s="32">
        <v>40915</v>
      </c>
      <c r="C12" s="33">
        <v>29</v>
      </c>
      <c r="D12" s="33">
        <v>0</v>
      </c>
      <c r="E12" s="33">
        <v>0</v>
      </c>
      <c r="F12" s="33">
        <v>0</v>
      </c>
      <c r="G12" s="33">
        <v>0</v>
      </c>
      <c r="H12" s="21">
        <v>1</v>
      </c>
    </row>
    <row r="13" spans="1:8">
      <c r="B13" s="32">
        <v>40916</v>
      </c>
      <c r="C13" s="33">
        <v>23</v>
      </c>
      <c r="D13" s="33">
        <v>0</v>
      </c>
      <c r="E13" s="33">
        <v>0</v>
      </c>
      <c r="F13" s="33">
        <v>0</v>
      </c>
      <c r="G13" s="33">
        <v>0</v>
      </c>
      <c r="H13" s="21">
        <v>1</v>
      </c>
    </row>
    <row r="14" spans="1:8">
      <c r="B14" s="32">
        <v>40917</v>
      </c>
      <c r="C14" s="33">
        <v>9</v>
      </c>
      <c r="D14" s="33">
        <v>0</v>
      </c>
      <c r="E14" s="33">
        <v>0</v>
      </c>
      <c r="F14" s="33">
        <v>0</v>
      </c>
      <c r="G14" s="33">
        <v>0</v>
      </c>
      <c r="H14" s="21">
        <v>1</v>
      </c>
    </row>
    <row r="15" spans="1:8">
      <c r="B15" s="32">
        <v>40918</v>
      </c>
      <c r="C15" s="33">
        <v>10</v>
      </c>
      <c r="D15" s="33">
        <v>0</v>
      </c>
      <c r="E15" s="33">
        <v>0</v>
      </c>
      <c r="F15" s="33">
        <v>0</v>
      </c>
      <c r="G15" s="33">
        <v>0</v>
      </c>
      <c r="H15" s="21">
        <v>1</v>
      </c>
    </row>
    <row r="16" spans="1:8">
      <c r="B16" s="32">
        <v>40919</v>
      </c>
      <c r="C16" s="33">
        <v>10</v>
      </c>
      <c r="D16" s="33">
        <v>0</v>
      </c>
      <c r="E16" s="33">
        <v>0</v>
      </c>
      <c r="F16" s="33">
        <v>0</v>
      </c>
      <c r="G16" s="33">
        <v>0</v>
      </c>
      <c r="H16" s="21">
        <v>1</v>
      </c>
    </row>
    <row r="17" spans="2:8">
      <c r="B17" s="32">
        <v>40920</v>
      </c>
      <c r="C17" s="33">
        <v>7</v>
      </c>
      <c r="D17" s="33">
        <v>0</v>
      </c>
      <c r="E17" s="33">
        <v>0</v>
      </c>
      <c r="F17" s="33">
        <v>0</v>
      </c>
      <c r="G17" s="33">
        <v>0</v>
      </c>
      <c r="H17" s="21">
        <v>1</v>
      </c>
    </row>
    <row r="18" spans="2:8">
      <c r="B18" s="32">
        <v>40921</v>
      </c>
      <c r="C18" s="33">
        <v>9</v>
      </c>
      <c r="D18" s="33">
        <v>0</v>
      </c>
      <c r="E18" s="33">
        <v>0</v>
      </c>
      <c r="F18" s="33">
        <v>0</v>
      </c>
      <c r="G18" s="33">
        <v>0</v>
      </c>
      <c r="H18" s="21">
        <v>1</v>
      </c>
    </row>
    <row r="19" spans="2:8">
      <c r="B19" s="32">
        <v>40922</v>
      </c>
      <c r="C19" s="33">
        <v>24</v>
      </c>
      <c r="D19" s="33">
        <v>0</v>
      </c>
      <c r="E19" s="33">
        <v>0</v>
      </c>
      <c r="F19" s="33">
        <v>0</v>
      </c>
      <c r="G19" s="33">
        <v>1</v>
      </c>
      <c r="H19" s="21">
        <v>2</v>
      </c>
    </row>
    <row r="20" spans="2:8">
      <c r="B20" s="32">
        <v>40923</v>
      </c>
      <c r="C20" s="33">
        <v>21</v>
      </c>
      <c r="D20" s="33">
        <v>0</v>
      </c>
      <c r="E20" s="33">
        <v>0</v>
      </c>
      <c r="F20" s="33">
        <v>0</v>
      </c>
      <c r="G20" s="33">
        <v>0</v>
      </c>
      <c r="H20" s="21">
        <v>1</v>
      </c>
    </row>
    <row r="21" spans="2:8">
      <c r="B21" s="32">
        <v>40924</v>
      </c>
      <c r="C21" s="33">
        <v>18</v>
      </c>
      <c r="D21" s="33">
        <v>0</v>
      </c>
      <c r="E21" s="33">
        <v>0</v>
      </c>
      <c r="F21" s="33">
        <v>0</v>
      </c>
      <c r="G21" s="33">
        <v>0</v>
      </c>
      <c r="H21" s="21">
        <v>1</v>
      </c>
    </row>
    <row r="22" spans="2:8">
      <c r="B22" s="32">
        <v>40925</v>
      </c>
      <c r="C22" s="33">
        <v>18</v>
      </c>
      <c r="D22" s="33">
        <v>0</v>
      </c>
      <c r="E22" s="33">
        <v>0</v>
      </c>
      <c r="F22" s="33">
        <v>0</v>
      </c>
      <c r="G22" s="33">
        <v>0</v>
      </c>
      <c r="H22" s="21">
        <v>1</v>
      </c>
    </row>
    <row r="23" spans="2:8">
      <c r="B23" s="32">
        <v>40926</v>
      </c>
      <c r="C23" s="33">
        <v>17</v>
      </c>
      <c r="D23" s="33">
        <v>0</v>
      </c>
      <c r="E23" s="33">
        <v>0</v>
      </c>
      <c r="F23" s="33">
        <v>0</v>
      </c>
      <c r="G23" s="33">
        <v>0</v>
      </c>
      <c r="H23" s="21">
        <v>1</v>
      </c>
    </row>
    <row r="24" spans="2:8">
      <c r="B24" s="32">
        <v>40927</v>
      </c>
      <c r="C24" s="33">
        <v>13</v>
      </c>
      <c r="D24" s="33">
        <v>0</v>
      </c>
      <c r="E24" s="33">
        <v>0</v>
      </c>
      <c r="F24" s="33">
        <v>0</v>
      </c>
      <c r="G24" s="33">
        <v>0</v>
      </c>
      <c r="H24" s="21">
        <v>1</v>
      </c>
    </row>
    <row r="25" spans="2:8">
      <c r="B25" s="32">
        <v>40928</v>
      </c>
      <c r="C25" s="33">
        <v>18</v>
      </c>
      <c r="D25" s="33">
        <v>0</v>
      </c>
      <c r="E25" s="33">
        <v>0</v>
      </c>
      <c r="F25" s="33">
        <v>0</v>
      </c>
      <c r="G25" s="33">
        <v>0</v>
      </c>
      <c r="H25" s="21">
        <v>1</v>
      </c>
    </row>
    <row r="26" spans="2:8">
      <c r="B26" s="32">
        <v>40929</v>
      </c>
      <c r="C26" s="33">
        <v>30</v>
      </c>
      <c r="D26" s="33">
        <v>0</v>
      </c>
      <c r="E26" s="33">
        <v>0</v>
      </c>
      <c r="F26" s="33">
        <v>1</v>
      </c>
      <c r="G26" s="33">
        <v>0</v>
      </c>
      <c r="H26" s="21">
        <v>2</v>
      </c>
    </row>
    <row r="27" spans="2:8">
      <c r="B27" s="32">
        <v>40930</v>
      </c>
      <c r="C27" s="33">
        <v>28</v>
      </c>
      <c r="D27" s="33">
        <v>0</v>
      </c>
      <c r="E27" s="33">
        <v>0</v>
      </c>
      <c r="F27" s="33">
        <v>1</v>
      </c>
      <c r="G27" s="33">
        <v>0</v>
      </c>
      <c r="H27" s="21">
        <v>2</v>
      </c>
    </row>
    <row r="28" spans="2:8">
      <c r="B28" s="32">
        <v>40931</v>
      </c>
      <c r="C28" s="33">
        <v>18</v>
      </c>
      <c r="D28" s="33">
        <v>0</v>
      </c>
      <c r="E28" s="33">
        <v>0</v>
      </c>
      <c r="F28" s="33">
        <v>0</v>
      </c>
      <c r="G28" s="33">
        <v>0</v>
      </c>
      <c r="H28" s="21">
        <v>1</v>
      </c>
    </row>
    <row r="29" spans="2:8">
      <c r="B29" s="32">
        <v>40932</v>
      </c>
      <c r="C29" s="33">
        <v>17</v>
      </c>
      <c r="D29" s="33">
        <v>0</v>
      </c>
      <c r="E29" s="33">
        <v>0</v>
      </c>
      <c r="F29" s="33">
        <v>0</v>
      </c>
      <c r="G29" s="33">
        <v>0</v>
      </c>
      <c r="H29" s="21">
        <v>1</v>
      </c>
    </row>
    <row r="30" spans="2:8">
      <c r="B30" s="32">
        <v>40933</v>
      </c>
      <c r="C30" s="33">
        <v>20</v>
      </c>
      <c r="D30" s="33">
        <v>0</v>
      </c>
      <c r="E30" s="33">
        <v>0</v>
      </c>
      <c r="F30" s="33">
        <v>0</v>
      </c>
      <c r="G30" s="33">
        <v>0</v>
      </c>
      <c r="H30" s="21">
        <v>1</v>
      </c>
    </row>
    <row r="31" spans="2:8">
      <c r="B31" s="32">
        <v>40934</v>
      </c>
      <c r="C31" s="33">
        <v>16</v>
      </c>
      <c r="D31" s="33">
        <v>0</v>
      </c>
      <c r="E31" s="33">
        <v>0</v>
      </c>
      <c r="F31" s="33">
        <v>0</v>
      </c>
      <c r="G31" s="33">
        <v>0</v>
      </c>
      <c r="H31" s="21">
        <v>1</v>
      </c>
    </row>
    <row r="32" spans="2:8">
      <c r="B32" s="32">
        <v>40935</v>
      </c>
      <c r="C32" s="33">
        <v>30</v>
      </c>
      <c r="D32" s="33">
        <v>0</v>
      </c>
      <c r="E32" s="33">
        <v>0</v>
      </c>
      <c r="F32" s="33">
        <v>1</v>
      </c>
      <c r="G32" s="33">
        <v>1</v>
      </c>
      <c r="H32" s="21">
        <v>4</v>
      </c>
    </row>
    <row r="33" spans="2:8">
      <c r="B33" s="32">
        <v>40936</v>
      </c>
      <c r="C33" s="33">
        <v>32</v>
      </c>
      <c r="D33" s="33">
        <v>0</v>
      </c>
      <c r="E33" s="33">
        <v>0</v>
      </c>
      <c r="F33" s="33">
        <v>2</v>
      </c>
      <c r="G33" s="33">
        <v>1</v>
      </c>
      <c r="H33" s="21">
        <v>6</v>
      </c>
    </row>
    <row r="34" spans="2:8">
      <c r="B34" s="32">
        <v>40937</v>
      </c>
      <c r="C34" s="33">
        <v>26</v>
      </c>
      <c r="D34" s="33">
        <v>0</v>
      </c>
      <c r="E34" s="33">
        <v>0</v>
      </c>
      <c r="F34" s="33">
        <v>2</v>
      </c>
      <c r="G34" s="33">
        <v>1</v>
      </c>
      <c r="H34" s="21">
        <v>6</v>
      </c>
    </row>
    <row r="35" spans="2:8">
      <c r="B35" s="32">
        <v>40938</v>
      </c>
      <c r="C35" s="33">
        <v>33</v>
      </c>
      <c r="D35" s="33">
        <v>0</v>
      </c>
      <c r="E35" s="33">
        <v>0</v>
      </c>
      <c r="F35" s="33">
        <v>1</v>
      </c>
      <c r="G35" s="33">
        <v>0</v>
      </c>
      <c r="H35" s="21">
        <v>2</v>
      </c>
    </row>
    <row r="36" spans="2:8">
      <c r="B36" s="32">
        <v>40939</v>
      </c>
      <c r="C36" s="33">
        <v>29</v>
      </c>
      <c r="D36" s="33">
        <v>0</v>
      </c>
      <c r="E36" s="33">
        <v>0</v>
      </c>
      <c r="F36" s="33">
        <v>1</v>
      </c>
      <c r="G36" s="33">
        <v>1</v>
      </c>
      <c r="H36" s="21">
        <v>4</v>
      </c>
    </row>
    <row r="37" spans="2:8">
      <c r="B37" s="32">
        <v>40940</v>
      </c>
      <c r="C37" s="33">
        <v>27</v>
      </c>
      <c r="D37" s="33">
        <v>0</v>
      </c>
      <c r="E37" s="33">
        <v>0</v>
      </c>
      <c r="F37" s="33">
        <v>1</v>
      </c>
      <c r="G37" s="33">
        <v>1</v>
      </c>
      <c r="H37" s="21">
        <v>4</v>
      </c>
    </row>
    <row r="38" spans="2:8">
      <c r="B38" s="32">
        <v>40941</v>
      </c>
      <c r="C38" s="33">
        <v>17</v>
      </c>
      <c r="D38" s="33">
        <v>0</v>
      </c>
      <c r="E38" s="33">
        <v>0</v>
      </c>
      <c r="F38" s="33">
        <v>1</v>
      </c>
      <c r="G38" s="33">
        <v>0</v>
      </c>
      <c r="H38" s="21">
        <v>2</v>
      </c>
    </row>
    <row r="39" spans="2:8">
      <c r="B39" s="32">
        <v>40942</v>
      </c>
      <c r="C39" s="33">
        <v>19</v>
      </c>
      <c r="D39" s="33">
        <v>0</v>
      </c>
      <c r="E39" s="33">
        <v>0</v>
      </c>
      <c r="F39" s="33">
        <v>0</v>
      </c>
      <c r="G39" s="33">
        <v>0</v>
      </c>
      <c r="H39" s="21">
        <v>1</v>
      </c>
    </row>
    <row r="40" spans="2:8">
      <c r="B40" s="32">
        <v>40943</v>
      </c>
      <c r="C40" s="33">
        <v>33</v>
      </c>
      <c r="D40" s="33">
        <v>0</v>
      </c>
      <c r="E40" s="33">
        <v>0</v>
      </c>
      <c r="F40" s="33">
        <v>2</v>
      </c>
      <c r="G40" s="33">
        <v>1</v>
      </c>
      <c r="H40" s="21">
        <v>6</v>
      </c>
    </row>
    <row r="41" spans="2:8">
      <c r="B41" s="32">
        <v>40944</v>
      </c>
      <c r="C41" s="33">
        <v>19</v>
      </c>
      <c r="D41" s="33">
        <v>0</v>
      </c>
      <c r="E41" s="33">
        <v>0</v>
      </c>
      <c r="F41" s="33">
        <v>1</v>
      </c>
      <c r="G41" s="33">
        <v>1</v>
      </c>
      <c r="H41" s="21">
        <v>4</v>
      </c>
    </row>
    <row r="42" spans="2:8">
      <c r="B42" s="32">
        <v>40945</v>
      </c>
      <c r="C42" s="33">
        <v>23</v>
      </c>
      <c r="D42" s="33">
        <v>0</v>
      </c>
      <c r="E42" s="33">
        <v>0</v>
      </c>
      <c r="F42" s="33">
        <v>0</v>
      </c>
      <c r="G42" s="33">
        <v>0</v>
      </c>
      <c r="H42" s="21">
        <v>1</v>
      </c>
    </row>
    <row r="43" spans="2:8">
      <c r="B43" s="32">
        <v>40946</v>
      </c>
      <c r="C43" s="33">
        <v>18</v>
      </c>
      <c r="D43" s="33">
        <v>0</v>
      </c>
      <c r="E43" s="33">
        <v>0</v>
      </c>
      <c r="F43" s="33">
        <v>0</v>
      </c>
      <c r="G43" s="33">
        <v>0</v>
      </c>
      <c r="H43" s="21">
        <v>1</v>
      </c>
    </row>
    <row r="44" spans="2:8">
      <c r="B44" s="32">
        <v>40947</v>
      </c>
      <c r="C44" s="33">
        <v>22</v>
      </c>
      <c r="D44" s="33">
        <v>0</v>
      </c>
      <c r="E44" s="33">
        <v>0</v>
      </c>
      <c r="F44" s="33">
        <v>0</v>
      </c>
      <c r="G44" s="33">
        <v>0</v>
      </c>
      <c r="H44" s="21">
        <v>1</v>
      </c>
    </row>
    <row r="45" spans="2:8">
      <c r="B45" s="32">
        <v>40948</v>
      </c>
      <c r="C45" s="33">
        <v>14</v>
      </c>
      <c r="D45" s="33">
        <v>0</v>
      </c>
      <c r="E45" s="33">
        <v>0</v>
      </c>
      <c r="F45" s="33">
        <v>0</v>
      </c>
      <c r="G45" s="33">
        <v>0</v>
      </c>
      <c r="H45" s="21">
        <v>1</v>
      </c>
    </row>
    <row r="46" spans="2:8">
      <c r="B46" s="32">
        <v>40949</v>
      </c>
      <c r="C46" s="33">
        <v>25</v>
      </c>
      <c r="D46" s="33">
        <v>0</v>
      </c>
      <c r="E46" s="33">
        <v>0</v>
      </c>
      <c r="F46" s="33">
        <v>0</v>
      </c>
      <c r="G46" s="33">
        <v>0</v>
      </c>
      <c r="H46" s="21">
        <v>1</v>
      </c>
    </row>
    <row r="47" spans="2:8">
      <c r="B47" s="32">
        <v>40950</v>
      </c>
      <c r="C47" s="33">
        <v>36</v>
      </c>
      <c r="D47" s="33">
        <v>0</v>
      </c>
      <c r="E47" s="33">
        <v>0</v>
      </c>
      <c r="F47" s="33">
        <v>1</v>
      </c>
      <c r="G47" s="33">
        <v>1</v>
      </c>
      <c r="H47" s="21">
        <v>4</v>
      </c>
    </row>
    <row r="48" spans="2:8">
      <c r="B48" s="32">
        <v>40951</v>
      </c>
      <c r="C48" s="33">
        <v>22</v>
      </c>
      <c r="D48" s="33">
        <v>0</v>
      </c>
      <c r="E48" s="33">
        <v>0</v>
      </c>
      <c r="F48" s="33">
        <v>1</v>
      </c>
      <c r="G48" s="33">
        <v>0</v>
      </c>
      <c r="H48" s="21">
        <v>2</v>
      </c>
    </row>
    <row r="49" spans="2:8">
      <c r="B49" s="32">
        <v>40952</v>
      </c>
      <c r="C49" s="33">
        <v>23</v>
      </c>
      <c r="D49" s="33">
        <v>0</v>
      </c>
      <c r="E49" s="33">
        <v>0</v>
      </c>
      <c r="F49" s="33">
        <v>0</v>
      </c>
      <c r="G49" s="33">
        <v>0</v>
      </c>
      <c r="H49" s="21">
        <v>1</v>
      </c>
    </row>
    <row r="50" spans="2:8">
      <c r="B50" s="32">
        <v>40953</v>
      </c>
      <c r="C50" s="33">
        <v>18</v>
      </c>
      <c r="D50" s="33">
        <v>0</v>
      </c>
      <c r="E50" s="33">
        <v>0</v>
      </c>
      <c r="F50" s="33">
        <v>0</v>
      </c>
      <c r="G50" s="33">
        <v>0</v>
      </c>
      <c r="H50" s="21">
        <v>1</v>
      </c>
    </row>
    <row r="51" spans="2:8">
      <c r="B51" s="32">
        <v>40954</v>
      </c>
      <c r="C51" s="33">
        <v>23</v>
      </c>
      <c r="D51" s="33">
        <v>0</v>
      </c>
      <c r="E51" s="33">
        <v>0</v>
      </c>
      <c r="F51" s="33">
        <v>0</v>
      </c>
      <c r="G51" s="33">
        <v>0</v>
      </c>
      <c r="H51" s="21">
        <v>1</v>
      </c>
    </row>
    <row r="52" spans="2:8">
      <c r="B52" s="32">
        <v>40955</v>
      </c>
      <c r="C52" s="33">
        <v>22</v>
      </c>
      <c r="D52" s="33">
        <v>0</v>
      </c>
      <c r="E52" s="33">
        <v>0</v>
      </c>
      <c r="F52" s="33">
        <v>0</v>
      </c>
      <c r="G52" s="33">
        <v>0</v>
      </c>
      <c r="H52" s="21">
        <v>1</v>
      </c>
    </row>
    <row r="53" spans="2:8">
      <c r="B53" s="32">
        <v>40956</v>
      </c>
      <c r="C53" s="33">
        <v>25</v>
      </c>
      <c r="D53" s="33">
        <v>0</v>
      </c>
      <c r="E53" s="33">
        <v>0</v>
      </c>
      <c r="F53" s="33">
        <v>0</v>
      </c>
      <c r="G53" s="33">
        <v>0</v>
      </c>
      <c r="H53" s="21">
        <v>1</v>
      </c>
    </row>
    <row r="54" spans="2:8">
      <c r="B54" s="32">
        <v>40957</v>
      </c>
      <c r="C54" s="33">
        <v>33</v>
      </c>
      <c r="D54" s="33">
        <v>0</v>
      </c>
      <c r="E54" s="33">
        <v>0</v>
      </c>
      <c r="F54" s="33">
        <v>2</v>
      </c>
      <c r="G54" s="33">
        <v>1</v>
      </c>
      <c r="H54" s="21">
        <v>6</v>
      </c>
    </row>
    <row r="55" spans="2:8">
      <c r="B55" s="32">
        <v>40958</v>
      </c>
      <c r="C55" s="33">
        <v>31</v>
      </c>
      <c r="D55" s="33">
        <v>0</v>
      </c>
      <c r="E55" s="33">
        <v>0</v>
      </c>
      <c r="F55" s="33">
        <v>1</v>
      </c>
      <c r="G55" s="33">
        <v>1</v>
      </c>
      <c r="H55" s="21">
        <v>4</v>
      </c>
    </row>
    <row r="56" spans="2:8">
      <c r="B56" s="32">
        <v>40959</v>
      </c>
      <c r="C56" s="33">
        <v>26</v>
      </c>
      <c r="D56" s="33">
        <v>0</v>
      </c>
      <c r="E56" s="33">
        <v>0</v>
      </c>
      <c r="F56" s="33">
        <v>1</v>
      </c>
      <c r="G56" s="33">
        <v>0</v>
      </c>
      <c r="H56" s="21">
        <v>2</v>
      </c>
    </row>
    <row r="57" spans="2:8">
      <c r="B57" s="32">
        <v>40960</v>
      </c>
      <c r="C57" s="33">
        <v>24</v>
      </c>
      <c r="D57" s="33">
        <v>0</v>
      </c>
      <c r="E57" s="33">
        <v>0</v>
      </c>
      <c r="F57" s="33">
        <v>0</v>
      </c>
      <c r="G57" s="33">
        <v>0</v>
      </c>
      <c r="H57" s="21">
        <v>1</v>
      </c>
    </row>
    <row r="58" spans="2:8">
      <c r="B58" s="32">
        <v>40961</v>
      </c>
      <c r="C58" s="33">
        <v>32</v>
      </c>
      <c r="D58" s="33">
        <v>0</v>
      </c>
      <c r="E58" s="33">
        <v>0</v>
      </c>
      <c r="F58" s="33">
        <v>0</v>
      </c>
      <c r="G58" s="33">
        <v>0</v>
      </c>
      <c r="H58" s="21">
        <v>1</v>
      </c>
    </row>
    <row r="59" spans="2:8">
      <c r="B59" s="32">
        <v>40962</v>
      </c>
      <c r="C59" s="33">
        <v>29</v>
      </c>
      <c r="D59" s="33">
        <v>0</v>
      </c>
      <c r="E59" s="33">
        <v>0</v>
      </c>
      <c r="F59" s="33">
        <v>1</v>
      </c>
      <c r="G59" s="33">
        <v>0</v>
      </c>
      <c r="H59" s="21">
        <v>2</v>
      </c>
    </row>
    <row r="60" spans="2:8">
      <c r="B60" s="32">
        <v>40963</v>
      </c>
      <c r="C60" s="33">
        <v>43</v>
      </c>
      <c r="D60" s="33">
        <v>0</v>
      </c>
      <c r="E60" s="33">
        <v>0</v>
      </c>
      <c r="F60" s="33">
        <v>1</v>
      </c>
      <c r="G60" s="33">
        <v>1</v>
      </c>
      <c r="H60" s="21">
        <v>4</v>
      </c>
    </row>
    <row r="61" spans="2:8">
      <c r="B61" s="32">
        <v>40964</v>
      </c>
      <c r="C61" s="33">
        <v>49</v>
      </c>
      <c r="D61" s="33">
        <v>0</v>
      </c>
      <c r="E61" s="33">
        <v>0</v>
      </c>
      <c r="F61" s="33">
        <v>3</v>
      </c>
      <c r="G61" s="33">
        <v>2</v>
      </c>
      <c r="H61" s="21">
        <v>12</v>
      </c>
    </row>
    <row r="62" spans="2:8">
      <c r="B62" s="32">
        <v>40965</v>
      </c>
      <c r="C62" s="33">
        <v>47</v>
      </c>
      <c r="D62" s="33">
        <v>0</v>
      </c>
      <c r="E62" s="33">
        <v>0</v>
      </c>
      <c r="F62" s="33">
        <v>2</v>
      </c>
      <c r="G62" s="33">
        <v>1</v>
      </c>
      <c r="H62" s="21">
        <v>6</v>
      </c>
    </row>
    <row r="63" spans="2:8">
      <c r="B63" s="32">
        <v>40966</v>
      </c>
      <c r="C63" s="33">
        <v>41</v>
      </c>
      <c r="D63" s="33">
        <v>0</v>
      </c>
      <c r="E63" s="33">
        <v>0</v>
      </c>
      <c r="F63" s="33">
        <v>1</v>
      </c>
      <c r="G63" s="33">
        <v>1</v>
      </c>
      <c r="H63" s="21">
        <v>4</v>
      </c>
    </row>
    <row r="64" spans="2:8">
      <c r="B64" s="32">
        <v>40967</v>
      </c>
      <c r="C64" s="33">
        <v>40</v>
      </c>
      <c r="D64" s="33">
        <v>0</v>
      </c>
      <c r="E64" s="33">
        <v>0</v>
      </c>
      <c r="F64" s="33">
        <v>1</v>
      </c>
      <c r="G64" s="33">
        <v>1</v>
      </c>
      <c r="H64" s="21">
        <v>4</v>
      </c>
    </row>
    <row r="65" spans="2:8">
      <c r="B65" s="32">
        <v>40968</v>
      </c>
      <c r="C65" s="33">
        <v>39</v>
      </c>
      <c r="D65" s="33">
        <v>0</v>
      </c>
      <c r="E65" s="33">
        <v>0</v>
      </c>
      <c r="F65" s="33">
        <v>2</v>
      </c>
      <c r="G65" s="33">
        <v>1</v>
      </c>
      <c r="H65" s="21">
        <v>6</v>
      </c>
    </row>
    <row r="66" spans="2:8">
      <c r="B66" s="32">
        <v>40969</v>
      </c>
      <c r="C66" s="33">
        <v>36</v>
      </c>
      <c r="D66" s="33">
        <v>0</v>
      </c>
      <c r="E66" s="33">
        <v>0</v>
      </c>
      <c r="F66" s="33">
        <v>1</v>
      </c>
      <c r="G66" s="33">
        <v>1</v>
      </c>
      <c r="H66" s="21">
        <v>4</v>
      </c>
    </row>
    <row r="67" spans="2:8">
      <c r="B67" s="32">
        <v>40970</v>
      </c>
      <c r="C67" s="33">
        <v>45</v>
      </c>
      <c r="D67" s="33">
        <v>0</v>
      </c>
      <c r="E67" s="33">
        <v>0</v>
      </c>
      <c r="F67" s="33">
        <v>1</v>
      </c>
      <c r="G67" s="33">
        <v>1</v>
      </c>
      <c r="H67" s="21">
        <v>4</v>
      </c>
    </row>
    <row r="68" spans="2:8">
      <c r="B68" s="32">
        <v>40971</v>
      </c>
      <c r="C68" s="33">
        <v>37</v>
      </c>
      <c r="D68" s="33">
        <v>0</v>
      </c>
      <c r="E68" s="33">
        <v>0</v>
      </c>
      <c r="F68" s="33">
        <v>2</v>
      </c>
      <c r="G68" s="33">
        <v>1</v>
      </c>
      <c r="H68" s="21">
        <v>6</v>
      </c>
    </row>
    <row r="69" spans="2:8">
      <c r="B69" s="32">
        <v>40972</v>
      </c>
      <c r="C69" s="33">
        <v>30</v>
      </c>
      <c r="D69" s="33">
        <v>0</v>
      </c>
      <c r="E69" s="33">
        <v>0</v>
      </c>
      <c r="F69" s="33">
        <v>1</v>
      </c>
      <c r="G69" s="33">
        <v>1</v>
      </c>
      <c r="H69" s="21">
        <v>4</v>
      </c>
    </row>
    <row r="70" spans="2:8">
      <c r="B70" s="32">
        <v>40973</v>
      </c>
      <c r="C70" s="33">
        <v>29</v>
      </c>
      <c r="D70" s="33">
        <v>0</v>
      </c>
      <c r="E70" s="33">
        <v>0</v>
      </c>
      <c r="F70" s="33">
        <v>0</v>
      </c>
      <c r="G70" s="33">
        <v>0</v>
      </c>
      <c r="H70" s="21">
        <v>1</v>
      </c>
    </row>
    <row r="71" spans="2:8">
      <c r="B71" s="32">
        <v>40974</v>
      </c>
      <c r="C71" s="33">
        <v>30</v>
      </c>
      <c r="D71" s="33">
        <v>0</v>
      </c>
      <c r="E71" s="33">
        <v>0</v>
      </c>
      <c r="F71" s="33">
        <v>0</v>
      </c>
      <c r="G71" s="33">
        <v>0</v>
      </c>
      <c r="H71" s="21">
        <v>1</v>
      </c>
    </row>
    <row r="72" spans="2:8">
      <c r="B72" s="32">
        <v>40975</v>
      </c>
      <c r="C72" s="33">
        <v>38</v>
      </c>
      <c r="D72" s="33">
        <v>0</v>
      </c>
      <c r="E72" s="33">
        <v>0</v>
      </c>
      <c r="F72" s="33">
        <v>0</v>
      </c>
      <c r="G72" s="33">
        <v>0</v>
      </c>
      <c r="H72" s="21">
        <v>1</v>
      </c>
    </row>
    <row r="73" spans="2:8">
      <c r="B73" s="32">
        <v>40976</v>
      </c>
      <c r="C73" s="33">
        <v>32</v>
      </c>
      <c r="D73" s="33">
        <v>0</v>
      </c>
      <c r="E73" s="33">
        <v>0</v>
      </c>
      <c r="F73" s="33">
        <v>0</v>
      </c>
      <c r="G73" s="33">
        <v>0</v>
      </c>
      <c r="H73" s="21">
        <v>1</v>
      </c>
    </row>
    <row r="74" spans="2:8">
      <c r="B74" s="32">
        <v>40977</v>
      </c>
      <c r="C74" s="33">
        <v>33</v>
      </c>
      <c r="D74" s="33">
        <v>0</v>
      </c>
      <c r="E74" s="33">
        <v>0</v>
      </c>
      <c r="F74" s="33">
        <v>0</v>
      </c>
      <c r="G74" s="33">
        <v>0</v>
      </c>
      <c r="H74" s="21">
        <v>1</v>
      </c>
    </row>
    <row r="75" spans="2:8">
      <c r="B75" s="32">
        <v>40978</v>
      </c>
      <c r="C75" s="33">
        <v>30</v>
      </c>
      <c r="D75" s="33">
        <v>0</v>
      </c>
      <c r="E75" s="33">
        <v>0</v>
      </c>
      <c r="F75" s="33">
        <v>2</v>
      </c>
      <c r="G75" s="33">
        <v>1</v>
      </c>
      <c r="H75" s="21">
        <v>6</v>
      </c>
    </row>
    <row r="76" spans="2:8">
      <c r="B76" s="32">
        <v>40979</v>
      </c>
      <c r="C76" s="33">
        <v>28</v>
      </c>
      <c r="D76" s="33">
        <v>0</v>
      </c>
      <c r="E76" s="33">
        <v>0</v>
      </c>
      <c r="F76" s="33">
        <v>1</v>
      </c>
      <c r="G76" s="33">
        <v>1</v>
      </c>
      <c r="H76" s="21">
        <v>4</v>
      </c>
    </row>
    <row r="77" spans="2:8">
      <c r="B77" s="32">
        <v>40980</v>
      </c>
      <c r="C77" s="33">
        <v>31</v>
      </c>
      <c r="D77" s="33">
        <v>0</v>
      </c>
      <c r="E77" s="33">
        <v>0</v>
      </c>
      <c r="F77" s="33">
        <v>0</v>
      </c>
      <c r="G77" s="33">
        <v>0</v>
      </c>
      <c r="H77" s="21">
        <v>1</v>
      </c>
    </row>
    <row r="78" spans="2:8">
      <c r="B78" s="32">
        <v>40981</v>
      </c>
      <c r="C78" s="33">
        <v>35</v>
      </c>
      <c r="D78" s="33">
        <v>0</v>
      </c>
      <c r="E78" s="33">
        <v>0</v>
      </c>
      <c r="F78" s="33">
        <v>0</v>
      </c>
      <c r="G78" s="33">
        <v>0</v>
      </c>
      <c r="H78" s="21">
        <v>1</v>
      </c>
    </row>
    <row r="79" spans="2:8">
      <c r="B79" s="32">
        <v>40982</v>
      </c>
      <c r="C79" s="33">
        <v>30</v>
      </c>
      <c r="D79" s="33">
        <v>0</v>
      </c>
      <c r="E79" s="33">
        <v>0</v>
      </c>
      <c r="F79" s="33">
        <v>1</v>
      </c>
      <c r="G79" s="33">
        <v>0</v>
      </c>
      <c r="H79" s="21">
        <v>2</v>
      </c>
    </row>
    <row r="80" spans="2:8">
      <c r="B80" s="32">
        <v>40983</v>
      </c>
      <c r="C80" s="33">
        <v>36</v>
      </c>
      <c r="D80" s="33">
        <v>0</v>
      </c>
      <c r="E80" s="33">
        <v>0</v>
      </c>
      <c r="F80" s="33">
        <v>1</v>
      </c>
      <c r="G80" s="33">
        <v>1</v>
      </c>
      <c r="H80" s="21">
        <v>4</v>
      </c>
    </row>
    <row r="81" spans="2:8">
      <c r="B81" s="32">
        <v>40984</v>
      </c>
      <c r="C81" s="33">
        <v>50</v>
      </c>
      <c r="D81" s="33">
        <v>0</v>
      </c>
      <c r="E81" s="33">
        <v>0</v>
      </c>
      <c r="F81" s="33">
        <v>2</v>
      </c>
      <c r="G81" s="33">
        <v>2</v>
      </c>
      <c r="H81" s="21">
        <v>9</v>
      </c>
    </row>
    <row r="82" spans="2:8">
      <c r="B82" s="32">
        <v>40985</v>
      </c>
      <c r="C82" s="33">
        <v>58</v>
      </c>
      <c r="D82" s="33">
        <v>0</v>
      </c>
      <c r="E82" s="33">
        <v>0</v>
      </c>
      <c r="F82" s="33">
        <v>3</v>
      </c>
      <c r="G82" s="33">
        <v>3</v>
      </c>
      <c r="H82" s="21">
        <v>16</v>
      </c>
    </row>
    <row r="83" spans="2:8">
      <c r="B83" s="32">
        <v>40986</v>
      </c>
      <c r="C83" s="33">
        <v>45</v>
      </c>
      <c r="D83" s="33">
        <v>0</v>
      </c>
      <c r="E83" s="33">
        <v>0</v>
      </c>
      <c r="F83" s="33">
        <v>3</v>
      </c>
      <c r="G83" s="33">
        <v>2</v>
      </c>
      <c r="H83" s="21">
        <v>12</v>
      </c>
    </row>
    <row r="84" spans="2:8">
      <c r="B84" s="32">
        <v>40987</v>
      </c>
      <c r="C84" s="33">
        <v>48</v>
      </c>
      <c r="D84" s="33">
        <v>0</v>
      </c>
      <c r="E84" s="33">
        <v>0</v>
      </c>
      <c r="F84" s="33">
        <v>2</v>
      </c>
      <c r="G84" s="33">
        <v>2</v>
      </c>
      <c r="H84" s="21">
        <v>9</v>
      </c>
    </row>
    <row r="85" spans="2:8">
      <c r="B85" s="32">
        <v>40988</v>
      </c>
      <c r="C85" s="33">
        <v>51</v>
      </c>
      <c r="D85" s="33">
        <v>0</v>
      </c>
      <c r="E85" s="33">
        <v>0</v>
      </c>
      <c r="F85" s="33">
        <v>3</v>
      </c>
      <c r="G85" s="33">
        <v>2</v>
      </c>
      <c r="H85" s="21">
        <v>12</v>
      </c>
    </row>
    <row r="86" spans="2:8">
      <c r="B86" s="32">
        <v>40989</v>
      </c>
      <c r="C86" s="33">
        <v>60</v>
      </c>
      <c r="D86" s="33">
        <v>0</v>
      </c>
      <c r="E86" s="33">
        <v>0</v>
      </c>
      <c r="F86" s="33">
        <v>2</v>
      </c>
      <c r="G86" s="33">
        <v>2</v>
      </c>
      <c r="H86" s="21">
        <v>9</v>
      </c>
    </row>
    <row r="87" spans="2:8">
      <c r="B87" s="32">
        <v>40990</v>
      </c>
      <c r="C87" s="33">
        <v>49</v>
      </c>
      <c r="D87" s="33">
        <v>0</v>
      </c>
      <c r="E87" s="33">
        <v>0</v>
      </c>
      <c r="F87" s="33">
        <v>3</v>
      </c>
      <c r="G87" s="33">
        <v>2</v>
      </c>
      <c r="H87" s="21">
        <v>12</v>
      </c>
    </row>
    <row r="88" spans="2:8">
      <c r="B88" s="32">
        <v>40991</v>
      </c>
      <c r="C88" s="33">
        <v>47</v>
      </c>
      <c r="D88" s="33">
        <v>0</v>
      </c>
      <c r="E88" s="33">
        <v>0</v>
      </c>
      <c r="F88" s="33">
        <v>4</v>
      </c>
      <c r="G88" s="33">
        <v>3</v>
      </c>
      <c r="H88" s="21">
        <v>20</v>
      </c>
    </row>
    <row r="89" spans="2:8">
      <c r="B89" s="32">
        <v>40992</v>
      </c>
      <c r="C89" s="33">
        <v>55</v>
      </c>
      <c r="D89" s="33">
        <v>0</v>
      </c>
      <c r="E89" s="33">
        <v>0</v>
      </c>
      <c r="F89" s="33">
        <v>5</v>
      </c>
      <c r="G89" s="33">
        <v>4</v>
      </c>
      <c r="H89" s="21">
        <v>30</v>
      </c>
    </row>
    <row r="90" spans="2:8">
      <c r="B90" s="32">
        <v>40993</v>
      </c>
      <c r="C90" s="33">
        <v>49</v>
      </c>
      <c r="D90" s="33">
        <v>0</v>
      </c>
      <c r="E90" s="33">
        <v>0</v>
      </c>
      <c r="F90" s="33">
        <v>4</v>
      </c>
      <c r="G90" s="33">
        <v>5</v>
      </c>
      <c r="H90" s="21">
        <v>30</v>
      </c>
    </row>
    <row r="91" spans="2:8">
      <c r="B91" s="32">
        <v>40994</v>
      </c>
      <c r="C91" s="33">
        <v>69</v>
      </c>
      <c r="D91" s="33">
        <v>0</v>
      </c>
      <c r="E91" s="33">
        <v>0</v>
      </c>
      <c r="F91" s="33">
        <v>3</v>
      </c>
      <c r="G91" s="33">
        <v>2</v>
      </c>
      <c r="H91" s="21">
        <v>12</v>
      </c>
    </row>
    <row r="92" spans="2:8">
      <c r="B92" s="32">
        <v>40995</v>
      </c>
      <c r="C92" s="33">
        <v>88</v>
      </c>
      <c r="D92" s="33">
        <v>0</v>
      </c>
      <c r="E92" s="33">
        <v>0</v>
      </c>
      <c r="F92" s="33">
        <v>3</v>
      </c>
      <c r="G92" s="33">
        <v>2</v>
      </c>
      <c r="H92" s="21">
        <v>12</v>
      </c>
    </row>
    <row r="93" spans="2:8">
      <c r="B93" s="32">
        <v>40996</v>
      </c>
      <c r="C93" s="33">
        <v>66</v>
      </c>
      <c r="D93" s="33">
        <v>0</v>
      </c>
      <c r="E93" s="33">
        <v>0</v>
      </c>
      <c r="F93" s="33">
        <v>2</v>
      </c>
      <c r="G93" s="33">
        <v>2</v>
      </c>
      <c r="H93" s="21">
        <v>9</v>
      </c>
    </row>
    <row r="94" spans="2:8">
      <c r="B94" s="32">
        <v>40997</v>
      </c>
      <c r="C94" s="33">
        <v>63</v>
      </c>
      <c r="D94" s="33">
        <v>0</v>
      </c>
      <c r="E94" s="33">
        <v>0</v>
      </c>
      <c r="F94" s="33">
        <v>4</v>
      </c>
      <c r="G94" s="33">
        <v>2</v>
      </c>
      <c r="H94" s="21">
        <v>15</v>
      </c>
    </row>
    <row r="95" spans="2:8">
      <c r="B95" s="32">
        <v>40998</v>
      </c>
      <c r="C95" s="33">
        <v>69</v>
      </c>
      <c r="D95" s="33">
        <v>0</v>
      </c>
      <c r="E95" s="33">
        <v>0</v>
      </c>
      <c r="F95" s="33">
        <v>4</v>
      </c>
      <c r="G95" s="33">
        <v>4</v>
      </c>
      <c r="H95" s="21">
        <v>25</v>
      </c>
    </row>
    <row r="96" spans="2:8">
      <c r="B96" s="32">
        <v>40999</v>
      </c>
      <c r="C96" s="33">
        <v>63</v>
      </c>
      <c r="D96" s="33">
        <v>0</v>
      </c>
      <c r="E96" s="33">
        <v>0</v>
      </c>
      <c r="F96" s="33">
        <v>5</v>
      </c>
      <c r="G96" s="33">
        <v>5</v>
      </c>
      <c r="H96" s="21">
        <v>36</v>
      </c>
    </row>
    <row r="97" spans="2:8">
      <c r="B97" s="32">
        <v>41000</v>
      </c>
      <c r="C97" s="33">
        <v>36</v>
      </c>
      <c r="D97" s="33">
        <v>0</v>
      </c>
      <c r="E97" s="33">
        <v>0</v>
      </c>
      <c r="F97" s="33">
        <v>5</v>
      </c>
      <c r="G97" s="33">
        <v>4</v>
      </c>
      <c r="H97" s="21">
        <v>30</v>
      </c>
    </row>
    <row r="98" spans="2:8">
      <c r="B98" s="32">
        <v>41001</v>
      </c>
      <c r="C98" s="33">
        <v>45</v>
      </c>
      <c r="D98" s="33">
        <v>0</v>
      </c>
      <c r="E98" s="33">
        <v>0</v>
      </c>
      <c r="F98" s="33">
        <v>2</v>
      </c>
      <c r="G98" s="33">
        <v>3</v>
      </c>
      <c r="H98" s="21">
        <v>12</v>
      </c>
    </row>
    <row r="99" spans="2:8">
      <c r="B99" s="32">
        <v>41002</v>
      </c>
      <c r="C99" s="33">
        <v>36</v>
      </c>
      <c r="D99" s="33">
        <v>0</v>
      </c>
      <c r="E99" s="33">
        <v>0</v>
      </c>
      <c r="F99" s="33">
        <v>2</v>
      </c>
      <c r="G99" s="33">
        <v>1</v>
      </c>
      <c r="H99" s="21">
        <v>6</v>
      </c>
    </row>
    <row r="100" spans="2:8">
      <c r="B100" s="32">
        <v>41003</v>
      </c>
      <c r="C100" s="33">
        <v>32</v>
      </c>
      <c r="D100" s="33">
        <v>0</v>
      </c>
      <c r="E100" s="33">
        <v>0</v>
      </c>
      <c r="F100" s="33">
        <v>1</v>
      </c>
      <c r="G100" s="33">
        <v>1</v>
      </c>
      <c r="H100" s="21">
        <v>4</v>
      </c>
    </row>
    <row r="101" spans="2:8">
      <c r="B101" s="32">
        <v>41004</v>
      </c>
      <c r="C101" s="33">
        <v>43</v>
      </c>
      <c r="D101" s="33">
        <v>0</v>
      </c>
      <c r="E101" s="33">
        <v>0</v>
      </c>
      <c r="F101" s="33">
        <v>1</v>
      </c>
      <c r="G101" s="33">
        <v>0</v>
      </c>
      <c r="H101" s="21">
        <v>2</v>
      </c>
    </row>
    <row r="102" spans="2:8">
      <c r="B102" s="32">
        <v>41005</v>
      </c>
      <c r="C102" s="33">
        <v>36</v>
      </c>
      <c r="D102" s="33">
        <v>0</v>
      </c>
      <c r="E102" s="33">
        <v>0</v>
      </c>
      <c r="F102" s="33">
        <v>0</v>
      </c>
      <c r="G102" s="33">
        <v>0</v>
      </c>
      <c r="H102" s="21">
        <v>1</v>
      </c>
    </row>
    <row r="103" spans="2:8">
      <c r="B103" s="32">
        <v>41006</v>
      </c>
      <c r="C103" s="33">
        <v>39</v>
      </c>
      <c r="D103" s="33">
        <v>0</v>
      </c>
      <c r="E103" s="33">
        <v>0</v>
      </c>
      <c r="F103" s="33">
        <v>4</v>
      </c>
      <c r="G103" s="33">
        <v>3</v>
      </c>
      <c r="H103" s="21">
        <v>20</v>
      </c>
    </row>
    <row r="104" spans="2:8">
      <c r="B104" s="32">
        <v>41007</v>
      </c>
      <c r="C104" s="33">
        <v>33</v>
      </c>
      <c r="D104" s="33">
        <v>0</v>
      </c>
      <c r="E104" s="33">
        <v>0</v>
      </c>
      <c r="F104" s="33">
        <v>2</v>
      </c>
      <c r="G104" s="33">
        <v>2</v>
      </c>
      <c r="H104" s="21">
        <v>9</v>
      </c>
    </row>
    <row r="105" spans="2:8">
      <c r="B105" s="32">
        <v>41008</v>
      </c>
      <c r="C105" s="33">
        <v>33</v>
      </c>
      <c r="D105" s="33">
        <v>0</v>
      </c>
      <c r="E105" s="33">
        <v>0</v>
      </c>
      <c r="F105" s="33">
        <v>0</v>
      </c>
      <c r="G105" s="33">
        <v>0</v>
      </c>
      <c r="H105" s="21">
        <v>1</v>
      </c>
    </row>
    <row r="106" spans="2:8">
      <c r="B106" s="32">
        <v>41009</v>
      </c>
      <c r="C106" s="33">
        <v>32</v>
      </c>
      <c r="D106" s="33">
        <v>0</v>
      </c>
      <c r="E106" s="33">
        <v>0</v>
      </c>
      <c r="F106" s="33">
        <v>0</v>
      </c>
      <c r="G106" s="33">
        <v>0</v>
      </c>
      <c r="H106" s="21">
        <v>1</v>
      </c>
    </row>
    <row r="107" spans="2:8">
      <c r="B107" s="32">
        <v>41010</v>
      </c>
      <c r="C107" s="33">
        <v>20</v>
      </c>
      <c r="D107" s="33">
        <v>0</v>
      </c>
      <c r="E107" s="33">
        <v>0</v>
      </c>
      <c r="F107" s="33">
        <v>0</v>
      </c>
      <c r="G107" s="33">
        <v>0</v>
      </c>
      <c r="H107" s="21">
        <v>1</v>
      </c>
    </row>
    <row r="108" spans="2:8">
      <c r="B108" s="32">
        <v>41011</v>
      </c>
      <c r="C108" s="33">
        <v>25</v>
      </c>
      <c r="D108" s="33">
        <v>0</v>
      </c>
      <c r="E108" s="33">
        <v>0</v>
      </c>
      <c r="F108" s="33">
        <v>0</v>
      </c>
      <c r="G108" s="33">
        <v>0</v>
      </c>
      <c r="H108" s="21">
        <v>1</v>
      </c>
    </row>
    <row r="109" spans="2:8">
      <c r="B109" s="32">
        <v>41012</v>
      </c>
      <c r="C109" s="33">
        <v>34</v>
      </c>
      <c r="D109" s="33">
        <v>0</v>
      </c>
      <c r="E109" s="33">
        <v>0</v>
      </c>
      <c r="F109" s="33">
        <v>0</v>
      </c>
      <c r="G109" s="33">
        <v>0</v>
      </c>
      <c r="H109" s="21">
        <v>1</v>
      </c>
    </row>
    <row r="110" spans="2:8">
      <c r="B110" s="32">
        <v>41013</v>
      </c>
      <c r="C110" s="33">
        <v>43</v>
      </c>
      <c r="D110" s="33">
        <v>0</v>
      </c>
      <c r="E110" s="33">
        <v>0</v>
      </c>
      <c r="F110" s="33">
        <v>2</v>
      </c>
      <c r="G110" s="33">
        <v>2</v>
      </c>
      <c r="H110" s="21">
        <v>9</v>
      </c>
    </row>
    <row r="111" spans="2:8">
      <c r="B111" s="32">
        <v>41014</v>
      </c>
      <c r="C111" s="33">
        <v>40</v>
      </c>
      <c r="D111" s="33">
        <v>0</v>
      </c>
      <c r="E111" s="33">
        <v>0</v>
      </c>
      <c r="F111" s="33">
        <v>1</v>
      </c>
      <c r="G111" s="33">
        <v>2</v>
      </c>
      <c r="H111" s="21">
        <v>6</v>
      </c>
    </row>
    <row r="112" spans="2:8">
      <c r="B112" s="32">
        <v>41015</v>
      </c>
      <c r="C112" s="33">
        <v>27</v>
      </c>
      <c r="D112" s="33">
        <v>0</v>
      </c>
      <c r="E112" s="33">
        <v>0</v>
      </c>
      <c r="F112" s="33">
        <v>0</v>
      </c>
      <c r="G112" s="33">
        <v>0</v>
      </c>
      <c r="H112" s="21">
        <v>1</v>
      </c>
    </row>
    <row r="113" spans="2:8">
      <c r="B113" s="32">
        <v>41016</v>
      </c>
      <c r="C113" s="33">
        <v>21</v>
      </c>
      <c r="D113" s="33">
        <v>0</v>
      </c>
      <c r="E113" s="33">
        <v>0</v>
      </c>
      <c r="F113" s="33">
        <v>0</v>
      </c>
      <c r="G113" s="33">
        <v>0</v>
      </c>
      <c r="H113" s="21">
        <v>1</v>
      </c>
    </row>
    <row r="114" spans="2:8">
      <c r="B114" s="32">
        <v>41017</v>
      </c>
      <c r="C114" s="33">
        <v>21</v>
      </c>
      <c r="D114" s="33">
        <v>0</v>
      </c>
      <c r="E114" s="33">
        <v>0</v>
      </c>
      <c r="F114" s="33">
        <v>0</v>
      </c>
      <c r="G114" s="33">
        <v>0</v>
      </c>
      <c r="H114" s="21">
        <v>1</v>
      </c>
    </row>
    <row r="115" spans="2:8">
      <c r="B115" s="32">
        <v>41018</v>
      </c>
      <c r="C115" s="33">
        <v>21</v>
      </c>
      <c r="D115" s="33">
        <v>0</v>
      </c>
      <c r="E115" s="33">
        <v>0</v>
      </c>
      <c r="F115" s="33">
        <v>0</v>
      </c>
      <c r="G115" s="33">
        <v>0</v>
      </c>
      <c r="H115" s="21">
        <v>1</v>
      </c>
    </row>
    <row r="116" spans="2:8">
      <c r="B116" s="32">
        <v>41019</v>
      </c>
      <c r="C116" s="33">
        <v>25</v>
      </c>
      <c r="D116" s="33">
        <v>0</v>
      </c>
      <c r="E116" s="33">
        <v>0</v>
      </c>
      <c r="F116" s="33">
        <v>0</v>
      </c>
      <c r="G116" s="33">
        <v>0</v>
      </c>
      <c r="H116" s="21">
        <v>1</v>
      </c>
    </row>
    <row r="117" spans="2:8">
      <c r="B117" s="32">
        <v>41020</v>
      </c>
      <c r="C117" s="33">
        <v>29</v>
      </c>
      <c r="D117" s="33">
        <v>0</v>
      </c>
      <c r="E117" s="33">
        <v>0</v>
      </c>
      <c r="F117" s="33">
        <v>2</v>
      </c>
      <c r="G117" s="33">
        <v>2</v>
      </c>
      <c r="H117" s="21">
        <v>9</v>
      </c>
    </row>
    <row r="118" spans="2:8">
      <c r="B118" s="32">
        <v>41021</v>
      </c>
      <c r="C118" s="33">
        <v>28</v>
      </c>
      <c r="D118" s="33">
        <v>0</v>
      </c>
      <c r="E118" s="33">
        <v>0</v>
      </c>
      <c r="F118" s="33">
        <v>1</v>
      </c>
      <c r="G118" s="33">
        <v>1</v>
      </c>
      <c r="H118" s="21">
        <v>4</v>
      </c>
    </row>
    <row r="119" spans="2:8">
      <c r="B119" s="32">
        <v>41022</v>
      </c>
      <c r="C119" s="33">
        <v>32</v>
      </c>
      <c r="D119" s="33">
        <v>0</v>
      </c>
      <c r="E119" s="33">
        <v>0</v>
      </c>
      <c r="F119" s="33">
        <v>1</v>
      </c>
      <c r="G119" s="33">
        <v>0</v>
      </c>
      <c r="H119" s="21">
        <v>2</v>
      </c>
    </row>
    <row r="120" spans="2:8">
      <c r="B120" s="32">
        <v>41023</v>
      </c>
      <c r="C120" s="33">
        <v>27</v>
      </c>
      <c r="D120" s="33">
        <v>0</v>
      </c>
      <c r="E120" s="33">
        <v>0</v>
      </c>
      <c r="F120" s="33">
        <v>0</v>
      </c>
      <c r="G120" s="33">
        <v>0</v>
      </c>
      <c r="H120" s="21">
        <v>1</v>
      </c>
    </row>
    <row r="121" spans="2:8">
      <c r="B121" s="32">
        <v>41024</v>
      </c>
      <c r="C121" s="33">
        <v>35</v>
      </c>
      <c r="D121" s="33">
        <v>0</v>
      </c>
      <c r="E121" s="33">
        <v>0</v>
      </c>
      <c r="F121" s="33">
        <v>0</v>
      </c>
      <c r="G121" s="33">
        <v>0</v>
      </c>
      <c r="H121" s="21">
        <v>1</v>
      </c>
    </row>
    <row r="122" spans="2:8">
      <c r="B122" s="32">
        <v>41025</v>
      </c>
      <c r="C122" s="33">
        <v>29</v>
      </c>
      <c r="D122" s="33">
        <v>0</v>
      </c>
      <c r="E122" s="33">
        <v>0</v>
      </c>
      <c r="F122" s="33">
        <v>0</v>
      </c>
      <c r="G122" s="33">
        <v>0</v>
      </c>
      <c r="H122" s="21">
        <v>1</v>
      </c>
    </row>
    <row r="123" spans="2:8">
      <c r="B123" s="32">
        <v>41026</v>
      </c>
      <c r="C123" s="33">
        <v>32</v>
      </c>
      <c r="D123" s="33">
        <v>0</v>
      </c>
      <c r="E123" s="33">
        <v>0</v>
      </c>
      <c r="F123" s="33">
        <v>1</v>
      </c>
      <c r="G123" s="33">
        <v>1</v>
      </c>
      <c r="H123" s="21">
        <v>4</v>
      </c>
    </row>
    <row r="124" spans="2:8">
      <c r="B124" s="32">
        <v>41027</v>
      </c>
      <c r="C124" s="33">
        <v>43</v>
      </c>
      <c r="D124" s="33">
        <v>0</v>
      </c>
      <c r="E124" s="33">
        <v>0</v>
      </c>
      <c r="F124" s="33">
        <v>2</v>
      </c>
      <c r="G124" s="33">
        <v>2</v>
      </c>
      <c r="H124" s="21">
        <v>9</v>
      </c>
    </row>
    <row r="125" spans="2:8">
      <c r="B125" s="32">
        <v>41028</v>
      </c>
      <c r="C125" s="33">
        <v>54</v>
      </c>
      <c r="D125" s="33">
        <v>0</v>
      </c>
      <c r="E125" s="33">
        <v>0</v>
      </c>
      <c r="F125" s="33">
        <v>3</v>
      </c>
      <c r="G125" s="33">
        <v>2</v>
      </c>
      <c r="H125" s="21">
        <v>12</v>
      </c>
    </row>
    <row r="126" spans="2:8">
      <c r="B126" s="32">
        <v>41029</v>
      </c>
      <c r="C126" s="33">
        <v>39</v>
      </c>
      <c r="D126" s="33">
        <v>0</v>
      </c>
      <c r="E126" s="33">
        <v>0</v>
      </c>
      <c r="F126" s="33">
        <v>2</v>
      </c>
      <c r="G126" s="33">
        <v>1</v>
      </c>
      <c r="H126" s="21">
        <v>6</v>
      </c>
    </row>
    <row r="127" spans="2:8">
      <c r="B127" s="32">
        <v>41030</v>
      </c>
      <c r="C127" s="33">
        <v>31</v>
      </c>
      <c r="D127" s="33">
        <v>0</v>
      </c>
      <c r="E127" s="33">
        <v>0</v>
      </c>
      <c r="F127" s="33">
        <v>0</v>
      </c>
      <c r="G127" s="33">
        <v>0</v>
      </c>
      <c r="H127" s="21">
        <v>1</v>
      </c>
    </row>
    <row r="128" spans="2:8">
      <c r="B128" s="32">
        <v>41031</v>
      </c>
      <c r="C128" s="33">
        <v>30</v>
      </c>
      <c r="D128" s="33">
        <v>0</v>
      </c>
      <c r="E128" s="33">
        <v>0</v>
      </c>
      <c r="F128" s="33">
        <v>0</v>
      </c>
      <c r="G128" s="33">
        <v>0</v>
      </c>
      <c r="H128" s="21">
        <v>1</v>
      </c>
    </row>
    <row r="129" spans="2:8">
      <c r="B129" s="32">
        <v>41032</v>
      </c>
      <c r="C129" s="33">
        <v>27</v>
      </c>
      <c r="D129" s="33">
        <v>0</v>
      </c>
      <c r="E129" s="33">
        <v>0</v>
      </c>
      <c r="F129" s="33">
        <v>1</v>
      </c>
      <c r="G129" s="33">
        <v>1</v>
      </c>
      <c r="H129" s="21">
        <v>4</v>
      </c>
    </row>
    <row r="130" spans="2:8">
      <c r="B130" s="32">
        <v>41033</v>
      </c>
      <c r="C130" s="33">
        <v>27</v>
      </c>
      <c r="D130" s="33">
        <v>0</v>
      </c>
      <c r="E130" s="33">
        <v>0</v>
      </c>
      <c r="F130" s="33">
        <v>2</v>
      </c>
      <c r="G130" s="33">
        <v>2</v>
      </c>
      <c r="H130" s="21">
        <v>9</v>
      </c>
    </row>
    <row r="131" spans="2:8">
      <c r="B131" s="32">
        <v>41034</v>
      </c>
      <c r="C131" s="33">
        <v>16</v>
      </c>
      <c r="D131" s="33">
        <v>0</v>
      </c>
      <c r="E131" s="33">
        <v>0</v>
      </c>
      <c r="F131" s="33">
        <v>1</v>
      </c>
      <c r="G131" s="33">
        <v>0</v>
      </c>
      <c r="H131" s="21">
        <v>2</v>
      </c>
    </row>
    <row r="132" spans="2:8">
      <c r="B132" s="32">
        <v>41035</v>
      </c>
      <c r="C132" s="33">
        <v>12</v>
      </c>
      <c r="D132" s="33">
        <v>0</v>
      </c>
      <c r="E132" s="33">
        <v>0</v>
      </c>
      <c r="F132" s="33">
        <v>0</v>
      </c>
      <c r="G132" s="33">
        <v>0</v>
      </c>
      <c r="H132" s="21">
        <v>1</v>
      </c>
    </row>
    <row r="133" spans="2:8">
      <c r="B133" s="32">
        <v>41036</v>
      </c>
      <c r="C133" s="33">
        <v>21</v>
      </c>
      <c r="D133" s="33">
        <v>0</v>
      </c>
      <c r="E133" s="33">
        <v>0</v>
      </c>
      <c r="F133" s="33">
        <v>0</v>
      </c>
      <c r="G133" s="33">
        <v>0</v>
      </c>
      <c r="H133" s="21">
        <v>1</v>
      </c>
    </row>
    <row r="134" spans="2:8">
      <c r="B134" s="32">
        <v>41037</v>
      </c>
      <c r="C134" s="33">
        <v>22</v>
      </c>
      <c r="D134" s="33">
        <v>0</v>
      </c>
      <c r="E134" s="33">
        <v>0</v>
      </c>
      <c r="F134" s="33">
        <v>0</v>
      </c>
      <c r="G134" s="33">
        <v>0</v>
      </c>
      <c r="H134" s="21">
        <v>1</v>
      </c>
    </row>
    <row r="135" spans="2:8">
      <c r="B135" s="32">
        <v>41038</v>
      </c>
      <c r="C135" s="33">
        <v>19</v>
      </c>
      <c r="D135" s="33">
        <v>0</v>
      </c>
      <c r="E135" s="33">
        <v>0</v>
      </c>
      <c r="F135" s="33">
        <v>0</v>
      </c>
      <c r="G135" s="33">
        <v>0</v>
      </c>
      <c r="H135" s="21">
        <v>1</v>
      </c>
    </row>
    <row r="136" spans="2:8">
      <c r="B136" s="32">
        <v>41039</v>
      </c>
      <c r="C136" s="33">
        <v>16</v>
      </c>
      <c r="D136" s="33">
        <v>0</v>
      </c>
      <c r="E136" s="33">
        <v>0</v>
      </c>
      <c r="F136" s="33">
        <v>0</v>
      </c>
      <c r="G136" s="33">
        <v>0</v>
      </c>
      <c r="H136" s="21">
        <v>1</v>
      </c>
    </row>
    <row r="137" spans="2:8">
      <c r="B137" s="32">
        <v>41040</v>
      </c>
      <c r="C137" s="33">
        <v>19</v>
      </c>
      <c r="D137" s="33">
        <v>0</v>
      </c>
      <c r="E137" s="33">
        <v>0</v>
      </c>
      <c r="F137" s="33">
        <v>0</v>
      </c>
      <c r="G137" s="33">
        <v>0</v>
      </c>
      <c r="H137" s="21">
        <v>1</v>
      </c>
    </row>
    <row r="138" spans="2:8">
      <c r="B138" s="32">
        <v>41041</v>
      </c>
      <c r="C138" s="33">
        <v>32</v>
      </c>
      <c r="D138" s="33">
        <v>0</v>
      </c>
      <c r="E138" s="33">
        <v>0</v>
      </c>
      <c r="F138" s="33">
        <v>1</v>
      </c>
      <c r="G138" s="33">
        <v>1</v>
      </c>
      <c r="H138" s="21">
        <v>4</v>
      </c>
    </row>
    <row r="139" spans="2:8">
      <c r="B139" s="32">
        <v>41042</v>
      </c>
      <c r="C139" s="33">
        <v>26</v>
      </c>
      <c r="D139" s="33">
        <v>0</v>
      </c>
      <c r="E139" s="33">
        <v>0</v>
      </c>
      <c r="F139" s="33">
        <v>1</v>
      </c>
      <c r="G139" s="33">
        <v>0</v>
      </c>
      <c r="H139" s="21">
        <v>2</v>
      </c>
    </row>
    <row r="140" spans="2:8">
      <c r="B140" s="32">
        <v>41043</v>
      </c>
      <c r="C140" s="33">
        <v>22</v>
      </c>
      <c r="D140" s="33">
        <v>0</v>
      </c>
      <c r="E140" s="33">
        <v>0</v>
      </c>
      <c r="F140" s="33">
        <v>0</v>
      </c>
      <c r="G140" s="33">
        <v>0</v>
      </c>
      <c r="H140" s="21">
        <v>1</v>
      </c>
    </row>
    <row r="141" spans="2:8">
      <c r="B141" s="32">
        <v>41044</v>
      </c>
      <c r="C141" s="33">
        <v>21</v>
      </c>
      <c r="D141" s="33">
        <v>0</v>
      </c>
      <c r="E141" s="33">
        <v>0</v>
      </c>
      <c r="F141" s="33">
        <v>0</v>
      </c>
      <c r="G141" s="33">
        <v>0</v>
      </c>
      <c r="H141" s="21">
        <v>1</v>
      </c>
    </row>
    <row r="142" spans="2:8">
      <c r="B142" s="32">
        <v>41045</v>
      </c>
      <c r="C142" s="33">
        <v>11</v>
      </c>
      <c r="D142" s="33">
        <v>0</v>
      </c>
      <c r="E142" s="33">
        <v>0</v>
      </c>
      <c r="F142" s="33">
        <v>0</v>
      </c>
      <c r="G142" s="33">
        <v>0</v>
      </c>
      <c r="H142" s="21">
        <v>1</v>
      </c>
    </row>
    <row r="143" spans="2:8">
      <c r="B143" s="32">
        <v>41046</v>
      </c>
      <c r="C143" s="33">
        <v>14</v>
      </c>
      <c r="D143" s="33">
        <v>0</v>
      </c>
      <c r="E143" s="33">
        <v>0</v>
      </c>
      <c r="F143" s="33">
        <v>0</v>
      </c>
      <c r="G143" s="33">
        <v>0</v>
      </c>
      <c r="H143" s="21">
        <v>1</v>
      </c>
    </row>
    <row r="144" spans="2:8">
      <c r="B144" s="32">
        <v>41047</v>
      </c>
      <c r="C144" s="33">
        <v>19</v>
      </c>
      <c r="D144" s="33">
        <v>0</v>
      </c>
      <c r="E144" s="33">
        <v>0</v>
      </c>
      <c r="F144" s="33">
        <v>0</v>
      </c>
      <c r="G144" s="33">
        <v>0</v>
      </c>
      <c r="H144" s="21">
        <v>1</v>
      </c>
    </row>
    <row r="145" spans="2:8">
      <c r="B145" s="32">
        <v>41048</v>
      </c>
      <c r="C145" s="33">
        <v>33</v>
      </c>
      <c r="D145" s="33">
        <v>0</v>
      </c>
      <c r="E145" s="33">
        <v>0</v>
      </c>
      <c r="F145" s="33">
        <v>1</v>
      </c>
      <c r="G145" s="33">
        <v>1</v>
      </c>
      <c r="H145" s="21">
        <v>4</v>
      </c>
    </row>
    <row r="146" spans="2:8">
      <c r="B146" s="32">
        <v>41049</v>
      </c>
      <c r="C146" s="33">
        <v>25</v>
      </c>
      <c r="D146" s="33">
        <v>0</v>
      </c>
      <c r="E146" s="33">
        <v>0</v>
      </c>
      <c r="F146" s="33">
        <v>1</v>
      </c>
      <c r="G146" s="33">
        <v>0</v>
      </c>
      <c r="H146" s="21">
        <v>2</v>
      </c>
    </row>
    <row r="147" spans="2:8">
      <c r="B147" s="32">
        <v>41050</v>
      </c>
      <c r="C147" s="33">
        <v>15</v>
      </c>
      <c r="D147" s="33">
        <v>0</v>
      </c>
      <c r="E147" s="33">
        <v>0</v>
      </c>
      <c r="F147" s="33">
        <v>0</v>
      </c>
      <c r="G147" s="33">
        <v>0</v>
      </c>
      <c r="H147" s="21">
        <v>1</v>
      </c>
    </row>
    <row r="148" spans="2:8">
      <c r="B148" s="32">
        <v>41051</v>
      </c>
      <c r="C148" s="33">
        <v>21</v>
      </c>
      <c r="D148" s="33">
        <v>0</v>
      </c>
      <c r="E148" s="33">
        <v>0</v>
      </c>
      <c r="F148" s="33">
        <v>0</v>
      </c>
      <c r="G148" s="33">
        <v>0</v>
      </c>
      <c r="H148" s="21">
        <v>1</v>
      </c>
    </row>
    <row r="149" spans="2:8">
      <c r="B149" s="32">
        <v>41052</v>
      </c>
      <c r="C149" s="33">
        <v>19</v>
      </c>
      <c r="D149" s="33">
        <v>0</v>
      </c>
      <c r="E149" s="33">
        <v>0</v>
      </c>
      <c r="F149" s="33">
        <v>0</v>
      </c>
      <c r="G149" s="33">
        <v>0</v>
      </c>
      <c r="H149" s="21">
        <v>1</v>
      </c>
    </row>
    <row r="150" spans="2:8">
      <c r="B150" s="32">
        <v>41053</v>
      </c>
      <c r="C150" s="33">
        <v>23</v>
      </c>
      <c r="D150" s="33">
        <v>0</v>
      </c>
      <c r="E150" s="33">
        <v>0</v>
      </c>
      <c r="F150" s="33">
        <v>0</v>
      </c>
      <c r="G150" s="33">
        <v>0</v>
      </c>
      <c r="H150" s="21">
        <v>1</v>
      </c>
    </row>
    <row r="151" spans="2:8">
      <c r="B151" s="32">
        <v>41054</v>
      </c>
      <c r="C151" s="33">
        <v>32</v>
      </c>
      <c r="D151" s="33">
        <v>0</v>
      </c>
      <c r="E151" s="33">
        <v>0</v>
      </c>
      <c r="F151" s="33">
        <v>1</v>
      </c>
      <c r="G151" s="33">
        <v>0</v>
      </c>
      <c r="H151" s="21">
        <v>2</v>
      </c>
    </row>
    <row r="152" spans="2:8">
      <c r="B152" s="32">
        <v>41055</v>
      </c>
      <c r="C152" s="33">
        <v>39</v>
      </c>
      <c r="D152" s="33">
        <v>0</v>
      </c>
      <c r="E152" s="33">
        <v>0</v>
      </c>
      <c r="F152" s="33">
        <v>2</v>
      </c>
      <c r="G152" s="33">
        <v>1</v>
      </c>
      <c r="H152" s="21">
        <v>6</v>
      </c>
    </row>
    <row r="153" spans="2:8">
      <c r="B153" s="32">
        <v>41056</v>
      </c>
      <c r="C153" s="33">
        <v>32</v>
      </c>
      <c r="D153" s="33">
        <v>0</v>
      </c>
      <c r="E153" s="33">
        <v>0</v>
      </c>
      <c r="F153" s="33">
        <v>1</v>
      </c>
      <c r="G153" s="33">
        <v>1</v>
      </c>
      <c r="H153" s="21">
        <v>4</v>
      </c>
    </row>
    <row r="154" spans="2:8">
      <c r="B154" s="32">
        <v>41057</v>
      </c>
      <c r="C154" s="33">
        <v>30</v>
      </c>
      <c r="D154" s="33">
        <v>0</v>
      </c>
      <c r="E154" s="33">
        <v>0</v>
      </c>
      <c r="F154" s="33">
        <v>1</v>
      </c>
      <c r="G154" s="33">
        <v>0</v>
      </c>
      <c r="H154" s="21">
        <v>2</v>
      </c>
    </row>
    <row r="155" spans="2:8">
      <c r="B155" s="32">
        <v>41058</v>
      </c>
      <c r="C155" s="33">
        <v>33</v>
      </c>
      <c r="D155" s="33">
        <v>0</v>
      </c>
      <c r="E155" s="33">
        <v>0</v>
      </c>
      <c r="F155" s="33">
        <v>0</v>
      </c>
      <c r="G155" s="33">
        <v>0</v>
      </c>
      <c r="H155" s="21">
        <v>1</v>
      </c>
    </row>
    <row r="156" spans="2:8">
      <c r="B156" s="32">
        <v>41059</v>
      </c>
      <c r="C156" s="33">
        <v>27</v>
      </c>
      <c r="D156" s="33">
        <v>0</v>
      </c>
      <c r="E156" s="33">
        <v>0</v>
      </c>
      <c r="F156" s="33">
        <v>1</v>
      </c>
      <c r="G156" s="33">
        <v>0</v>
      </c>
      <c r="H156" s="21">
        <v>2</v>
      </c>
    </row>
    <row r="157" spans="2:8">
      <c r="B157" s="32">
        <v>41060</v>
      </c>
      <c r="C157" s="33">
        <v>35</v>
      </c>
      <c r="D157" s="33">
        <v>0</v>
      </c>
      <c r="E157" s="33">
        <v>0</v>
      </c>
      <c r="F157" s="33">
        <v>1</v>
      </c>
      <c r="G157" s="33">
        <v>1</v>
      </c>
      <c r="H157" s="21">
        <v>4</v>
      </c>
    </row>
    <row r="158" spans="2:8">
      <c r="B158" s="32">
        <v>41061</v>
      </c>
      <c r="C158" s="33">
        <v>30</v>
      </c>
      <c r="D158" s="33">
        <v>0</v>
      </c>
      <c r="E158" s="33">
        <v>0</v>
      </c>
      <c r="F158" s="33">
        <v>0</v>
      </c>
      <c r="G158" s="33">
        <v>0</v>
      </c>
      <c r="H158" s="21">
        <v>1</v>
      </c>
    </row>
    <row r="159" spans="2:8">
      <c r="B159" s="32">
        <v>41062</v>
      </c>
      <c r="C159" s="33">
        <v>36</v>
      </c>
      <c r="D159" s="33">
        <v>0</v>
      </c>
      <c r="E159" s="33">
        <v>0</v>
      </c>
      <c r="F159" s="33">
        <v>1</v>
      </c>
      <c r="G159" s="33">
        <v>1</v>
      </c>
      <c r="H159" s="21">
        <v>4</v>
      </c>
    </row>
    <row r="160" spans="2:8">
      <c r="B160" s="32">
        <v>41063</v>
      </c>
      <c r="C160" s="33">
        <v>28</v>
      </c>
      <c r="D160" s="33">
        <v>0</v>
      </c>
      <c r="E160" s="33">
        <v>0</v>
      </c>
      <c r="F160" s="33">
        <v>1</v>
      </c>
      <c r="G160" s="33">
        <v>1</v>
      </c>
      <c r="H160" s="21">
        <v>4</v>
      </c>
    </row>
    <row r="161" spans="2:8">
      <c r="B161" s="32">
        <v>41064</v>
      </c>
      <c r="C161" s="33">
        <v>22</v>
      </c>
      <c r="D161" s="33">
        <v>0</v>
      </c>
      <c r="E161" s="33">
        <v>0</v>
      </c>
      <c r="F161" s="33">
        <v>0</v>
      </c>
      <c r="G161" s="33">
        <v>0</v>
      </c>
      <c r="H161" s="21">
        <v>1</v>
      </c>
    </row>
    <row r="162" spans="2:8">
      <c r="B162" s="32">
        <v>41065</v>
      </c>
      <c r="C162" s="33">
        <v>23</v>
      </c>
      <c r="D162" s="33">
        <v>0</v>
      </c>
      <c r="E162" s="33">
        <v>0</v>
      </c>
      <c r="F162" s="33">
        <v>0</v>
      </c>
      <c r="G162" s="33">
        <v>0</v>
      </c>
      <c r="H162" s="21">
        <v>1</v>
      </c>
    </row>
    <row r="163" spans="2:8">
      <c r="B163" s="32">
        <v>41066</v>
      </c>
      <c r="C163" s="33">
        <v>13</v>
      </c>
      <c r="D163" s="33">
        <v>0</v>
      </c>
      <c r="E163" s="33">
        <v>0</v>
      </c>
      <c r="F163" s="33">
        <v>0</v>
      </c>
      <c r="G163" s="33">
        <v>0</v>
      </c>
      <c r="H163" s="21">
        <v>1</v>
      </c>
    </row>
    <row r="164" spans="2:8">
      <c r="B164" s="32">
        <v>41067</v>
      </c>
      <c r="C164" s="33">
        <v>13</v>
      </c>
      <c r="D164" s="33">
        <v>0</v>
      </c>
      <c r="E164" s="33">
        <v>0</v>
      </c>
      <c r="F164" s="33">
        <v>0</v>
      </c>
      <c r="G164" s="33">
        <v>0</v>
      </c>
      <c r="H164" s="21">
        <v>1</v>
      </c>
    </row>
    <row r="165" spans="2:8">
      <c r="B165" s="32">
        <v>41068</v>
      </c>
      <c r="C165" s="33">
        <v>12</v>
      </c>
      <c r="D165" s="33">
        <v>0</v>
      </c>
      <c r="E165" s="33">
        <v>0</v>
      </c>
      <c r="F165" s="33">
        <v>0</v>
      </c>
      <c r="G165" s="33">
        <v>0</v>
      </c>
      <c r="H165" s="21">
        <v>1</v>
      </c>
    </row>
    <row r="166" spans="2:8">
      <c r="B166" s="32">
        <v>41069</v>
      </c>
      <c r="C166" s="33">
        <v>38</v>
      </c>
      <c r="D166" s="33">
        <v>0</v>
      </c>
      <c r="E166" s="33">
        <v>0</v>
      </c>
      <c r="F166" s="33">
        <v>1</v>
      </c>
      <c r="G166" s="33">
        <v>1</v>
      </c>
      <c r="H166" s="21">
        <v>4</v>
      </c>
    </row>
    <row r="167" spans="2:8">
      <c r="B167" s="32">
        <v>41070</v>
      </c>
      <c r="C167" s="33">
        <v>17</v>
      </c>
      <c r="D167" s="33">
        <v>0</v>
      </c>
      <c r="E167" s="33">
        <v>0</v>
      </c>
      <c r="F167" s="33">
        <v>1</v>
      </c>
      <c r="G167" s="33">
        <v>0</v>
      </c>
      <c r="H167" s="21">
        <v>2</v>
      </c>
    </row>
    <row r="168" spans="2:8">
      <c r="B168" s="32">
        <v>41071</v>
      </c>
      <c r="C168" s="33">
        <v>22</v>
      </c>
      <c r="D168" s="33">
        <v>0</v>
      </c>
      <c r="E168" s="33">
        <v>0</v>
      </c>
      <c r="F168" s="33">
        <v>0</v>
      </c>
      <c r="G168" s="33">
        <v>0</v>
      </c>
      <c r="H168" s="21">
        <v>1</v>
      </c>
    </row>
    <row r="169" spans="2:8">
      <c r="B169" s="32">
        <v>41072</v>
      </c>
      <c r="C169" s="33">
        <v>12</v>
      </c>
      <c r="D169" s="33">
        <v>0</v>
      </c>
      <c r="E169" s="33">
        <v>0</v>
      </c>
      <c r="F169" s="33">
        <v>0</v>
      </c>
      <c r="G169" s="33">
        <v>0</v>
      </c>
      <c r="H169" s="21">
        <v>1</v>
      </c>
    </row>
    <row r="170" spans="2:8">
      <c r="B170" s="32">
        <v>41073</v>
      </c>
      <c r="C170" s="33">
        <v>22</v>
      </c>
      <c r="D170" s="33">
        <v>0</v>
      </c>
      <c r="E170" s="33">
        <v>0</v>
      </c>
      <c r="F170" s="33">
        <v>0</v>
      </c>
      <c r="G170" s="33">
        <v>0</v>
      </c>
      <c r="H170" s="21">
        <v>1</v>
      </c>
    </row>
    <row r="171" spans="2:8">
      <c r="B171" s="32">
        <v>41074</v>
      </c>
      <c r="C171" s="33">
        <v>20</v>
      </c>
      <c r="D171" s="33">
        <v>0</v>
      </c>
      <c r="E171" s="33">
        <v>0</v>
      </c>
      <c r="F171" s="33">
        <v>0</v>
      </c>
      <c r="G171" s="33">
        <v>0</v>
      </c>
      <c r="H171" s="21">
        <v>1</v>
      </c>
    </row>
    <row r="172" spans="2:8">
      <c r="B172" s="32">
        <v>41075</v>
      </c>
      <c r="C172" s="33">
        <v>20</v>
      </c>
      <c r="D172" s="33">
        <v>0</v>
      </c>
      <c r="E172" s="33">
        <v>0</v>
      </c>
      <c r="F172" s="33">
        <v>0</v>
      </c>
      <c r="G172" s="33">
        <v>0</v>
      </c>
      <c r="H172" s="21">
        <v>1</v>
      </c>
    </row>
    <row r="173" spans="2:8">
      <c r="B173" s="32">
        <v>41076</v>
      </c>
      <c r="C173" s="33">
        <v>42</v>
      </c>
      <c r="D173" s="33">
        <v>0</v>
      </c>
      <c r="E173" s="33">
        <v>0</v>
      </c>
      <c r="F173" s="33">
        <v>1</v>
      </c>
      <c r="G173" s="33">
        <v>1</v>
      </c>
      <c r="H173" s="21">
        <v>4</v>
      </c>
    </row>
    <row r="174" spans="2:8">
      <c r="B174" s="32">
        <v>41077</v>
      </c>
      <c r="C174" s="33">
        <v>22</v>
      </c>
      <c r="D174" s="33">
        <v>0</v>
      </c>
      <c r="E174" s="33">
        <v>0</v>
      </c>
      <c r="F174" s="33">
        <v>1</v>
      </c>
      <c r="G174" s="33">
        <v>0</v>
      </c>
      <c r="H174" s="21">
        <v>2</v>
      </c>
    </row>
    <row r="175" spans="2:8">
      <c r="B175" s="32">
        <v>41078</v>
      </c>
      <c r="C175" s="33">
        <v>23</v>
      </c>
      <c r="D175" s="33">
        <v>0</v>
      </c>
      <c r="E175" s="33">
        <v>0</v>
      </c>
      <c r="F175" s="33">
        <v>0</v>
      </c>
      <c r="G175" s="33">
        <v>0</v>
      </c>
      <c r="H175" s="21">
        <v>1</v>
      </c>
    </row>
    <row r="176" spans="2:8">
      <c r="B176" s="32">
        <v>41079</v>
      </c>
      <c r="C176" s="33">
        <v>19</v>
      </c>
      <c r="D176" s="33">
        <v>0</v>
      </c>
      <c r="E176" s="33">
        <v>0</v>
      </c>
      <c r="F176" s="33">
        <v>0</v>
      </c>
      <c r="G176" s="33">
        <v>0</v>
      </c>
      <c r="H176" s="21">
        <v>1</v>
      </c>
    </row>
    <row r="177" spans="2:8">
      <c r="B177" s="32">
        <v>41080</v>
      </c>
      <c r="C177" s="33">
        <v>21</v>
      </c>
      <c r="D177" s="33">
        <v>0</v>
      </c>
      <c r="E177" s="33">
        <v>0</v>
      </c>
      <c r="F177" s="33">
        <v>0</v>
      </c>
      <c r="G177" s="33">
        <v>0</v>
      </c>
      <c r="H177" s="21">
        <v>1</v>
      </c>
    </row>
    <row r="178" spans="2:8">
      <c r="B178" s="32">
        <v>41081</v>
      </c>
      <c r="C178" s="33">
        <v>20</v>
      </c>
      <c r="D178" s="33">
        <v>0</v>
      </c>
      <c r="E178" s="33">
        <v>0</v>
      </c>
      <c r="F178" s="33">
        <v>0</v>
      </c>
      <c r="G178" s="33">
        <v>0</v>
      </c>
      <c r="H178" s="21">
        <v>1</v>
      </c>
    </row>
    <row r="179" spans="2:8">
      <c r="B179" s="32">
        <v>41082</v>
      </c>
      <c r="C179" s="33">
        <v>32</v>
      </c>
      <c r="D179" s="33">
        <v>0</v>
      </c>
      <c r="E179" s="33">
        <v>0</v>
      </c>
      <c r="F179" s="33">
        <v>0</v>
      </c>
      <c r="G179" s="33">
        <v>0</v>
      </c>
      <c r="H179" s="21">
        <v>1</v>
      </c>
    </row>
    <row r="180" spans="2:8">
      <c r="B180" s="32">
        <v>41083</v>
      </c>
      <c r="C180" s="33">
        <v>38</v>
      </c>
      <c r="D180" s="33">
        <v>0</v>
      </c>
      <c r="E180" s="33">
        <v>0</v>
      </c>
      <c r="F180" s="33">
        <v>2</v>
      </c>
      <c r="G180" s="33">
        <v>1</v>
      </c>
      <c r="H180" s="21">
        <v>6</v>
      </c>
    </row>
    <row r="181" spans="2:8">
      <c r="B181" s="32">
        <v>41084</v>
      </c>
      <c r="C181" s="33">
        <v>34</v>
      </c>
      <c r="D181" s="33">
        <v>0</v>
      </c>
      <c r="E181" s="33">
        <v>0</v>
      </c>
      <c r="F181" s="33">
        <v>1</v>
      </c>
      <c r="G181" s="33">
        <v>1</v>
      </c>
      <c r="H181" s="21">
        <v>4</v>
      </c>
    </row>
    <row r="182" spans="2:8">
      <c r="B182" s="32">
        <v>41085</v>
      </c>
      <c r="C182" s="33">
        <v>31</v>
      </c>
      <c r="D182" s="33">
        <v>0</v>
      </c>
      <c r="E182" s="33">
        <v>0</v>
      </c>
      <c r="F182" s="33">
        <v>0</v>
      </c>
      <c r="G182" s="33">
        <v>0</v>
      </c>
      <c r="H182" s="21">
        <v>1</v>
      </c>
    </row>
    <row r="183" spans="2:8">
      <c r="B183" s="32">
        <v>41086</v>
      </c>
      <c r="C183" s="33">
        <v>33</v>
      </c>
      <c r="D183" s="33">
        <v>0</v>
      </c>
      <c r="E183" s="33">
        <v>0</v>
      </c>
      <c r="F183" s="33">
        <v>1</v>
      </c>
      <c r="G183" s="33">
        <v>0</v>
      </c>
      <c r="H183" s="21">
        <v>2</v>
      </c>
    </row>
    <row r="184" spans="2:8">
      <c r="B184" s="32">
        <v>41087</v>
      </c>
      <c r="C184" s="33">
        <v>31</v>
      </c>
      <c r="D184" s="33">
        <v>0</v>
      </c>
      <c r="E184" s="33">
        <v>0</v>
      </c>
      <c r="F184" s="33">
        <v>0</v>
      </c>
      <c r="G184" s="33">
        <v>0</v>
      </c>
      <c r="H184" s="21">
        <v>1</v>
      </c>
    </row>
    <row r="185" spans="2:8">
      <c r="B185" s="32">
        <v>41088</v>
      </c>
      <c r="C185" s="33">
        <v>42</v>
      </c>
      <c r="D185" s="33">
        <v>0</v>
      </c>
      <c r="E185" s="33">
        <v>0</v>
      </c>
      <c r="F185" s="33">
        <v>1</v>
      </c>
      <c r="G185" s="33">
        <v>0</v>
      </c>
      <c r="H185" s="21">
        <v>2</v>
      </c>
    </row>
    <row r="186" spans="2:8">
      <c r="B186" s="32">
        <v>41089</v>
      </c>
      <c r="C186" s="33">
        <v>52</v>
      </c>
      <c r="D186" s="33">
        <v>0</v>
      </c>
      <c r="E186" s="33">
        <v>0</v>
      </c>
      <c r="F186" s="33">
        <v>1</v>
      </c>
      <c r="G186" s="33">
        <v>1</v>
      </c>
      <c r="H186" s="21">
        <v>4</v>
      </c>
    </row>
    <row r="187" spans="2:8">
      <c r="B187" s="32">
        <v>41090</v>
      </c>
      <c r="C187" s="33">
        <v>55</v>
      </c>
      <c r="D187" s="33">
        <v>0</v>
      </c>
      <c r="E187" s="33">
        <v>0</v>
      </c>
      <c r="F187" s="33">
        <v>2</v>
      </c>
      <c r="G187" s="33">
        <v>2</v>
      </c>
      <c r="H187" s="21">
        <v>9</v>
      </c>
    </row>
    <row r="188" spans="2:8">
      <c r="B188" s="32">
        <v>41091</v>
      </c>
      <c r="C188" s="33">
        <v>45</v>
      </c>
      <c r="D188" s="33">
        <v>0</v>
      </c>
      <c r="E188" s="33">
        <v>0</v>
      </c>
      <c r="F188" s="33">
        <v>2</v>
      </c>
      <c r="G188" s="33">
        <v>1</v>
      </c>
      <c r="H188" s="21">
        <v>6</v>
      </c>
    </row>
    <row r="189" spans="2:8">
      <c r="B189" s="32">
        <v>41092</v>
      </c>
      <c r="C189" s="33">
        <v>31</v>
      </c>
      <c r="D189" s="33">
        <v>0</v>
      </c>
      <c r="E189" s="33">
        <v>0</v>
      </c>
      <c r="F189" s="33">
        <v>1</v>
      </c>
      <c r="G189" s="33">
        <v>1</v>
      </c>
      <c r="H189" s="21">
        <v>4</v>
      </c>
    </row>
    <row r="190" spans="2:8">
      <c r="B190" s="32">
        <v>41093</v>
      </c>
      <c r="C190" s="33">
        <v>12</v>
      </c>
      <c r="D190" s="33">
        <v>0</v>
      </c>
      <c r="E190" s="33">
        <v>0</v>
      </c>
      <c r="F190" s="33">
        <v>1</v>
      </c>
      <c r="G190" s="33">
        <v>0</v>
      </c>
      <c r="H190" s="21">
        <v>2</v>
      </c>
    </row>
    <row r="191" spans="2:8">
      <c r="B191" s="32">
        <v>41094</v>
      </c>
      <c r="C191" s="33">
        <v>19</v>
      </c>
      <c r="D191" s="33">
        <v>0</v>
      </c>
      <c r="E191" s="33">
        <v>0</v>
      </c>
      <c r="F191" s="33">
        <v>0</v>
      </c>
      <c r="G191" s="33">
        <v>0</v>
      </c>
      <c r="H191" s="21">
        <v>1</v>
      </c>
    </row>
    <row r="192" spans="2:8">
      <c r="B192" s="32">
        <v>41095</v>
      </c>
      <c r="C192" s="33">
        <v>16</v>
      </c>
      <c r="D192" s="33">
        <v>0</v>
      </c>
      <c r="E192" s="33">
        <v>0</v>
      </c>
      <c r="F192" s="33">
        <v>0</v>
      </c>
      <c r="G192" s="33">
        <v>0</v>
      </c>
      <c r="H192" s="21">
        <v>1</v>
      </c>
    </row>
    <row r="193" spans="2:8">
      <c r="B193" s="32">
        <v>41096</v>
      </c>
      <c r="C193" s="33">
        <v>23</v>
      </c>
      <c r="D193" s="33">
        <v>0</v>
      </c>
      <c r="E193" s="33">
        <v>0</v>
      </c>
      <c r="F193" s="33">
        <v>0</v>
      </c>
      <c r="G193" s="33">
        <v>0</v>
      </c>
      <c r="H193" s="21">
        <v>1</v>
      </c>
    </row>
    <row r="194" spans="2:8">
      <c r="B194" s="32">
        <v>41097</v>
      </c>
      <c r="C194" s="33">
        <v>34</v>
      </c>
      <c r="D194" s="33">
        <v>0</v>
      </c>
      <c r="E194" s="33">
        <v>0</v>
      </c>
      <c r="F194" s="33">
        <v>1</v>
      </c>
      <c r="G194" s="33">
        <v>1</v>
      </c>
      <c r="H194" s="21">
        <v>4</v>
      </c>
    </row>
    <row r="195" spans="2:8">
      <c r="B195" s="32">
        <v>41098</v>
      </c>
      <c r="C195" s="33">
        <v>20</v>
      </c>
      <c r="D195" s="33">
        <v>0</v>
      </c>
      <c r="E195" s="33">
        <v>0</v>
      </c>
      <c r="F195" s="33">
        <v>1</v>
      </c>
      <c r="G195" s="33">
        <v>1</v>
      </c>
      <c r="H195" s="21">
        <v>4</v>
      </c>
    </row>
    <row r="196" spans="2:8">
      <c r="B196" s="32">
        <v>41099</v>
      </c>
      <c r="C196" s="33">
        <v>17</v>
      </c>
      <c r="D196" s="33">
        <v>0</v>
      </c>
      <c r="E196" s="33">
        <v>0</v>
      </c>
      <c r="F196" s="33">
        <v>0</v>
      </c>
      <c r="G196" s="33">
        <v>0</v>
      </c>
      <c r="H196" s="21">
        <v>1</v>
      </c>
    </row>
    <row r="197" spans="2:8">
      <c r="B197" s="32">
        <v>41100</v>
      </c>
      <c r="C197" s="33">
        <v>9</v>
      </c>
      <c r="D197" s="33">
        <v>0</v>
      </c>
      <c r="E197" s="33">
        <v>0</v>
      </c>
      <c r="F197" s="33">
        <v>0</v>
      </c>
      <c r="G197" s="33">
        <v>0</v>
      </c>
      <c r="H197" s="21">
        <v>1</v>
      </c>
    </row>
    <row r="198" spans="2:8">
      <c r="B198" s="32">
        <v>41101</v>
      </c>
      <c r="C198" s="33">
        <v>21</v>
      </c>
      <c r="D198" s="33">
        <v>0</v>
      </c>
      <c r="E198" s="33">
        <v>0</v>
      </c>
      <c r="F198" s="33">
        <v>0</v>
      </c>
      <c r="G198" s="33">
        <v>0</v>
      </c>
      <c r="H198" s="21">
        <v>1</v>
      </c>
    </row>
    <row r="199" spans="2:8">
      <c r="B199" s="32">
        <v>41102</v>
      </c>
      <c r="C199" s="33">
        <v>21</v>
      </c>
      <c r="D199" s="33">
        <v>0</v>
      </c>
      <c r="E199" s="33">
        <v>0</v>
      </c>
      <c r="F199" s="33">
        <v>0</v>
      </c>
      <c r="G199" s="33">
        <v>0</v>
      </c>
      <c r="H199" s="21">
        <v>1</v>
      </c>
    </row>
    <row r="200" spans="2:8">
      <c r="B200" s="32">
        <v>41103</v>
      </c>
      <c r="C200" s="33">
        <v>23</v>
      </c>
      <c r="D200" s="33">
        <v>0</v>
      </c>
      <c r="E200" s="33">
        <v>0</v>
      </c>
      <c r="F200" s="33">
        <v>0</v>
      </c>
      <c r="G200" s="33">
        <v>0</v>
      </c>
      <c r="H200" s="21">
        <v>1</v>
      </c>
    </row>
    <row r="201" spans="2:8">
      <c r="B201" s="32">
        <v>41104</v>
      </c>
      <c r="C201" s="33">
        <v>38</v>
      </c>
      <c r="D201" s="33">
        <v>0</v>
      </c>
      <c r="E201" s="33">
        <v>0</v>
      </c>
      <c r="F201" s="33">
        <v>2</v>
      </c>
      <c r="G201" s="33">
        <v>1</v>
      </c>
      <c r="H201" s="21">
        <v>6</v>
      </c>
    </row>
    <row r="202" spans="2:8">
      <c r="B202" s="32">
        <v>41105</v>
      </c>
      <c r="C202" s="33">
        <v>38</v>
      </c>
      <c r="D202" s="33">
        <v>0</v>
      </c>
      <c r="E202" s="33">
        <v>0</v>
      </c>
      <c r="F202" s="33">
        <v>2</v>
      </c>
      <c r="G202" s="33">
        <v>1</v>
      </c>
      <c r="H202" s="21">
        <v>6</v>
      </c>
    </row>
    <row r="203" spans="2:8">
      <c r="B203" s="32">
        <v>41106</v>
      </c>
      <c r="C203" s="33">
        <v>25</v>
      </c>
      <c r="D203" s="33">
        <v>0</v>
      </c>
      <c r="E203" s="33">
        <v>0</v>
      </c>
      <c r="F203" s="33">
        <v>1</v>
      </c>
      <c r="G203" s="33">
        <v>0</v>
      </c>
      <c r="H203" s="21">
        <v>2</v>
      </c>
    </row>
    <row r="204" spans="2:8">
      <c r="B204" s="32">
        <v>41107</v>
      </c>
      <c r="C204" s="33">
        <v>24</v>
      </c>
      <c r="D204" s="33">
        <v>0</v>
      </c>
      <c r="E204" s="33">
        <v>0</v>
      </c>
      <c r="F204" s="33">
        <v>0</v>
      </c>
      <c r="G204" s="33">
        <v>0</v>
      </c>
      <c r="H204" s="21">
        <v>1</v>
      </c>
    </row>
    <row r="205" spans="2:8">
      <c r="B205" s="32">
        <v>41108</v>
      </c>
      <c r="C205" s="33">
        <v>11</v>
      </c>
      <c r="D205" s="33">
        <v>0</v>
      </c>
      <c r="E205" s="33">
        <v>0</v>
      </c>
      <c r="F205" s="33">
        <v>0</v>
      </c>
      <c r="G205" s="33">
        <v>0</v>
      </c>
      <c r="H205" s="21">
        <v>1</v>
      </c>
    </row>
    <row r="206" spans="2:8">
      <c r="B206" s="32">
        <v>41109</v>
      </c>
      <c r="C206" s="33">
        <v>19</v>
      </c>
      <c r="D206" s="33">
        <v>0</v>
      </c>
      <c r="E206" s="33">
        <v>0</v>
      </c>
      <c r="F206" s="33">
        <v>0</v>
      </c>
      <c r="G206" s="33">
        <v>0</v>
      </c>
      <c r="H206" s="21">
        <v>1</v>
      </c>
    </row>
    <row r="207" spans="2:8">
      <c r="B207" s="32">
        <v>41110</v>
      </c>
      <c r="C207" s="33">
        <v>24</v>
      </c>
      <c r="D207" s="33">
        <v>0</v>
      </c>
      <c r="E207" s="33">
        <v>0</v>
      </c>
      <c r="F207" s="33">
        <v>0</v>
      </c>
      <c r="G207" s="33">
        <v>0</v>
      </c>
      <c r="H207" s="21">
        <v>1</v>
      </c>
    </row>
    <row r="208" spans="2:8">
      <c r="B208" s="32">
        <v>41111</v>
      </c>
      <c r="C208" s="33">
        <v>37</v>
      </c>
      <c r="D208" s="33">
        <v>0</v>
      </c>
      <c r="E208" s="33">
        <v>0</v>
      </c>
      <c r="F208" s="33">
        <v>1</v>
      </c>
      <c r="G208" s="33">
        <v>1</v>
      </c>
      <c r="H208" s="21">
        <v>4</v>
      </c>
    </row>
    <row r="209" spans="2:8">
      <c r="B209" s="32">
        <v>41112</v>
      </c>
      <c r="C209" s="33">
        <v>23</v>
      </c>
      <c r="D209" s="33">
        <v>0</v>
      </c>
      <c r="E209" s="33">
        <v>0</v>
      </c>
      <c r="F209" s="33">
        <v>1</v>
      </c>
      <c r="G209" s="33">
        <v>1</v>
      </c>
      <c r="H209" s="21">
        <v>4</v>
      </c>
    </row>
    <row r="210" spans="2:8">
      <c r="B210" s="32">
        <v>41113</v>
      </c>
      <c r="C210" s="33">
        <v>27</v>
      </c>
      <c r="D210" s="33">
        <v>0</v>
      </c>
      <c r="E210" s="33">
        <v>0</v>
      </c>
      <c r="F210" s="33">
        <v>0</v>
      </c>
      <c r="G210" s="33">
        <v>0</v>
      </c>
      <c r="H210" s="21">
        <v>1</v>
      </c>
    </row>
    <row r="211" spans="2:8">
      <c r="B211" s="32">
        <v>41114</v>
      </c>
      <c r="C211" s="33">
        <v>31</v>
      </c>
      <c r="D211" s="33">
        <v>0</v>
      </c>
      <c r="E211" s="33">
        <v>0</v>
      </c>
      <c r="F211" s="33">
        <v>1</v>
      </c>
      <c r="G211" s="33">
        <v>0</v>
      </c>
      <c r="H211" s="21">
        <v>2</v>
      </c>
    </row>
    <row r="212" spans="2:8">
      <c r="B212" s="32">
        <v>41115</v>
      </c>
      <c r="C212" s="33">
        <v>17</v>
      </c>
      <c r="D212" s="33">
        <v>0</v>
      </c>
      <c r="E212" s="33">
        <v>0</v>
      </c>
      <c r="F212" s="33">
        <v>0</v>
      </c>
      <c r="G212" s="33">
        <v>0</v>
      </c>
      <c r="H212" s="21">
        <v>1</v>
      </c>
    </row>
    <row r="213" spans="2:8">
      <c r="B213" s="32">
        <v>41116</v>
      </c>
      <c r="C213" s="33">
        <v>22</v>
      </c>
      <c r="D213" s="33">
        <v>0</v>
      </c>
      <c r="E213" s="33">
        <v>0</v>
      </c>
      <c r="F213" s="33">
        <v>0</v>
      </c>
      <c r="G213" s="33">
        <v>0</v>
      </c>
      <c r="H213" s="21">
        <v>1</v>
      </c>
    </row>
    <row r="214" spans="2:8">
      <c r="B214" s="32">
        <v>41117</v>
      </c>
      <c r="C214" s="33">
        <v>25</v>
      </c>
      <c r="D214" s="33">
        <v>0</v>
      </c>
      <c r="E214" s="33">
        <v>0</v>
      </c>
      <c r="F214" s="33">
        <v>1</v>
      </c>
      <c r="G214" s="33">
        <v>1</v>
      </c>
      <c r="H214" s="21">
        <v>4</v>
      </c>
    </row>
    <row r="215" spans="2:8">
      <c r="B215" s="32">
        <v>41118</v>
      </c>
      <c r="C215" s="33">
        <v>48</v>
      </c>
      <c r="D215" s="33">
        <v>0</v>
      </c>
      <c r="E215" s="33">
        <v>0</v>
      </c>
      <c r="F215" s="33">
        <v>3</v>
      </c>
      <c r="G215" s="33">
        <v>2</v>
      </c>
      <c r="H215" s="21">
        <v>12</v>
      </c>
    </row>
    <row r="216" spans="2:8">
      <c r="B216" s="32">
        <v>41119</v>
      </c>
      <c r="C216" s="33">
        <v>43</v>
      </c>
      <c r="D216" s="33">
        <v>0</v>
      </c>
      <c r="E216" s="33">
        <v>0</v>
      </c>
      <c r="F216" s="33">
        <v>2</v>
      </c>
      <c r="G216" s="33">
        <v>1</v>
      </c>
      <c r="H216" s="21">
        <v>6</v>
      </c>
    </row>
    <row r="217" spans="2:8">
      <c r="B217" s="32">
        <v>41120</v>
      </c>
      <c r="C217" s="33">
        <v>31</v>
      </c>
      <c r="D217" s="33">
        <v>0</v>
      </c>
      <c r="E217" s="33">
        <v>0</v>
      </c>
      <c r="F217" s="33">
        <v>1</v>
      </c>
      <c r="G217" s="33">
        <v>1</v>
      </c>
      <c r="H217" s="21">
        <v>4</v>
      </c>
    </row>
    <row r="218" spans="2:8">
      <c r="B218" s="32">
        <v>41121</v>
      </c>
      <c r="C218" s="33">
        <v>42</v>
      </c>
      <c r="D218" s="33">
        <v>0</v>
      </c>
      <c r="E218" s="33">
        <v>0</v>
      </c>
      <c r="F218" s="33">
        <v>1</v>
      </c>
      <c r="G218" s="33">
        <v>1</v>
      </c>
      <c r="H218" s="21">
        <v>4</v>
      </c>
    </row>
    <row r="219" spans="2:8">
      <c r="B219" s="32">
        <v>41122</v>
      </c>
      <c r="C219" s="33">
        <v>41</v>
      </c>
      <c r="D219" s="33">
        <v>0</v>
      </c>
      <c r="E219" s="33">
        <v>0</v>
      </c>
      <c r="F219" s="33">
        <v>0</v>
      </c>
      <c r="G219" s="33">
        <v>0</v>
      </c>
      <c r="H219" s="21">
        <v>1</v>
      </c>
    </row>
    <row r="220" spans="2:8">
      <c r="B220" s="32">
        <v>41123</v>
      </c>
      <c r="C220" s="33">
        <v>30</v>
      </c>
      <c r="D220" s="33">
        <v>0</v>
      </c>
      <c r="E220" s="33">
        <v>0</v>
      </c>
      <c r="F220" s="33">
        <v>0</v>
      </c>
      <c r="G220" s="33">
        <v>0</v>
      </c>
      <c r="H220" s="21">
        <v>1</v>
      </c>
    </row>
    <row r="221" spans="2:8">
      <c r="B221" s="32">
        <v>41124</v>
      </c>
      <c r="C221" s="33">
        <v>29</v>
      </c>
      <c r="D221" s="33">
        <v>0</v>
      </c>
      <c r="E221" s="33">
        <v>0</v>
      </c>
      <c r="F221" s="33">
        <v>0</v>
      </c>
      <c r="G221" s="33">
        <v>0</v>
      </c>
      <c r="H221" s="21">
        <v>1</v>
      </c>
    </row>
    <row r="222" spans="2:8">
      <c r="B222" s="32">
        <v>41125</v>
      </c>
      <c r="C222" s="33">
        <v>31</v>
      </c>
      <c r="D222" s="33">
        <v>0</v>
      </c>
      <c r="E222" s="33">
        <v>0</v>
      </c>
      <c r="F222" s="33">
        <v>1</v>
      </c>
      <c r="G222" s="33">
        <v>1</v>
      </c>
      <c r="H222" s="21">
        <v>4</v>
      </c>
    </row>
    <row r="223" spans="2:8">
      <c r="B223" s="32">
        <v>41126</v>
      </c>
      <c r="C223" s="33">
        <v>34</v>
      </c>
      <c r="D223" s="33">
        <v>0</v>
      </c>
      <c r="E223" s="33">
        <v>0</v>
      </c>
      <c r="F223" s="33">
        <v>1</v>
      </c>
      <c r="G223" s="33">
        <v>1</v>
      </c>
      <c r="H223" s="21">
        <v>4</v>
      </c>
    </row>
    <row r="224" spans="2:8">
      <c r="B224" s="32">
        <v>41127</v>
      </c>
      <c r="C224" s="33">
        <v>21</v>
      </c>
      <c r="D224" s="33">
        <v>0</v>
      </c>
      <c r="E224" s="33">
        <v>0</v>
      </c>
      <c r="F224" s="33">
        <v>0</v>
      </c>
      <c r="G224" s="33">
        <v>0</v>
      </c>
      <c r="H224" s="21">
        <v>1</v>
      </c>
    </row>
    <row r="225" spans="2:8">
      <c r="B225" s="32">
        <v>41128</v>
      </c>
      <c r="C225" s="33">
        <v>21</v>
      </c>
      <c r="D225" s="33">
        <v>0</v>
      </c>
      <c r="E225" s="33">
        <v>0</v>
      </c>
      <c r="F225" s="33">
        <v>0</v>
      </c>
      <c r="G225" s="33">
        <v>0</v>
      </c>
      <c r="H225" s="21">
        <v>1</v>
      </c>
    </row>
    <row r="226" spans="2:8">
      <c r="B226" s="32">
        <v>41129</v>
      </c>
      <c r="C226" s="33">
        <v>22</v>
      </c>
      <c r="D226" s="33">
        <v>0</v>
      </c>
      <c r="E226" s="33">
        <v>0</v>
      </c>
      <c r="F226" s="33">
        <v>0</v>
      </c>
      <c r="G226" s="33">
        <v>0</v>
      </c>
      <c r="H226" s="21">
        <v>1</v>
      </c>
    </row>
    <row r="227" spans="2:8">
      <c r="B227" s="32">
        <v>41130</v>
      </c>
      <c r="C227" s="33">
        <v>12</v>
      </c>
      <c r="D227" s="33">
        <v>0</v>
      </c>
      <c r="E227" s="33">
        <v>0</v>
      </c>
      <c r="F227" s="33">
        <v>0</v>
      </c>
      <c r="G227" s="33">
        <v>0</v>
      </c>
      <c r="H227" s="21">
        <v>1</v>
      </c>
    </row>
    <row r="228" spans="2:8">
      <c r="B228" s="32">
        <v>41131</v>
      </c>
      <c r="C228" s="33">
        <v>25</v>
      </c>
      <c r="D228" s="33">
        <v>0</v>
      </c>
      <c r="E228" s="33">
        <v>0</v>
      </c>
      <c r="F228" s="33">
        <v>0</v>
      </c>
      <c r="G228" s="33">
        <v>0</v>
      </c>
      <c r="H228" s="21">
        <v>1</v>
      </c>
    </row>
    <row r="229" spans="2:8">
      <c r="B229" s="32">
        <v>41132</v>
      </c>
      <c r="C229" s="33">
        <v>29</v>
      </c>
      <c r="D229" s="33">
        <v>0</v>
      </c>
      <c r="E229" s="33">
        <v>0</v>
      </c>
      <c r="F229" s="33">
        <v>1</v>
      </c>
      <c r="G229" s="33">
        <v>1</v>
      </c>
      <c r="H229" s="21">
        <v>4</v>
      </c>
    </row>
    <row r="230" spans="2:8">
      <c r="B230" s="32">
        <v>41133</v>
      </c>
      <c r="C230" s="33">
        <v>14</v>
      </c>
      <c r="D230" s="33">
        <v>0</v>
      </c>
      <c r="E230" s="33">
        <v>0</v>
      </c>
      <c r="F230" s="33">
        <v>0</v>
      </c>
      <c r="G230" s="33">
        <v>0</v>
      </c>
      <c r="H230" s="21">
        <v>1</v>
      </c>
    </row>
    <row r="231" spans="2:8">
      <c r="B231" s="32">
        <v>41134</v>
      </c>
      <c r="C231" s="33">
        <v>29</v>
      </c>
      <c r="D231" s="33">
        <v>0</v>
      </c>
      <c r="E231" s="33">
        <v>0</v>
      </c>
      <c r="F231" s="33">
        <v>0</v>
      </c>
      <c r="G231" s="33">
        <v>0</v>
      </c>
      <c r="H231" s="21">
        <v>1</v>
      </c>
    </row>
    <row r="232" spans="2:8">
      <c r="B232" s="32">
        <v>41135</v>
      </c>
      <c r="C232" s="33">
        <v>23</v>
      </c>
      <c r="D232" s="33">
        <v>0</v>
      </c>
      <c r="E232" s="33">
        <v>0</v>
      </c>
      <c r="F232" s="33">
        <v>0</v>
      </c>
      <c r="G232" s="33">
        <v>0</v>
      </c>
      <c r="H232" s="21">
        <v>1</v>
      </c>
    </row>
    <row r="233" spans="2:8">
      <c r="B233" s="32">
        <v>41136</v>
      </c>
      <c r="C233" s="33">
        <v>19</v>
      </c>
      <c r="D233" s="33">
        <v>0</v>
      </c>
      <c r="E233" s="33">
        <v>0</v>
      </c>
      <c r="F233" s="33">
        <v>0</v>
      </c>
      <c r="G233" s="33">
        <v>0</v>
      </c>
      <c r="H233" s="21">
        <v>1</v>
      </c>
    </row>
    <row r="234" spans="2:8">
      <c r="B234" s="32">
        <v>41137</v>
      </c>
      <c r="C234" s="33">
        <v>16</v>
      </c>
      <c r="D234" s="33">
        <v>0</v>
      </c>
      <c r="E234" s="33">
        <v>0</v>
      </c>
      <c r="F234" s="33">
        <v>0</v>
      </c>
      <c r="G234" s="33">
        <v>0</v>
      </c>
      <c r="H234" s="21">
        <v>1</v>
      </c>
    </row>
    <row r="235" spans="2:8">
      <c r="B235" s="32">
        <v>41138</v>
      </c>
      <c r="C235" s="33">
        <v>29</v>
      </c>
      <c r="D235" s="33">
        <v>0</v>
      </c>
      <c r="E235" s="33">
        <v>0</v>
      </c>
      <c r="F235" s="33">
        <v>0</v>
      </c>
      <c r="G235" s="33">
        <v>0</v>
      </c>
      <c r="H235" s="21">
        <v>1</v>
      </c>
    </row>
    <row r="236" spans="2:8">
      <c r="B236" s="32">
        <v>41139</v>
      </c>
      <c r="C236" s="33">
        <v>22</v>
      </c>
      <c r="D236" s="33">
        <v>0</v>
      </c>
      <c r="E236" s="33">
        <v>0</v>
      </c>
      <c r="F236" s="33">
        <v>1</v>
      </c>
      <c r="G236" s="33">
        <v>1</v>
      </c>
      <c r="H236" s="21">
        <v>4</v>
      </c>
    </row>
    <row r="237" spans="2:8">
      <c r="B237" s="32">
        <v>41140</v>
      </c>
      <c r="C237" s="33">
        <v>23</v>
      </c>
      <c r="D237" s="33">
        <v>0</v>
      </c>
      <c r="E237" s="33">
        <v>0</v>
      </c>
      <c r="F237" s="33">
        <v>1</v>
      </c>
      <c r="G237" s="33">
        <v>0</v>
      </c>
      <c r="H237" s="21">
        <v>2</v>
      </c>
    </row>
    <row r="238" spans="2:8">
      <c r="B238" s="32">
        <v>41141</v>
      </c>
      <c r="C238" s="33">
        <v>25</v>
      </c>
      <c r="D238" s="33">
        <v>0</v>
      </c>
      <c r="E238" s="33">
        <v>0</v>
      </c>
      <c r="F238" s="33">
        <v>0</v>
      </c>
      <c r="G238" s="33">
        <v>0</v>
      </c>
      <c r="H238" s="21">
        <v>1</v>
      </c>
    </row>
    <row r="239" spans="2:8">
      <c r="B239" s="32">
        <v>41142</v>
      </c>
      <c r="C239" s="33">
        <v>19</v>
      </c>
      <c r="D239" s="33">
        <v>0</v>
      </c>
      <c r="E239" s="33">
        <v>0</v>
      </c>
      <c r="F239" s="33">
        <v>0</v>
      </c>
      <c r="G239" s="33">
        <v>0</v>
      </c>
      <c r="H239" s="21">
        <v>1</v>
      </c>
    </row>
    <row r="240" spans="2:8">
      <c r="B240" s="32">
        <v>41143</v>
      </c>
      <c r="C240" s="33">
        <v>21</v>
      </c>
      <c r="D240" s="33">
        <v>0</v>
      </c>
      <c r="E240" s="33">
        <v>0</v>
      </c>
      <c r="F240" s="33">
        <v>0</v>
      </c>
      <c r="G240" s="33">
        <v>0</v>
      </c>
      <c r="H240" s="21">
        <v>1</v>
      </c>
    </row>
    <row r="241" spans="2:8">
      <c r="B241" s="32">
        <v>41144</v>
      </c>
      <c r="C241" s="33">
        <v>26</v>
      </c>
      <c r="D241" s="33">
        <v>0</v>
      </c>
      <c r="E241" s="33">
        <v>0</v>
      </c>
      <c r="F241" s="33">
        <v>0</v>
      </c>
      <c r="G241" s="33">
        <v>0</v>
      </c>
      <c r="H241" s="21">
        <v>1</v>
      </c>
    </row>
    <row r="242" spans="2:8">
      <c r="B242" s="32">
        <v>41145</v>
      </c>
      <c r="C242" s="33">
        <v>23</v>
      </c>
      <c r="D242" s="33">
        <v>0</v>
      </c>
      <c r="E242" s="33">
        <v>0</v>
      </c>
      <c r="F242" s="33">
        <v>1</v>
      </c>
      <c r="G242" s="33">
        <v>0</v>
      </c>
      <c r="H242" s="21">
        <v>2</v>
      </c>
    </row>
    <row r="243" spans="2:8">
      <c r="B243" s="32">
        <v>41146</v>
      </c>
      <c r="C243" s="33">
        <v>31</v>
      </c>
      <c r="D243" s="33">
        <v>0</v>
      </c>
      <c r="E243" s="33">
        <v>0</v>
      </c>
      <c r="F243" s="33">
        <v>2</v>
      </c>
      <c r="G243" s="33">
        <v>1</v>
      </c>
      <c r="H243" s="21">
        <v>6</v>
      </c>
    </row>
    <row r="244" spans="2:8">
      <c r="B244" s="32">
        <v>41147</v>
      </c>
      <c r="C244" s="33">
        <v>37</v>
      </c>
      <c r="D244" s="33">
        <v>0</v>
      </c>
      <c r="E244" s="33">
        <v>0</v>
      </c>
      <c r="F244" s="33">
        <v>1</v>
      </c>
      <c r="G244" s="33">
        <v>1</v>
      </c>
      <c r="H244" s="21">
        <v>4</v>
      </c>
    </row>
    <row r="245" spans="2:8">
      <c r="B245" s="32">
        <v>41148</v>
      </c>
      <c r="C245" s="33">
        <v>36</v>
      </c>
      <c r="D245" s="33">
        <v>0</v>
      </c>
      <c r="E245" s="33">
        <v>0</v>
      </c>
      <c r="F245" s="33">
        <v>0</v>
      </c>
      <c r="G245" s="33">
        <v>0</v>
      </c>
      <c r="H245" s="21">
        <v>1</v>
      </c>
    </row>
    <row r="246" spans="2:8">
      <c r="B246" s="32">
        <v>41149</v>
      </c>
      <c r="C246" s="33">
        <v>27</v>
      </c>
      <c r="D246" s="33">
        <v>0</v>
      </c>
      <c r="E246" s="33">
        <v>0</v>
      </c>
      <c r="F246" s="33">
        <v>1</v>
      </c>
      <c r="G246" s="33">
        <v>1</v>
      </c>
      <c r="H246" s="21">
        <v>4</v>
      </c>
    </row>
    <row r="247" spans="2:8">
      <c r="B247" s="32">
        <v>41150</v>
      </c>
      <c r="C247" s="33">
        <v>30</v>
      </c>
      <c r="D247" s="33">
        <v>0</v>
      </c>
      <c r="E247" s="33">
        <v>0</v>
      </c>
      <c r="F247" s="33">
        <v>0</v>
      </c>
      <c r="G247" s="33">
        <v>0</v>
      </c>
      <c r="H247" s="21">
        <v>1</v>
      </c>
    </row>
    <row r="248" spans="2:8">
      <c r="B248" s="32">
        <v>41151</v>
      </c>
      <c r="C248" s="33">
        <v>38</v>
      </c>
      <c r="D248" s="33">
        <v>0</v>
      </c>
      <c r="E248" s="33">
        <v>0</v>
      </c>
      <c r="F248" s="33">
        <v>1</v>
      </c>
      <c r="G248" s="33">
        <v>0</v>
      </c>
      <c r="H248" s="21">
        <v>2</v>
      </c>
    </row>
    <row r="249" spans="2:8">
      <c r="B249" s="32">
        <v>41152</v>
      </c>
      <c r="C249" s="33">
        <v>28</v>
      </c>
      <c r="D249" s="33">
        <v>0</v>
      </c>
      <c r="E249" s="33">
        <v>0</v>
      </c>
      <c r="F249" s="33">
        <v>1</v>
      </c>
      <c r="G249" s="33">
        <v>1</v>
      </c>
      <c r="H249" s="21">
        <v>4</v>
      </c>
    </row>
    <row r="250" spans="2:8">
      <c r="B250" s="32">
        <v>41153</v>
      </c>
      <c r="C250" s="33">
        <v>44</v>
      </c>
      <c r="D250" s="33">
        <v>0</v>
      </c>
      <c r="E250" s="33">
        <v>0</v>
      </c>
      <c r="F250" s="33">
        <v>2</v>
      </c>
      <c r="G250" s="33">
        <v>1</v>
      </c>
      <c r="H250" s="21">
        <v>6</v>
      </c>
    </row>
    <row r="251" spans="2:8">
      <c r="B251" s="32">
        <v>41154</v>
      </c>
      <c r="C251" s="33">
        <v>40</v>
      </c>
      <c r="D251" s="33">
        <v>0</v>
      </c>
      <c r="E251" s="33">
        <v>0</v>
      </c>
      <c r="F251" s="33">
        <v>1</v>
      </c>
      <c r="G251" s="33">
        <v>1</v>
      </c>
      <c r="H251" s="21">
        <v>4</v>
      </c>
    </row>
    <row r="252" spans="2:8">
      <c r="B252" s="32">
        <v>41155</v>
      </c>
      <c r="C252" s="33">
        <v>35</v>
      </c>
      <c r="D252" s="33">
        <v>0</v>
      </c>
      <c r="E252" s="33">
        <v>0</v>
      </c>
      <c r="F252" s="33">
        <v>1</v>
      </c>
      <c r="G252" s="33">
        <v>0</v>
      </c>
      <c r="H252" s="21">
        <v>2</v>
      </c>
    </row>
    <row r="253" spans="2:8">
      <c r="B253" s="32">
        <v>41156</v>
      </c>
      <c r="C253" s="33">
        <v>13</v>
      </c>
      <c r="D253" s="33">
        <v>0</v>
      </c>
      <c r="E253" s="33">
        <v>0</v>
      </c>
      <c r="F253" s="33">
        <v>0</v>
      </c>
      <c r="G253" s="33">
        <v>0</v>
      </c>
      <c r="H253" s="21">
        <v>1</v>
      </c>
    </row>
    <row r="254" spans="2:8">
      <c r="B254" s="32">
        <v>41157</v>
      </c>
      <c r="C254" s="33">
        <v>15</v>
      </c>
      <c r="D254" s="33">
        <v>0</v>
      </c>
      <c r="E254" s="33">
        <v>0</v>
      </c>
      <c r="F254" s="33">
        <v>0</v>
      </c>
      <c r="G254" s="33">
        <v>0</v>
      </c>
      <c r="H254" s="21">
        <v>1</v>
      </c>
    </row>
    <row r="255" spans="2:8">
      <c r="B255" s="32">
        <v>41158</v>
      </c>
      <c r="C255" s="33">
        <v>19</v>
      </c>
      <c r="D255" s="33">
        <v>0</v>
      </c>
      <c r="E255" s="33">
        <v>0</v>
      </c>
      <c r="F255" s="33">
        <v>0</v>
      </c>
      <c r="G255" s="33">
        <v>0</v>
      </c>
      <c r="H255" s="21">
        <v>1</v>
      </c>
    </row>
    <row r="256" spans="2:8">
      <c r="B256" s="32">
        <v>41159</v>
      </c>
      <c r="C256" s="33">
        <v>23</v>
      </c>
      <c r="D256" s="33">
        <v>0</v>
      </c>
      <c r="E256" s="33">
        <v>0</v>
      </c>
      <c r="F256" s="33">
        <v>0</v>
      </c>
      <c r="G256" s="33">
        <v>0</v>
      </c>
      <c r="H256" s="21">
        <v>1</v>
      </c>
    </row>
    <row r="257" spans="2:8">
      <c r="B257" s="32">
        <v>41160</v>
      </c>
      <c r="C257" s="33">
        <v>18</v>
      </c>
      <c r="D257" s="33">
        <v>0</v>
      </c>
      <c r="E257" s="33">
        <v>0</v>
      </c>
      <c r="F257" s="33">
        <v>1</v>
      </c>
      <c r="G257" s="33">
        <v>1</v>
      </c>
      <c r="H257" s="21">
        <v>4</v>
      </c>
    </row>
    <row r="258" spans="2:8">
      <c r="B258" s="32">
        <v>41161</v>
      </c>
      <c r="C258" s="33">
        <v>33</v>
      </c>
      <c r="D258" s="33">
        <v>0</v>
      </c>
      <c r="E258" s="33">
        <v>0</v>
      </c>
      <c r="F258" s="33">
        <v>1</v>
      </c>
      <c r="G258" s="33">
        <v>1</v>
      </c>
      <c r="H258" s="21">
        <v>4</v>
      </c>
    </row>
    <row r="259" spans="2:8">
      <c r="B259" s="32">
        <v>41162</v>
      </c>
      <c r="C259" s="33">
        <v>28</v>
      </c>
      <c r="D259" s="33">
        <v>0</v>
      </c>
      <c r="E259" s="33">
        <v>0</v>
      </c>
      <c r="F259" s="33">
        <v>0</v>
      </c>
      <c r="G259" s="33">
        <v>0</v>
      </c>
      <c r="H259" s="21">
        <v>1</v>
      </c>
    </row>
    <row r="260" spans="2:8">
      <c r="B260" s="32">
        <v>41163</v>
      </c>
      <c r="C260" s="33">
        <v>22</v>
      </c>
      <c r="D260" s="33">
        <v>0</v>
      </c>
      <c r="E260" s="33">
        <v>0</v>
      </c>
      <c r="F260" s="33">
        <v>0</v>
      </c>
      <c r="G260" s="33">
        <v>0</v>
      </c>
      <c r="H260" s="21">
        <v>1</v>
      </c>
    </row>
    <row r="261" spans="2:8">
      <c r="B261" s="32">
        <v>41164</v>
      </c>
      <c r="C261" s="33">
        <v>26</v>
      </c>
      <c r="D261" s="33">
        <v>0</v>
      </c>
      <c r="E261" s="33">
        <v>0</v>
      </c>
      <c r="F261" s="33">
        <v>0</v>
      </c>
      <c r="G261" s="33">
        <v>0</v>
      </c>
      <c r="H261" s="21">
        <v>1</v>
      </c>
    </row>
    <row r="262" spans="2:8">
      <c r="B262" s="32">
        <v>41165</v>
      </c>
      <c r="C262" s="33">
        <v>26</v>
      </c>
      <c r="D262" s="33">
        <v>0</v>
      </c>
      <c r="E262" s="33">
        <v>0</v>
      </c>
      <c r="F262" s="33">
        <v>0</v>
      </c>
      <c r="G262" s="33">
        <v>0</v>
      </c>
      <c r="H262" s="21">
        <v>1</v>
      </c>
    </row>
    <row r="263" spans="2:8">
      <c r="B263" s="32">
        <v>41166</v>
      </c>
      <c r="C263" s="33">
        <v>25</v>
      </c>
      <c r="D263" s="33">
        <v>0</v>
      </c>
      <c r="E263" s="33">
        <v>0</v>
      </c>
      <c r="F263" s="33">
        <v>0</v>
      </c>
      <c r="G263" s="33">
        <v>0</v>
      </c>
      <c r="H263" s="21">
        <v>1</v>
      </c>
    </row>
    <row r="264" spans="2:8">
      <c r="B264" s="32">
        <v>41167</v>
      </c>
      <c r="C264" s="33">
        <v>36</v>
      </c>
      <c r="D264" s="33">
        <v>0</v>
      </c>
      <c r="E264" s="33">
        <v>0</v>
      </c>
      <c r="F264" s="33">
        <v>2</v>
      </c>
      <c r="G264" s="33">
        <v>1</v>
      </c>
      <c r="H264" s="21">
        <v>6</v>
      </c>
    </row>
    <row r="265" spans="2:8">
      <c r="B265" s="32">
        <v>41168</v>
      </c>
      <c r="C265" s="33">
        <v>45</v>
      </c>
      <c r="D265" s="33">
        <v>0</v>
      </c>
      <c r="E265" s="33">
        <v>0</v>
      </c>
      <c r="F265" s="33">
        <v>2</v>
      </c>
      <c r="G265" s="33">
        <v>2</v>
      </c>
      <c r="H265" s="21">
        <v>9</v>
      </c>
    </row>
    <row r="266" spans="2:8">
      <c r="B266" s="32">
        <v>41169</v>
      </c>
      <c r="C266" s="33">
        <v>26</v>
      </c>
      <c r="D266" s="33">
        <v>0</v>
      </c>
      <c r="E266" s="33">
        <v>0</v>
      </c>
      <c r="F266" s="33">
        <v>1</v>
      </c>
      <c r="G266" s="33">
        <v>0</v>
      </c>
      <c r="H266" s="21">
        <v>2</v>
      </c>
    </row>
    <row r="267" spans="2:8">
      <c r="B267" s="32">
        <v>41170</v>
      </c>
      <c r="C267" s="33">
        <v>34</v>
      </c>
      <c r="D267" s="33">
        <v>0</v>
      </c>
      <c r="E267" s="33">
        <v>0</v>
      </c>
      <c r="F267" s="33">
        <v>1</v>
      </c>
      <c r="G267" s="33">
        <v>0</v>
      </c>
      <c r="H267" s="21">
        <v>2</v>
      </c>
    </row>
    <row r="268" spans="2:8">
      <c r="B268" s="32">
        <v>41171</v>
      </c>
      <c r="C268" s="33">
        <v>24</v>
      </c>
      <c r="D268" s="33">
        <v>0</v>
      </c>
      <c r="E268" s="33">
        <v>0</v>
      </c>
      <c r="F268" s="33">
        <v>1</v>
      </c>
      <c r="G268" s="33">
        <v>0</v>
      </c>
      <c r="H268" s="21">
        <v>2</v>
      </c>
    </row>
    <row r="269" spans="2:8">
      <c r="B269" s="32">
        <v>41172</v>
      </c>
      <c r="C269" s="33">
        <v>28</v>
      </c>
      <c r="D269" s="33">
        <v>0</v>
      </c>
      <c r="E269" s="33">
        <v>0</v>
      </c>
      <c r="F269" s="33">
        <v>1</v>
      </c>
      <c r="G269" s="33">
        <v>0</v>
      </c>
      <c r="H269" s="21">
        <v>2</v>
      </c>
    </row>
    <row r="270" spans="2:8">
      <c r="B270" s="32">
        <v>41173</v>
      </c>
      <c r="C270" s="33">
        <v>36</v>
      </c>
      <c r="D270" s="33">
        <v>0</v>
      </c>
      <c r="E270" s="33">
        <v>0</v>
      </c>
      <c r="F270" s="33">
        <v>1</v>
      </c>
      <c r="G270" s="33">
        <v>0</v>
      </c>
      <c r="H270" s="21">
        <v>2</v>
      </c>
    </row>
    <row r="271" spans="2:8">
      <c r="B271" s="32">
        <v>41174</v>
      </c>
      <c r="C271" s="33">
        <v>49</v>
      </c>
      <c r="D271" s="33">
        <v>0</v>
      </c>
      <c r="E271" s="33">
        <v>0</v>
      </c>
      <c r="F271" s="33">
        <v>2</v>
      </c>
      <c r="G271" s="33">
        <v>1</v>
      </c>
      <c r="H271" s="21">
        <v>6</v>
      </c>
    </row>
    <row r="272" spans="2:8">
      <c r="B272" s="32">
        <v>41175</v>
      </c>
      <c r="C272" s="33">
        <v>51</v>
      </c>
      <c r="D272" s="33">
        <v>0</v>
      </c>
      <c r="E272" s="33">
        <v>0</v>
      </c>
      <c r="F272" s="33">
        <v>1</v>
      </c>
      <c r="G272" s="33">
        <v>1</v>
      </c>
      <c r="H272" s="21">
        <v>4</v>
      </c>
    </row>
    <row r="273" spans="2:8">
      <c r="B273" s="32">
        <v>41176</v>
      </c>
      <c r="C273" s="33">
        <v>69</v>
      </c>
      <c r="D273" s="33">
        <v>0</v>
      </c>
      <c r="E273" s="33">
        <v>0</v>
      </c>
      <c r="F273" s="33">
        <v>1</v>
      </c>
      <c r="G273" s="33">
        <v>0</v>
      </c>
      <c r="H273" s="21">
        <v>2</v>
      </c>
    </row>
    <row r="274" spans="2:8">
      <c r="B274" s="32">
        <v>41177</v>
      </c>
      <c r="C274" s="33">
        <v>32</v>
      </c>
      <c r="D274" s="33">
        <v>0</v>
      </c>
      <c r="E274" s="33">
        <v>0</v>
      </c>
      <c r="F274" s="33">
        <v>1</v>
      </c>
      <c r="G274" s="33">
        <v>1</v>
      </c>
      <c r="H274" s="21">
        <v>4</v>
      </c>
    </row>
    <row r="275" spans="2:8">
      <c r="B275" s="32">
        <v>41178</v>
      </c>
      <c r="C275" s="33">
        <v>45</v>
      </c>
      <c r="D275" s="33">
        <v>0</v>
      </c>
      <c r="E275" s="33">
        <v>0</v>
      </c>
      <c r="F275" s="33">
        <v>0</v>
      </c>
      <c r="G275" s="33">
        <v>0</v>
      </c>
      <c r="H275" s="21">
        <v>1</v>
      </c>
    </row>
    <row r="276" spans="2:8">
      <c r="B276" s="32">
        <v>41179</v>
      </c>
      <c r="C276" s="33">
        <v>40</v>
      </c>
      <c r="D276" s="33">
        <v>0</v>
      </c>
      <c r="E276" s="33">
        <v>0</v>
      </c>
      <c r="F276" s="33">
        <v>1</v>
      </c>
      <c r="G276" s="33">
        <v>0</v>
      </c>
      <c r="H276" s="21">
        <v>2</v>
      </c>
    </row>
    <row r="277" spans="2:8">
      <c r="B277" s="32">
        <v>41180</v>
      </c>
      <c r="C277" s="33">
        <v>49</v>
      </c>
      <c r="D277" s="33">
        <v>0</v>
      </c>
      <c r="E277" s="33">
        <v>0</v>
      </c>
      <c r="F277" s="33">
        <v>1</v>
      </c>
      <c r="G277" s="33">
        <v>1</v>
      </c>
      <c r="H277" s="21">
        <v>4</v>
      </c>
    </row>
    <row r="278" spans="2:8">
      <c r="B278" s="32">
        <v>41181</v>
      </c>
      <c r="C278" s="33">
        <v>53</v>
      </c>
      <c r="D278" s="33">
        <v>0</v>
      </c>
      <c r="E278" s="33">
        <v>0</v>
      </c>
      <c r="F278" s="33">
        <v>3</v>
      </c>
      <c r="G278" s="33">
        <v>2</v>
      </c>
      <c r="H278" s="21">
        <v>12</v>
      </c>
    </row>
    <row r="279" spans="2:8">
      <c r="B279" s="32">
        <v>41182</v>
      </c>
      <c r="C279" s="33">
        <v>52</v>
      </c>
      <c r="D279" s="33">
        <v>0</v>
      </c>
      <c r="E279" s="33">
        <v>0</v>
      </c>
      <c r="F279" s="33">
        <v>2</v>
      </c>
      <c r="G279" s="33">
        <v>2</v>
      </c>
      <c r="H279" s="21">
        <v>9</v>
      </c>
    </row>
    <row r="280" spans="2:8">
      <c r="B280" s="32">
        <v>41183</v>
      </c>
      <c r="C280" s="33">
        <v>56</v>
      </c>
      <c r="D280" s="33">
        <v>0</v>
      </c>
      <c r="E280" s="33">
        <v>0</v>
      </c>
      <c r="F280" s="33">
        <v>1</v>
      </c>
      <c r="G280" s="33">
        <v>1</v>
      </c>
      <c r="H280" s="21">
        <v>4</v>
      </c>
    </row>
    <row r="281" spans="2:8">
      <c r="B281" s="32">
        <v>41184</v>
      </c>
      <c r="C281" s="33">
        <v>33</v>
      </c>
      <c r="D281" s="33">
        <v>0</v>
      </c>
      <c r="E281" s="33">
        <v>0</v>
      </c>
      <c r="F281" s="33">
        <v>1</v>
      </c>
      <c r="G281" s="33">
        <v>0</v>
      </c>
      <c r="H281" s="21">
        <v>2</v>
      </c>
    </row>
    <row r="282" spans="2:8">
      <c r="B282" s="32">
        <v>41185</v>
      </c>
      <c r="C282" s="33">
        <v>22</v>
      </c>
      <c r="D282" s="33">
        <v>0</v>
      </c>
      <c r="E282" s="33">
        <v>0</v>
      </c>
      <c r="F282" s="33">
        <v>0</v>
      </c>
      <c r="G282" s="33">
        <v>0</v>
      </c>
      <c r="H282" s="21">
        <v>1</v>
      </c>
    </row>
    <row r="283" spans="2:8">
      <c r="B283" s="32">
        <v>41186</v>
      </c>
      <c r="C283" s="33">
        <v>26</v>
      </c>
      <c r="D283" s="33">
        <v>0</v>
      </c>
      <c r="E283" s="33">
        <v>0</v>
      </c>
      <c r="F283" s="33">
        <v>0</v>
      </c>
      <c r="G283" s="33">
        <v>0</v>
      </c>
      <c r="H283" s="21">
        <v>1</v>
      </c>
    </row>
    <row r="284" spans="2:8">
      <c r="B284" s="32">
        <v>41187</v>
      </c>
      <c r="C284" s="33">
        <v>37</v>
      </c>
      <c r="D284" s="33">
        <v>0</v>
      </c>
      <c r="E284" s="33">
        <v>0</v>
      </c>
      <c r="F284" s="33">
        <v>0</v>
      </c>
      <c r="G284" s="33">
        <v>0</v>
      </c>
      <c r="H284" s="21">
        <v>1</v>
      </c>
    </row>
    <row r="285" spans="2:8">
      <c r="B285" s="32">
        <v>41188</v>
      </c>
      <c r="C285" s="33">
        <v>35</v>
      </c>
      <c r="D285" s="33">
        <v>0</v>
      </c>
      <c r="E285" s="33">
        <v>0</v>
      </c>
      <c r="F285" s="33">
        <v>2</v>
      </c>
      <c r="G285" s="33">
        <v>1</v>
      </c>
      <c r="H285" s="21">
        <v>6</v>
      </c>
    </row>
    <row r="286" spans="2:8">
      <c r="B286" s="32">
        <v>41189</v>
      </c>
      <c r="C286" s="33">
        <v>39</v>
      </c>
      <c r="D286" s="33">
        <v>0</v>
      </c>
      <c r="E286" s="33">
        <v>0</v>
      </c>
      <c r="F286" s="33">
        <v>2</v>
      </c>
      <c r="G286" s="33">
        <v>2</v>
      </c>
      <c r="H286" s="21">
        <v>9</v>
      </c>
    </row>
    <row r="287" spans="2:8">
      <c r="B287" s="32">
        <v>41190</v>
      </c>
      <c r="C287" s="33">
        <v>29</v>
      </c>
      <c r="D287" s="33">
        <v>0</v>
      </c>
      <c r="E287" s="33">
        <v>0</v>
      </c>
      <c r="F287" s="33">
        <v>1</v>
      </c>
      <c r="G287" s="33">
        <v>0</v>
      </c>
      <c r="H287" s="21">
        <v>2</v>
      </c>
    </row>
    <row r="288" spans="2:8">
      <c r="B288" s="32">
        <v>41191</v>
      </c>
      <c r="C288" s="33">
        <v>25</v>
      </c>
      <c r="D288" s="33">
        <v>0</v>
      </c>
      <c r="E288" s="33">
        <v>0</v>
      </c>
      <c r="F288" s="33">
        <v>0</v>
      </c>
      <c r="G288" s="33">
        <v>0</v>
      </c>
      <c r="H288" s="21">
        <v>1</v>
      </c>
    </row>
    <row r="289" spans="2:8">
      <c r="B289" s="32">
        <v>41192</v>
      </c>
      <c r="C289" s="33">
        <v>19</v>
      </c>
      <c r="D289" s="33">
        <v>0</v>
      </c>
      <c r="E289" s="33">
        <v>0</v>
      </c>
      <c r="F289" s="33">
        <v>0</v>
      </c>
      <c r="G289" s="33">
        <v>0</v>
      </c>
      <c r="H289" s="21">
        <v>1</v>
      </c>
    </row>
    <row r="290" spans="2:8">
      <c r="B290" s="32">
        <v>41193</v>
      </c>
      <c r="C290" s="33">
        <v>16</v>
      </c>
      <c r="D290" s="33">
        <v>0</v>
      </c>
      <c r="E290" s="33">
        <v>0</v>
      </c>
      <c r="F290" s="33">
        <v>0</v>
      </c>
      <c r="G290" s="33">
        <v>0</v>
      </c>
      <c r="H290" s="21">
        <v>1</v>
      </c>
    </row>
    <row r="291" spans="2:8">
      <c r="B291" s="32">
        <v>41194</v>
      </c>
      <c r="C291" s="33">
        <v>28</v>
      </c>
      <c r="D291" s="33">
        <v>0</v>
      </c>
      <c r="E291" s="33">
        <v>0</v>
      </c>
      <c r="F291" s="33">
        <v>0</v>
      </c>
      <c r="G291" s="33">
        <v>0</v>
      </c>
      <c r="H291" s="21">
        <v>1</v>
      </c>
    </row>
    <row r="292" spans="2:8">
      <c r="B292" s="32">
        <v>41195</v>
      </c>
      <c r="C292" s="33">
        <v>40</v>
      </c>
      <c r="D292" s="33">
        <v>0</v>
      </c>
      <c r="E292" s="33">
        <v>0</v>
      </c>
      <c r="F292" s="33">
        <v>1</v>
      </c>
      <c r="G292" s="33">
        <v>1</v>
      </c>
      <c r="H292" s="21">
        <v>4</v>
      </c>
    </row>
    <row r="293" spans="2:8">
      <c r="B293" s="32">
        <v>41196</v>
      </c>
      <c r="C293" s="33">
        <v>35</v>
      </c>
      <c r="D293" s="33">
        <v>0</v>
      </c>
      <c r="E293" s="33">
        <v>0</v>
      </c>
      <c r="F293" s="33">
        <v>1</v>
      </c>
      <c r="G293" s="33">
        <v>0</v>
      </c>
      <c r="H293" s="21">
        <v>2</v>
      </c>
    </row>
    <row r="294" spans="2:8">
      <c r="B294" s="32">
        <v>41197</v>
      </c>
      <c r="C294" s="33">
        <v>22</v>
      </c>
      <c r="D294" s="33">
        <v>0</v>
      </c>
      <c r="E294" s="33">
        <v>0</v>
      </c>
      <c r="F294" s="33">
        <v>0</v>
      </c>
      <c r="G294" s="33">
        <v>0</v>
      </c>
      <c r="H294" s="21">
        <v>1</v>
      </c>
    </row>
    <row r="295" spans="2:8">
      <c r="B295" s="32">
        <v>41198</v>
      </c>
      <c r="C295" s="33">
        <v>14</v>
      </c>
      <c r="D295" s="33">
        <v>0</v>
      </c>
      <c r="E295" s="33">
        <v>0</v>
      </c>
      <c r="F295" s="33">
        <v>0</v>
      </c>
      <c r="G295" s="33">
        <v>0</v>
      </c>
      <c r="H295" s="21">
        <v>1</v>
      </c>
    </row>
    <row r="296" spans="2:8">
      <c r="B296" s="32">
        <v>41199</v>
      </c>
      <c r="C296" s="33">
        <v>21</v>
      </c>
      <c r="D296" s="33">
        <v>0</v>
      </c>
      <c r="E296" s="33">
        <v>0</v>
      </c>
      <c r="F296" s="33">
        <v>0</v>
      </c>
      <c r="G296" s="33">
        <v>0</v>
      </c>
      <c r="H296" s="21">
        <v>1</v>
      </c>
    </row>
    <row r="297" spans="2:8">
      <c r="B297" s="32">
        <v>41200</v>
      </c>
      <c r="C297" s="33">
        <v>16</v>
      </c>
      <c r="D297" s="33">
        <v>0</v>
      </c>
      <c r="E297" s="33">
        <v>0</v>
      </c>
      <c r="F297" s="33">
        <v>0</v>
      </c>
      <c r="G297" s="33">
        <v>0</v>
      </c>
      <c r="H297" s="21">
        <v>1</v>
      </c>
    </row>
    <row r="298" spans="2:8">
      <c r="B298" s="32">
        <v>41201</v>
      </c>
      <c r="C298" s="33">
        <v>35</v>
      </c>
      <c r="D298" s="33">
        <v>0</v>
      </c>
      <c r="E298" s="33">
        <v>0</v>
      </c>
      <c r="F298" s="33">
        <v>0</v>
      </c>
      <c r="G298" s="33">
        <v>0</v>
      </c>
      <c r="H298" s="21">
        <v>1</v>
      </c>
    </row>
    <row r="299" spans="2:8">
      <c r="B299" s="32">
        <v>41202</v>
      </c>
      <c r="C299" s="33">
        <v>46</v>
      </c>
      <c r="D299" s="33">
        <v>0</v>
      </c>
      <c r="E299" s="33">
        <v>0</v>
      </c>
      <c r="F299" s="33">
        <v>1</v>
      </c>
      <c r="G299" s="33">
        <v>1</v>
      </c>
      <c r="H299" s="21">
        <v>4</v>
      </c>
    </row>
    <row r="300" spans="2:8">
      <c r="B300" s="32">
        <v>41203</v>
      </c>
      <c r="C300" s="33">
        <v>29</v>
      </c>
      <c r="D300" s="33">
        <v>0</v>
      </c>
      <c r="E300" s="33">
        <v>0</v>
      </c>
      <c r="F300" s="33">
        <v>1</v>
      </c>
      <c r="G300" s="33">
        <v>0</v>
      </c>
      <c r="H300" s="21">
        <v>2</v>
      </c>
    </row>
    <row r="301" spans="2:8">
      <c r="B301" s="32">
        <v>41204</v>
      </c>
      <c r="C301" s="33">
        <v>27</v>
      </c>
      <c r="D301" s="33">
        <v>0</v>
      </c>
      <c r="E301" s="33">
        <v>0</v>
      </c>
      <c r="F301" s="33">
        <v>0</v>
      </c>
      <c r="G301" s="33">
        <v>0</v>
      </c>
      <c r="H301" s="21">
        <v>1</v>
      </c>
    </row>
    <row r="302" spans="2:8">
      <c r="B302" s="32">
        <v>41205</v>
      </c>
      <c r="C302" s="33">
        <v>20</v>
      </c>
      <c r="D302" s="33">
        <v>0</v>
      </c>
      <c r="E302" s="33">
        <v>0</v>
      </c>
      <c r="F302" s="33">
        <v>0</v>
      </c>
      <c r="G302" s="33">
        <v>0</v>
      </c>
      <c r="H302" s="21">
        <v>1</v>
      </c>
    </row>
    <row r="303" spans="2:8">
      <c r="B303" s="32">
        <v>41206</v>
      </c>
      <c r="C303" s="33">
        <v>33</v>
      </c>
      <c r="D303" s="33">
        <v>0</v>
      </c>
      <c r="E303" s="33">
        <v>0</v>
      </c>
      <c r="F303" s="33">
        <v>0</v>
      </c>
      <c r="G303" s="33">
        <v>0</v>
      </c>
      <c r="H303" s="21">
        <v>1</v>
      </c>
    </row>
    <row r="304" spans="2:8">
      <c r="B304" s="32">
        <v>41207</v>
      </c>
      <c r="C304" s="33">
        <v>31</v>
      </c>
      <c r="D304" s="33">
        <v>0</v>
      </c>
      <c r="E304" s="33">
        <v>0</v>
      </c>
      <c r="F304" s="33">
        <v>0</v>
      </c>
      <c r="G304" s="33">
        <v>0</v>
      </c>
      <c r="H304" s="21">
        <v>1</v>
      </c>
    </row>
    <row r="305" spans="2:8">
      <c r="B305" s="32">
        <v>41208</v>
      </c>
      <c r="C305" s="33">
        <v>38</v>
      </c>
      <c r="D305" s="33">
        <v>0</v>
      </c>
      <c r="E305" s="33">
        <v>0</v>
      </c>
      <c r="F305" s="33">
        <v>1</v>
      </c>
      <c r="G305" s="33">
        <v>0</v>
      </c>
      <c r="H305" s="21">
        <v>2</v>
      </c>
    </row>
    <row r="306" spans="2:8">
      <c r="B306" s="32">
        <v>41209</v>
      </c>
      <c r="C306" s="33">
        <v>58</v>
      </c>
      <c r="D306" s="33">
        <v>0</v>
      </c>
      <c r="E306" s="33">
        <v>0</v>
      </c>
      <c r="F306" s="33">
        <v>2</v>
      </c>
      <c r="G306" s="33">
        <v>1</v>
      </c>
      <c r="H306" s="21">
        <v>6</v>
      </c>
    </row>
    <row r="307" spans="2:8">
      <c r="B307" s="32">
        <v>41210</v>
      </c>
      <c r="C307" s="33">
        <v>50</v>
      </c>
      <c r="D307" s="33">
        <v>0</v>
      </c>
      <c r="E307" s="33">
        <v>0</v>
      </c>
      <c r="F307" s="33">
        <v>1</v>
      </c>
      <c r="G307" s="33">
        <v>1</v>
      </c>
      <c r="H307" s="21">
        <v>4</v>
      </c>
    </row>
    <row r="308" spans="2:8">
      <c r="B308" s="32">
        <v>41211</v>
      </c>
      <c r="C308" s="33">
        <v>50</v>
      </c>
      <c r="D308" s="33">
        <v>0</v>
      </c>
      <c r="E308" s="33">
        <v>0</v>
      </c>
      <c r="F308" s="33">
        <v>1</v>
      </c>
      <c r="G308" s="33">
        <v>1</v>
      </c>
      <c r="H308" s="21">
        <v>4</v>
      </c>
    </row>
    <row r="309" spans="2:8">
      <c r="B309" s="32">
        <v>41212</v>
      </c>
      <c r="C309" s="33">
        <v>51</v>
      </c>
      <c r="D309" s="33">
        <v>0</v>
      </c>
      <c r="E309" s="33">
        <v>0</v>
      </c>
      <c r="F309" s="33">
        <v>0</v>
      </c>
      <c r="G309" s="33">
        <v>0</v>
      </c>
      <c r="H309" s="21">
        <v>1</v>
      </c>
    </row>
    <row r="310" spans="2:8">
      <c r="B310" s="32">
        <v>41213</v>
      </c>
      <c r="C310" s="33">
        <v>49</v>
      </c>
      <c r="D310" s="33">
        <v>0</v>
      </c>
      <c r="E310" s="33">
        <v>0</v>
      </c>
      <c r="F310" s="33">
        <v>1</v>
      </c>
      <c r="G310" s="33">
        <v>1</v>
      </c>
      <c r="H310" s="21">
        <v>4</v>
      </c>
    </row>
    <row r="311" spans="2:8">
      <c r="B311" s="32">
        <v>41214</v>
      </c>
      <c r="C311" s="33">
        <v>34</v>
      </c>
      <c r="D311" s="33">
        <v>0</v>
      </c>
      <c r="E311" s="33">
        <v>0</v>
      </c>
      <c r="F311" s="33">
        <v>0</v>
      </c>
      <c r="G311" s="33">
        <v>0</v>
      </c>
      <c r="H311" s="21">
        <v>1</v>
      </c>
    </row>
    <row r="312" spans="2:8">
      <c r="B312" s="32">
        <v>41215</v>
      </c>
      <c r="C312" s="33">
        <v>27</v>
      </c>
      <c r="D312" s="33">
        <v>0</v>
      </c>
      <c r="E312" s="33">
        <v>0</v>
      </c>
      <c r="F312" s="33">
        <v>0</v>
      </c>
      <c r="G312" s="33">
        <v>0</v>
      </c>
      <c r="H312" s="21">
        <v>1</v>
      </c>
    </row>
    <row r="313" spans="2:8">
      <c r="B313" s="32">
        <v>41216</v>
      </c>
      <c r="C313" s="33">
        <v>43</v>
      </c>
      <c r="D313" s="33">
        <v>0</v>
      </c>
      <c r="E313" s="33">
        <v>0</v>
      </c>
      <c r="F313" s="33">
        <v>2</v>
      </c>
      <c r="G313" s="33">
        <v>1</v>
      </c>
      <c r="H313" s="21">
        <v>6</v>
      </c>
    </row>
    <row r="314" spans="2:8">
      <c r="B314" s="32">
        <v>41217</v>
      </c>
      <c r="C314" s="33">
        <v>35</v>
      </c>
      <c r="D314" s="33">
        <v>0</v>
      </c>
      <c r="E314" s="33">
        <v>0</v>
      </c>
      <c r="F314" s="33">
        <v>1</v>
      </c>
      <c r="G314" s="33">
        <v>1</v>
      </c>
      <c r="H314" s="21">
        <v>4</v>
      </c>
    </row>
    <row r="315" spans="2:8">
      <c r="B315" s="32">
        <v>41218</v>
      </c>
      <c r="C315" s="33">
        <v>25</v>
      </c>
      <c r="D315" s="33">
        <v>0</v>
      </c>
      <c r="E315" s="33">
        <v>0</v>
      </c>
      <c r="F315" s="33">
        <v>0</v>
      </c>
      <c r="G315" s="33">
        <v>0</v>
      </c>
      <c r="H315" s="21">
        <v>1</v>
      </c>
    </row>
    <row r="316" spans="2:8">
      <c r="B316" s="32">
        <v>41219</v>
      </c>
      <c r="C316" s="33">
        <v>26</v>
      </c>
      <c r="D316" s="33">
        <v>0</v>
      </c>
      <c r="E316" s="33">
        <v>0</v>
      </c>
      <c r="F316" s="33">
        <v>0</v>
      </c>
      <c r="G316" s="33">
        <v>0</v>
      </c>
      <c r="H316" s="21">
        <v>1</v>
      </c>
    </row>
    <row r="317" spans="2:8">
      <c r="B317" s="32">
        <v>41220</v>
      </c>
      <c r="C317" s="33">
        <v>21</v>
      </c>
      <c r="D317" s="33">
        <v>0</v>
      </c>
      <c r="E317" s="33">
        <v>0</v>
      </c>
      <c r="F317" s="33">
        <v>0</v>
      </c>
      <c r="G317" s="33">
        <v>0</v>
      </c>
      <c r="H317" s="21">
        <v>1</v>
      </c>
    </row>
    <row r="318" spans="2:8">
      <c r="B318" s="32">
        <v>41221</v>
      </c>
      <c r="C318" s="33">
        <v>14</v>
      </c>
      <c r="D318" s="33">
        <v>0</v>
      </c>
      <c r="E318" s="33">
        <v>0</v>
      </c>
      <c r="F318" s="33">
        <v>0</v>
      </c>
      <c r="G318" s="33">
        <v>0</v>
      </c>
      <c r="H318" s="21">
        <v>1</v>
      </c>
    </row>
    <row r="319" spans="2:8">
      <c r="B319" s="32">
        <v>41222</v>
      </c>
      <c r="C319" s="33">
        <v>27</v>
      </c>
      <c r="D319" s="33">
        <v>0</v>
      </c>
      <c r="E319" s="33">
        <v>0</v>
      </c>
      <c r="F319" s="33">
        <v>0</v>
      </c>
      <c r="G319" s="33">
        <v>0</v>
      </c>
      <c r="H319" s="21">
        <v>1</v>
      </c>
    </row>
    <row r="320" spans="2:8">
      <c r="B320" s="32">
        <v>41223</v>
      </c>
      <c r="C320" s="33">
        <v>37</v>
      </c>
      <c r="D320" s="33">
        <v>0</v>
      </c>
      <c r="E320" s="33">
        <v>0</v>
      </c>
      <c r="F320" s="33">
        <v>1</v>
      </c>
      <c r="G320" s="33">
        <v>1</v>
      </c>
      <c r="H320" s="21">
        <v>4</v>
      </c>
    </row>
    <row r="321" spans="2:8">
      <c r="B321" s="32">
        <v>41224</v>
      </c>
      <c r="C321" s="33">
        <v>26</v>
      </c>
      <c r="D321" s="33">
        <v>0</v>
      </c>
      <c r="E321" s="33">
        <v>0</v>
      </c>
      <c r="F321" s="33">
        <v>0</v>
      </c>
      <c r="G321" s="33">
        <v>0</v>
      </c>
      <c r="H321" s="21">
        <v>1</v>
      </c>
    </row>
    <row r="322" spans="2:8">
      <c r="B322" s="32">
        <v>41225</v>
      </c>
      <c r="C322" s="33">
        <v>21</v>
      </c>
      <c r="D322" s="33">
        <v>0</v>
      </c>
      <c r="E322" s="33">
        <v>0</v>
      </c>
      <c r="F322" s="33">
        <v>0</v>
      </c>
      <c r="G322" s="33">
        <v>0</v>
      </c>
      <c r="H322" s="21">
        <v>1</v>
      </c>
    </row>
    <row r="323" spans="2:8">
      <c r="B323" s="32">
        <v>41226</v>
      </c>
      <c r="C323" s="33">
        <v>22</v>
      </c>
      <c r="D323" s="33">
        <v>0</v>
      </c>
      <c r="E323" s="33">
        <v>0</v>
      </c>
      <c r="F323" s="33">
        <v>0</v>
      </c>
      <c r="G323" s="33">
        <v>0</v>
      </c>
      <c r="H323" s="21">
        <v>1</v>
      </c>
    </row>
    <row r="324" spans="2:8">
      <c r="B324" s="32">
        <v>41227</v>
      </c>
      <c r="C324" s="33">
        <v>12</v>
      </c>
      <c r="D324" s="33">
        <v>0</v>
      </c>
      <c r="E324" s="33">
        <v>0</v>
      </c>
      <c r="F324" s="33">
        <v>0</v>
      </c>
      <c r="G324" s="33">
        <v>0</v>
      </c>
      <c r="H324" s="21">
        <v>1</v>
      </c>
    </row>
    <row r="325" spans="2:8">
      <c r="B325" s="32">
        <v>41228</v>
      </c>
      <c r="C325" s="33">
        <v>33</v>
      </c>
      <c r="D325" s="33">
        <v>0</v>
      </c>
      <c r="E325" s="33">
        <v>0</v>
      </c>
      <c r="F325" s="33">
        <v>0</v>
      </c>
      <c r="G325" s="33">
        <v>0</v>
      </c>
      <c r="H325" s="21">
        <v>1</v>
      </c>
    </row>
    <row r="326" spans="2:8">
      <c r="B326" s="32">
        <v>41229</v>
      </c>
      <c r="C326" s="33">
        <v>26</v>
      </c>
      <c r="D326" s="33">
        <v>0</v>
      </c>
      <c r="E326" s="33">
        <v>0</v>
      </c>
      <c r="F326" s="33">
        <v>0</v>
      </c>
      <c r="G326" s="33">
        <v>0</v>
      </c>
      <c r="H326" s="21">
        <v>1</v>
      </c>
    </row>
    <row r="327" spans="2:8">
      <c r="B327" s="32">
        <v>41230</v>
      </c>
      <c r="C327" s="33">
        <v>38</v>
      </c>
      <c r="D327" s="33">
        <v>0</v>
      </c>
      <c r="E327" s="33">
        <v>0</v>
      </c>
      <c r="F327" s="33">
        <v>1</v>
      </c>
      <c r="G327" s="33">
        <v>1</v>
      </c>
      <c r="H327" s="21">
        <v>4</v>
      </c>
    </row>
    <row r="328" spans="2:8">
      <c r="B328" s="32">
        <v>41231</v>
      </c>
      <c r="C328" s="33">
        <v>39</v>
      </c>
      <c r="D328" s="33">
        <v>0</v>
      </c>
      <c r="E328" s="33">
        <v>0</v>
      </c>
      <c r="F328" s="33">
        <v>1</v>
      </c>
      <c r="G328" s="33">
        <v>0</v>
      </c>
      <c r="H328" s="21">
        <v>2</v>
      </c>
    </row>
    <row r="329" spans="2:8">
      <c r="B329" s="32">
        <v>41232</v>
      </c>
      <c r="C329" s="33">
        <v>25</v>
      </c>
      <c r="D329" s="33">
        <v>0</v>
      </c>
      <c r="E329" s="33">
        <v>0</v>
      </c>
      <c r="F329" s="33">
        <v>0</v>
      </c>
      <c r="G329" s="33">
        <v>0</v>
      </c>
      <c r="H329" s="21">
        <v>1</v>
      </c>
    </row>
    <row r="330" spans="2:8">
      <c r="B330" s="32">
        <v>41233</v>
      </c>
      <c r="C330" s="33">
        <v>28</v>
      </c>
      <c r="D330" s="33">
        <v>0</v>
      </c>
      <c r="E330" s="33">
        <v>0</v>
      </c>
      <c r="F330" s="33">
        <v>0</v>
      </c>
      <c r="G330" s="33">
        <v>0</v>
      </c>
      <c r="H330" s="21">
        <v>1</v>
      </c>
    </row>
    <row r="331" spans="2:8">
      <c r="B331" s="32">
        <v>41234</v>
      </c>
      <c r="C331" s="33">
        <v>38</v>
      </c>
      <c r="D331" s="33">
        <v>0</v>
      </c>
      <c r="E331" s="33">
        <v>0</v>
      </c>
      <c r="F331" s="33">
        <v>0</v>
      </c>
      <c r="G331" s="33">
        <v>0</v>
      </c>
      <c r="H331" s="21">
        <v>1</v>
      </c>
    </row>
    <row r="332" spans="2:8">
      <c r="B332" s="32">
        <v>41235</v>
      </c>
      <c r="C332" s="33">
        <v>45</v>
      </c>
      <c r="D332" s="33">
        <v>0</v>
      </c>
      <c r="E332" s="33">
        <v>0</v>
      </c>
      <c r="F332" s="33">
        <v>0</v>
      </c>
      <c r="G332" s="33">
        <v>0</v>
      </c>
      <c r="H332" s="21">
        <v>1</v>
      </c>
    </row>
    <row r="333" spans="2:8">
      <c r="B333" s="32">
        <v>41236</v>
      </c>
      <c r="C333" s="33">
        <v>49</v>
      </c>
      <c r="D333" s="33">
        <v>0</v>
      </c>
      <c r="E333" s="33">
        <v>0</v>
      </c>
      <c r="F333" s="33">
        <v>2</v>
      </c>
      <c r="G333" s="33">
        <v>1</v>
      </c>
      <c r="H333" s="21">
        <v>6</v>
      </c>
    </row>
    <row r="334" spans="2:8">
      <c r="B334" s="32">
        <v>41237</v>
      </c>
      <c r="C334" s="33">
        <v>42</v>
      </c>
      <c r="D334" s="33">
        <v>0</v>
      </c>
      <c r="E334" s="33">
        <v>0</v>
      </c>
      <c r="F334" s="33">
        <v>2</v>
      </c>
      <c r="G334" s="33">
        <v>1</v>
      </c>
      <c r="H334" s="21">
        <v>6</v>
      </c>
    </row>
    <row r="335" spans="2:8">
      <c r="B335" s="32">
        <v>41238</v>
      </c>
      <c r="C335" s="33">
        <v>46</v>
      </c>
      <c r="D335" s="33">
        <v>0</v>
      </c>
      <c r="E335" s="33">
        <v>0</v>
      </c>
      <c r="F335" s="33">
        <v>1</v>
      </c>
      <c r="G335" s="33">
        <v>1</v>
      </c>
      <c r="H335" s="21">
        <v>4</v>
      </c>
    </row>
    <row r="336" spans="2:8">
      <c r="B336" s="32">
        <v>41239</v>
      </c>
      <c r="C336" s="33">
        <v>40</v>
      </c>
      <c r="D336" s="33">
        <v>0</v>
      </c>
      <c r="E336" s="33">
        <v>0</v>
      </c>
      <c r="F336" s="33">
        <v>0</v>
      </c>
      <c r="G336" s="33">
        <v>0</v>
      </c>
      <c r="H336" s="21">
        <v>1</v>
      </c>
    </row>
    <row r="337" spans="2:8">
      <c r="B337" s="32">
        <v>41240</v>
      </c>
      <c r="C337" s="33">
        <v>32</v>
      </c>
      <c r="D337" s="33">
        <v>0</v>
      </c>
      <c r="E337" s="33">
        <v>0</v>
      </c>
      <c r="F337" s="33">
        <v>1</v>
      </c>
      <c r="G337" s="33">
        <v>0</v>
      </c>
      <c r="H337" s="21">
        <v>2</v>
      </c>
    </row>
    <row r="338" spans="2:8">
      <c r="B338" s="32">
        <v>41241</v>
      </c>
      <c r="C338" s="33">
        <v>43</v>
      </c>
      <c r="D338" s="33">
        <v>0</v>
      </c>
      <c r="E338" s="33">
        <v>0</v>
      </c>
      <c r="F338" s="33">
        <v>0</v>
      </c>
      <c r="G338" s="33">
        <v>0</v>
      </c>
      <c r="H338" s="21">
        <v>1</v>
      </c>
    </row>
    <row r="339" spans="2:8">
      <c r="B339" s="32">
        <v>41242</v>
      </c>
      <c r="C339" s="33">
        <v>44</v>
      </c>
      <c r="D339" s="33">
        <v>0</v>
      </c>
      <c r="E339" s="33">
        <v>0</v>
      </c>
      <c r="F339" s="33">
        <v>0</v>
      </c>
      <c r="G339" s="33">
        <v>0</v>
      </c>
      <c r="H339" s="21">
        <v>1</v>
      </c>
    </row>
    <row r="340" spans="2:8">
      <c r="B340" s="32">
        <v>41243</v>
      </c>
      <c r="C340" s="33">
        <v>49</v>
      </c>
      <c r="D340" s="33">
        <v>0</v>
      </c>
      <c r="E340" s="33">
        <v>0</v>
      </c>
      <c r="F340" s="33">
        <v>1</v>
      </c>
      <c r="G340" s="33">
        <v>1</v>
      </c>
      <c r="H340" s="21">
        <v>4</v>
      </c>
    </row>
    <row r="341" spans="2:8">
      <c r="B341" s="32">
        <v>41244</v>
      </c>
      <c r="C341" s="33">
        <v>45</v>
      </c>
      <c r="D341" s="33">
        <v>0</v>
      </c>
      <c r="E341" s="33">
        <v>0</v>
      </c>
      <c r="F341" s="33">
        <v>2</v>
      </c>
      <c r="G341" s="33">
        <v>1</v>
      </c>
      <c r="H341" s="21">
        <v>6</v>
      </c>
    </row>
    <row r="342" spans="2:8">
      <c r="B342" s="32">
        <v>41245</v>
      </c>
      <c r="C342" s="33">
        <v>37</v>
      </c>
      <c r="D342" s="33">
        <v>0</v>
      </c>
      <c r="E342" s="33">
        <v>0</v>
      </c>
      <c r="F342" s="33">
        <v>1</v>
      </c>
      <c r="G342" s="33">
        <v>1</v>
      </c>
      <c r="H342" s="21">
        <v>4</v>
      </c>
    </row>
    <row r="343" spans="2:8">
      <c r="B343" s="32">
        <v>41246</v>
      </c>
      <c r="C343" s="33">
        <v>40</v>
      </c>
      <c r="D343" s="33">
        <v>0</v>
      </c>
      <c r="E343" s="33">
        <v>0</v>
      </c>
      <c r="F343" s="33">
        <v>0</v>
      </c>
      <c r="G343" s="33">
        <v>0</v>
      </c>
      <c r="H343" s="21">
        <v>1</v>
      </c>
    </row>
    <row r="344" spans="2:8">
      <c r="B344" s="32">
        <v>41247</v>
      </c>
      <c r="C344" s="33">
        <v>17</v>
      </c>
      <c r="D344" s="33">
        <v>0</v>
      </c>
      <c r="E344" s="33">
        <v>0</v>
      </c>
      <c r="F344" s="33">
        <v>0</v>
      </c>
      <c r="G344" s="33">
        <v>0</v>
      </c>
      <c r="H344" s="21">
        <v>1</v>
      </c>
    </row>
    <row r="345" spans="2:8">
      <c r="B345" s="32">
        <v>41248</v>
      </c>
      <c r="C345" s="33">
        <v>26</v>
      </c>
      <c r="D345" s="33">
        <v>0</v>
      </c>
      <c r="E345" s="33">
        <v>0</v>
      </c>
      <c r="F345" s="33">
        <v>0</v>
      </c>
      <c r="G345" s="33">
        <v>0</v>
      </c>
      <c r="H345" s="21">
        <v>1</v>
      </c>
    </row>
    <row r="346" spans="2:8">
      <c r="B346" s="32">
        <v>41249</v>
      </c>
      <c r="C346" s="33">
        <v>16</v>
      </c>
      <c r="D346" s="33">
        <v>0</v>
      </c>
      <c r="E346" s="33">
        <v>0</v>
      </c>
      <c r="F346" s="33">
        <v>0</v>
      </c>
      <c r="G346" s="33">
        <v>0</v>
      </c>
      <c r="H346" s="21">
        <v>1</v>
      </c>
    </row>
    <row r="347" spans="2:8">
      <c r="B347" s="32">
        <v>41250</v>
      </c>
      <c r="C347" s="33">
        <v>19</v>
      </c>
      <c r="D347" s="33">
        <v>0</v>
      </c>
      <c r="E347" s="33">
        <v>0</v>
      </c>
      <c r="F347" s="33">
        <v>0</v>
      </c>
      <c r="G347" s="33">
        <v>0</v>
      </c>
      <c r="H347" s="21">
        <v>1</v>
      </c>
    </row>
    <row r="348" spans="2:8">
      <c r="B348" s="32">
        <v>41251</v>
      </c>
      <c r="C348" s="33">
        <v>44</v>
      </c>
      <c r="D348" s="33">
        <v>0</v>
      </c>
      <c r="E348" s="33">
        <v>0</v>
      </c>
      <c r="F348" s="33">
        <v>1</v>
      </c>
      <c r="G348" s="33">
        <v>1</v>
      </c>
      <c r="H348" s="21">
        <v>4</v>
      </c>
    </row>
    <row r="349" spans="2:8">
      <c r="B349" s="32">
        <v>41252</v>
      </c>
      <c r="C349" s="33">
        <v>35</v>
      </c>
      <c r="D349" s="33">
        <v>0</v>
      </c>
      <c r="E349" s="33">
        <v>0</v>
      </c>
      <c r="F349" s="33">
        <v>1</v>
      </c>
      <c r="G349" s="33">
        <v>0</v>
      </c>
      <c r="H349" s="21">
        <v>2</v>
      </c>
    </row>
    <row r="350" spans="2:8">
      <c r="B350" s="32">
        <v>41253</v>
      </c>
      <c r="C350" s="33">
        <v>39</v>
      </c>
      <c r="D350" s="33">
        <v>0</v>
      </c>
      <c r="E350" s="33">
        <v>0</v>
      </c>
      <c r="F350" s="33">
        <v>0</v>
      </c>
      <c r="G350" s="33">
        <v>0</v>
      </c>
      <c r="H350" s="21">
        <v>1</v>
      </c>
    </row>
    <row r="351" spans="2:8">
      <c r="B351" s="32">
        <v>41254</v>
      </c>
      <c r="C351" s="33">
        <v>22</v>
      </c>
      <c r="D351" s="33">
        <v>0</v>
      </c>
      <c r="E351" s="33">
        <v>0</v>
      </c>
      <c r="F351" s="33">
        <v>0</v>
      </c>
      <c r="G351" s="33">
        <v>0</v>
      </c>
      <c r="H351" s="21">
        <v>1</v>
      </c>
    </row>
    <row r="352" spans="2:8">
      <c r="B352" s="32">
        <v>41255</v>
      </c>
      <c r="C352" s="33">
        <v>27</v>
      </c>
      <c r="D352" s="33">
        <v>0</v>
      </c>
      <c r="E352" s="33">
        <v>0</v>
      </c>
      <c r="F352" s="33">
        <v>0</v>
      </c>
      <c r="G352" s="33">
        <v>0</v>
      </c>
      <c r="H352" s="21">
        <v>1</v>
      </c>
    </row>
    <row r="353" spans="2:8">
      <c r="B353" s="32">
        <v>41256</v>
      </c>
      <c r="C353" s="33">
        <v>34</v>
      </c>
      <c r="D353" s="33">
        <v>0</v>
      </c>
      <c r="E353" s="33">
        <v>0</v>
      </c>
      <c r="F353" s="33">
        <v>0</v>
      </c>
      <c r="G353" s="33">
        <v>0</v>
      </c>
      <c r="H353" s="21">
        <v>1</v>
      </c>
    </row>
    <row r="354" spans="2:8">
      <c r="B354" s="32">
        <v>41257</v>
      </c>
      <c r="C354" s="33">
        <v>37</v>
      </c>
      <c r="D354" s="33">
        <v>0</v>
      </c>
      <c r="E354" s="33">
        <v>0</v>
      </c>
      <c r="F354" s="33">
        <v>0</v>
      </c>
      <c r="G354" s="33">
        <v>0</v>
      </c>
      <c r="H354" s="21">
        <v>1</v>
      </c>
    </row>
    <row r="355" spans="2:8">
      <c r="B355" s="32">
        <v>41258</v>
      </c>
      <c r="C355" s="33">
        <v>50</v>
      </c>
      <c r="D355" s="33">
        <v>0</v>
      </c>
      <c r="E355" s="33">
        <v>0</v>
      </c>
      <c r="F355" s="33">
        <v>1</v>
      </c>
      <c r="G355" s="33">
        <v>1</v>
      </c>
      <c r="H355" s="21">
        <v>4</v>
      </c>
    </row>
    <row r="356" spans="2:8">
      <c r="B356" s="32">
        <v>41259</v>
      </c>
      <c r="C356" s="33">
        <v>49</v>
      </c>
      <c r="D356" s="33">
        <v>0</v>
      </c>
      <c r="E356" s="33">
        <v>0</v>
      </c>
      <c r="F356" s="33">
        <v>1</v>
      </c>
      <c r="G356" s="33">
        <v>0</v>
      </c>
      <c r="H356" s="21">
        <v>2</v>
      </c>
    </row>
    <row r="357" spans="2:8">
      <c r="B357" s="32">
        <v>41260</v>
      </c>
      <c r="C357" s="33">
        <v>43</v>
      </c>
      <c r="D357" s="33">
        <v>0</v>
      </c>
      <c r="E357" s="33">
        <v>0</v>
      </c>
      <c r="F357" s="33">
        <v>0</v>
      </c>
      <c r="G357" s="33">
        <v>0</v>
      </c>
      <c r="H357" s="21">
        <v>1</v>
      </c>
    </row>
    <row r="358" spans="2:8">
      <c r="B358" s="32">
        <v>41261</v>
      </c>
      <c r="C358" s="33">
        <v>41</v>
      </c>
      <c r="D358" s="33">
        <v>0</v>
      </c>
      <c r="E358" s="33">
        <v>0</v>
      </c>
      <c r="F358" s="33">
        <v>0</v>
      </c>
      <c r="G358" s="33">
        <v>0</v>
      </c>
      <c r="H358" s="21">
        <v>1</v>
      </c>
    </row>
    <row r="359" spans="2:8">
      <c r="B359" s="32">
        <v>41262</v>
      </c>
      <c r="C359" s="33">
        <v>39</v>
      </c>
      <c r="D359" s="33">
        <v>0</v>
      </c>
      <c r="E359" s="33">
        <v>0</v>
      </c>
      <c r="F359" s="33">
        <v>0</v>
      </c>
      <c r="G359" s="33">
        <v>0</v>
      </c>
      <c r="H359" s="21">
        <v>1</v>
      </c>
    </row>
    <row r="360" spans="2:8">
      <c r="B360" s="32">
        <v>41263</v>
      </c>
      <c r="C360" s="33">
        <v>50</v>
      </c>
      <c r="D360" s="33">
        <v>0</v>
      </c>
      <c r="E360" s="33">
        <v>0</v>
      </c>
      <c r="F360" s="33">
        <v>0</v>
      </c>
      <c r="G360" s="33">
        <v>0</v>
      </c>
      <c r="H360" s="21">
        <v>1</v>
      </c>
    </row>
    <row r="361" spans="2:8">
      <c r="B361" s="32">
        <v>41264</v>
      </c>
      <c r="C361" s="33">
        <v>45</v>
      </c>
      <c r="D361" s="33">
        <v>0</v>
      </c>
      <c r="E361" s="33">
        <v>0</v>
      </c>
      <c r="F361" s="33">
        <v>0</v>
      </c>
      <c r="G361" s="33">
        <v>0</v>
      </c>
      <c r="H361" s="21">
        <v>1</v>
      </c>
    </row>
    <row r="362" spans="2:8">
      <c r="B362" s="32">
        <v>41265</v>
      </c>
      <c r="C362" s="33">
        <v>49</v>
      </c>
      <c r="D362" s="33">
        <v>0</v>
      </c>
      <c r="E362" s="33">
        <v>0</v>
      </c>
      <c r="F362" s="33">
        <v>2</v>
      </c>
      <c r="G362" s="33">
        <v>1</v>
      </c>
      <c r="H362" s="21">
        <v>6</v>
      </c>
    </row>
    <row r="363" spans="2:8">
      <c r="B363" s="32">
        <v>41266</v>
      </c>
      <c r="C363" s="33">
        <v>46</v>
      </c>
      <c r="D363" s="33">
        <v>0</v>
      </c>
      <c r="E363" s="33">
        <v>0</v>
      </c>
      <c r="F363" s="33">
        <v>2</v>
      </c>
      <c r="G363" s="33">
        <v>3</v>
      </c>
      <c r="H363" s="21">
        <v>12</v>
      </c>
    </row>
    <row r="364" spans="2:8">
      <c r="B364" s="32">
        <v>41267</v>
      </c>
      <c r="C364" s="33">
        <v>44</v>
      </c>
      <c r="D364" s="33">
        <v>0</v>
      </c>
      <c r="E364" s="33">
        <v>0</v>
      </c>
      <c r="F364" s="33">
        <v>1</v>
      </c>
      <c r="G364" s="33">
        <v>0</v>
      </c>
      <c r="H364" s="21">
        <v>2</v>
      </c>
    </row>
    <row r="365" spans="2:8">
      <c r="B365" s="32">
        <v>41268</v>
      </c>
      <c r="C365" s="33">
        <v>43</v>
      </c>
      <c r="D365" s="33">
        <v>0</v>
      </c>
      <c r="E365" s="33">
        <v>0</v>
      </c>
      <c r="F365" s="33">
        <v>1</v>
      </c>
      <c r="G365" s="33">
        <v>1</v>
      </c>
      <c r="H365" s="21">
        <v>4</v>
      </c>
    </row>
    <row r="366" spans="2:8">
      <c r="B366" s="32">
        <v>41269</v>
      </c>
      <c r="C366" s="33">
        <v>55</v>
      </c>
      <c r="D366" s="33">
        <v>0</v>
      </c>
      <c r="E366" s="33">
        <v>0</v>
      </c>
      <c r="F366" s="33">
        <v>0</v>
      </c>
      <c r="G366" s="33">
        <v>0</v>
      </c>
      <c r="H366" s="21">
        <v>1</v>
      </c>
    </row>
    <row r="367" spans="2:8">
      <c r="B367" s="32">
        <v>41270</v>
      </c>
      <c r="C367" s="33">
        <v>48</v>
      </c>
      <c r="D367" s="33">
        <v>0</v>
      </c>
      <c r="E367" s="33">
        <v>0</v>
      </c>
      <c r="F367" s="33">
        <v>1</v>
      </c>
      <c r="G367" s="33">
        <v>0</v>
      </c>
      <c r="H367" s="21">
        <v>2</v>
      </c>
    </row>
    <row r="368" spans="2:8">
      <c r="B368" s="32">
        <v>41271</v>
      </c>
      <c r="C368" s="33">
        <v>41</v>
      </c>
      <c r="D368" s="33">
        <v>0</v>
      </c>
      <c r="E368" s="33">
        <v>0</v>
      </c>
      <c r="F368" s="33">
        <v>1</v>
      </c>
      <c r="G368" s="33">
        <v>1</v>
      </c>
      <c r="H368" s="21">
        <v>4</v>
      </c>
    </row>
    <row r="369" spans="2:8">
      <c r="B369" s="32">
        <v>41272</v>
      </c>
      <c r="C369" s="33">
        <v>33</v>
      </c>
      <c r="D369" s="33">
        <v>0</v>
      </c>
      <c r="E369" s="33">
        <v>0</v>
      </c>
      <c r="F369" s="33">
        <v>2</v>
      </c>
      <c r="G369" s="33">
        <v>2</v>
      </c>
      <c r="H369" s="21">
        <v>9</v>
      </c>
    </row>
    <row r="370" spans="2:8">
      <c r="B370" s="32">
        <v>41273</v>
      </c>
      <c r="C370" s="33">
        <v>23</v>
      </c>
      <c r="D370" s="33">
        <v>0</v>
      </c>
      <c r="E370" s="33">
        <v>0</v>
      </c>
      <c r="F370" s="33">
        <v>1</v>
      </c>
      <c r="G370" s="33">
        <v>2</v>
      </c>
      <c r="H370" s="21">
        <v>6</v>
      </c>
    </row>
    <row r="371" spans="2:8" ht="21" thickBot="1">
      <c r="B371" s="34">
        <v>41274</v>
      </c>
      <c r="C371" s="35">
        <v>0</v>
      </c>
      <c r="D371" s="35">
        <v>0</v>
      </c>
      <c r="E371" s="35">
        <v>1</v>
      </c>
      <c r="F371" s="35">
        <v>-1</v>
      </c>
      <c r="G371" s="35">
        <v>-1</v>
      </c>
      <c r="H371" s="23">
        <v>0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7575D-11EC-2245-8FBE-EAFBC100291C}">
  <dimension ref="A4:R371"/>
  <sheetViews>
    <sheetView workbookViewId="0"/>
  </sheetViews>
  <sheetFormatPr baseColWidth="10" defaultRowHeight="20"/>
  <sheetData>
    <row r="4" spans="1:15" ht="21" thickBot="1">
      <c r="A4" s="24" t="s">
        <v>10</v>
      </c>
    </row>
    <row r="5" spans="1:15" ht="21" thickBot="1">
      <c r="B5" s="29" t="s">
        <v>0</v>
      </c>
      <c r="C5" s="30" t="s">
        <v>1</v>
      </c>
      <c r="D5" s="30" t="s">
        <v>2</v>
      </c>
      <c r="E5" s="30" t="s">
        <v>3</v>
      </c>
      <c r="F5" s="30" t="s">
        <v>4</v>
      </c>
      <c r="G5" s="30" t="s">
        <v>5</v>
      </c>
      <c r="H5" s="31" t="s">
        <v>35</v>
      </c>
      <c r="J5" t="s">
        <v>11</v>
      </c>
    </row>
    <row r="6" spans="1:15" ht="21" thickBot="1">
      <c r="B6" s="32">
        <v>40909</v>
      </c>
      <c r="C6" s="33">
        <v>0</v>
      </c>
      <c r="D6" s="33">
        <v>0</v>
      </c>
      <c r="E6" s="33">
        <v>1</v>
      </c>
      <c r="F6" s="33">
        <v>-1</v>
      </c>
      <c r="G6" s="33">
        <v>-1</v>
      </c>
      <c r="H6" s="21">
        <f t="shared" ref="H6:H69" si="0">(F6+1)*(G6+1)</f>
        <v>0</v>
      </c>
    </row>
    <row r="7" spans="1:15">
      <c r="B7" s="32">
        <v>40910</v>
      </c>
      <c r="C7" s="33">
        <v>0</v>
      </c>
      <c r="D7" s="33">
        <v>0</v>
      </c>
      <c r="E7" s="33">
        <v>1</v>
      </c>
      <c r="F7" s="33">
        <v>-1</v>
      </c>
      <c r="G7" s="33">
        <v>-1</v>
      </c>
      <c r="H7" s="21">
        <f t="shared" si="0"/>
        <v>0</v>
      </c>
      <c r="J7" s="28" t="s">
        <v>12</v>
      </c>
      <c r="K7" s="28"/>
    </row>
    <row r="8" spans="1:15">
      <c r="B8" s="32">
        <v>40911</v>
      </c>
      <c r="C8" s="33">
        <v>0</v>
      </c>
      <c r="D8" s="33">
        <v>0</v>
      </c>
      <c r="E8" s="33">
        <v>1</v>
      </c>
      <c r="F8" s="33">
        <v>-1</v>
      </c>
      <c r="G8" s="33">
        <v>-1</v>
      </c>
      <c r="H8" s="21">
        <f t="shared" si="0"/>
        <v>0</v>
      </c>
      <c r="J8" s="25" t="s">
        <v>13</v>
      </c>
      <c r="K8" s="25">
        <v>0.69522939449386356</v>
      </c>
    </row>
    <row r="9" spans="1:15">
      <c r="B9" s="32">
        <v>40912</v>
      </c>
      <c r="C9" s="33">
        <v>12</v>
      </c>
      <c r="D9" s="33">
        <v>0</v>
      </c>
      <c r="E9" s="33">
        <v>0</v>
      </c>
      <c r="F9" s="33">
        <v>0</v>
      </c>
      <c r="G9" s="33">
        <v>0</v>
      </c>
      <c r="H9" s="21">
        <f t="shared" si="0"/>
        <v>1</v>
      </c>
      <c r="J9" s="25" t="s">
        <v>14</v>
      </c>
      <c r="K9" s="25">
        <v>0.48334391096830415</v>
      </c>
    </row>
    <row r="10" spans="1:15">
      <c r="B10" s="32">
        <v>40913</v>
      </c>
      <c r="C10" s="33">
        <v>9</v>
      </c>
      <c r="D10" s="33">
        <v>0</v>
      </c>
      <c r="E10" s="33">
        <v>0</v>
      </c>
      <c r="F10" s="33">
        <v>0</v>
      </c>
      <c r="G10" s="33">
        <v>0</v>
      </c>
      <c r="H10" s="21">
        <f t="shared" si="0"/>
        <v>1</v>
      </c>
      <c r="J10" s="25" t="s">
        <v>15</v>
      </c>
      <c r="K10" s="25">
        <v>0.476168131953975</v>
      </c>
    </row>
    <row r="11" spans="1:15">
      <c r="B11" s="32">
        <v>40914</v>
      </c>
      <c r="C11" s="33">
        <v>8</v>
      </c>
      <c r="D11" s="33">
        <v>0</v>
      </c>
      <c r="E11" s="33">
        <v>0</v>
      </c>
      <c r="F11" s="33">
        <v>0</v>
      </c>
      <c r="G11" s="33">
        <v>0</v>
      </c>
      <c r="H11" s="21">
        <f t="shared" si="0"/>
        <v>1</v>
      </c>
      <c r="J11" s="25" t="s">
        <v>16</v>
      </c>
      <c r="K11" s="25">
        <v>9.2309383629972235</v>
      </c>
    </row>
    <row r="12" spans="1:15" ht="21" thickBot="1">
      <c r="B12" s="32">
        <v>40915</v>
      </c>
      <c r="C12" s="33">
        <v>29</v>
      </c>
      <c r="D12" s="33">
        <v>0</v>
      </c>
      <c r="E12" s="33">
        <v>0</v>
      </c>
      <c r="F12" s="33">
        <v>0</v>
      </c>
      <c r="G12" s="33">
        <v>0</v>
      </c>
      <c r="H12" s="21">
        <f t="shared" si="0"/>
        <v>1</v>
      </c>
      <c r="J12" s="26" t="s">
        <v>17</v>
      </c>
      <c r="K12" s="26">
        <v>366</v>
      </c>
    </row>
    <row r="13" spans="1:15">
      <c r="B13" s="32">
        <v>40916</v>
      </c>
      <c r="C13" s="33">
        <v>23</v>
      </c>
      <c r="D13" s="33">
        <v>0</v>
      </c>
      <c r="E13" s="33">
        <v>0</v>
      </c>
      <c r="F13" s="33">
        <v>0</v>
      </c>
      <c r="G13" s="33">
        <v>0</v>
      </c>
      <c r="H13" s="21">
        <f t="shared" si="0"/>
        <v>1</v>
      </c>
    </row>
    <row r="14" spans="1:15" ht="21" thickBot="1">
      <c r="B14" s="32">
        <v>40917</v>
      </c>
      <c r="C14" s="33">
        <v>9</v>
      </c>
      <c r="D14" s="33">
        <v>0</v>
      </c>
      <c r="E14" s="33">
        <v>0</v>
      </c>
      <c r="F14" s="33">
        <v>0</v>
      </c>
      <c r="G14" s="33">
        <v>0</v>
      </c>
      <c r="H14" s="21">
        <f t="shared" si="0"/>
        <v>1</v>
      </c>
      <c r="J14" t="s">
        <v>18</v>
      </c>
    </row>
    <row r="15" spans="1:15">
      <c r="B15" s="32">
        <v>40918</v>
      </c>
      <c r="C15" s="33">
        <v>10</v>
      </c>
      <c r="D15" s="33">
        <v>0</v>
      </c>
      <c r="E15" s="33">
        <v>0</v>
      </c>
      <c r="F15" s="33">
        <v>0</v>
      </c>
      <c r="G15" s="33">
        <v>0</v>
      </c>
      <c r="H15" s="21">
        <f t="shared" si="0"/>
        <v>1</v>
      </c>
      <c r="J15" s="27"/>
      <c r="K15" s="27" t="s">
        <v>23</v>
      </c>
      <c r="L15" s="27" t="s">
        <v>24</v>
      </c>
      <c r="M15" s="27" t="s">
        <v>25</v>
      </c>
      <c r="N15" s="27" t="s">
        <v>26</v>
      </c>
      <c r="O15" s="27" t="s">
        <v>27</v>
      </c>
    </row>
    <row r="16" spans="1:15">
      <c r="B16" s="32">
        <v>40919</v>
      </c>
      <c r="C16" s="33">
        <v>10</v>
      </c>
      <c r="D16" s="33">
        <v>0</v>
      </c>
      <c r="E16" s="33">
        <v>0</v>
      </c>
      <c r="F16" s="33">
        <v>0</v>
      </c>
      <c r="G16" s="33">
        <v>0</v>
      </c>
      <c r="H16" s="21">
        <f t="shared" si="0"/>
        <v>1</v>
      </c>
      <c r="J16" s="25" t="s">
        <v>19</v>
      </c>
      <c r="K16" s="25">
        <v>5</v>
      </c>
      <c r="L16" s="25">
        <v>28697.819697876606</v>
      </c>
      <c r="M16" s="25">
        <v>5739.5639395753215</v>
      </c>
      <c r="N16" s="25">
        <v>67.357691757665393</v>
      </c>
      <c r="O16" s="25">
        <v>1.4800791922298963E-49</v>
      </c>
    </row>
    <row r="17" spans="2:18">
      <c r="B17" s="32">
        <v>40920</v>
      </c>
      <c r="C17" s="33">
        <v>7</v>
      </c>
      <c r="D17" s="33">
        <v>0</v>
      </c>
      <c r="E17" s="33">
        <v>0</v>
      </c>
      <c r="F17" s="33">
        <v>0</v>
      </c>
      <c r="G17" s="33">
        <v>0</v>
      </c>
      <c r="H17" s="21">
        <f t="shared" si="0"/>
        <v>1</v>
      </c>
      <c r="J17" s="25" t="s">
        <v>20</v>
      </c>
      <c r="K17" s="25">
        <v>360</v>
      </c>
      <c r="L17" s="25">
        <v>30675.680302123394</v>
      </c>
      <c r="M17" s="25">
        <v>85.210223061453874</v>
      </c>
      <c r="N17" s="25"/>
      <c r="O17" s="25"/>
    </row>
    <row r="18" spans="2:18" ht="21" thickBot="1">
      <c r="B18" s="32">
        <v>40921</v>
      </c>
      <c r="C18" s="33">
        <v>9</v>
      </c>
      <c r="D18" s="33">
        <v>0</v>
      </c>
      <c r="E18" s="33">
        <v>0</v>
      </c>
      <c r="F18" s="33">
        <v>0</v>
      </c>
      <c r="G18" s="33">
        <v>0</v>
      </c>
      <c r="H18" s="21">
        <f t="shared" si="0"/>
        <v>1</v>
      </c>
      <c r="J18" s="26" t="s">
        <v>21</v>
      </c>
      <c r="K18" s="26">
        <v>365</v>
      </c>
      <c r="L18" s="26">
        <v>59373.5</v>
      </c>
      <c r="M18" s="26"/>
      <c r="N18" s="26"/>
      <c r="O18" s="26"/>
    </row>
    <row r="19" spans="2:18" ht="21" thickBot="1">
      <c r="B19" s="32">
        <v>40922</v>
      </c>
      <c r="C19" s="33">
        <v>24</v>
      </c>
      <c r="D19" s="33">
        <v>0</v>
      </c>
      <c r="E19" s="33">
        <v>0</v>
      </c>
      <c r="F19" s="33">
        <v>0</v>
      </c>
      <c r="G19" s="33">
        <v>1</v>
      </c>
      <c r="H19" s="21">
        <f t="shared" si="0"/>
        <v>2</v>
      </c>
    </row>
    <row r="20" spans="2:18">
      <c r="B20" s="32">
        <v>40923</v>
      </c>
      <c r="C20" s="33">
        <v>21</v>
      </c>
      <c r="D20" s="33">
        <v>0</v>
      </c>
      <c r="E20" s="33">
        <v>0</v>
      </c>
      <c r="F20" s="33">
        <v>0</v>
      </c>
      <c r="G20" s="33">
        <v>0</v>
      </c>
      <c r="H20" s="21">
        <f t="shared" si="0"/>
        <v>1</v>
      </c>
      <c r="J20" s="27"/>
      <c r="K20" s="27" t="s">
        <v>28</v>
      </c>
      <c r="L20" s="27" t="s">
        <v>16</v>
      </c>
      <c r="M20" s="27" t="s">
        <v>29</v>
      </c>
      <c r="N20" s="27" t="s">
        <v>30</v>
      </c>
      <c r="O20" s="27" t="s">
        <v>31</v>
      </c>
      <c r="P20" s="27" t="s">
        <v>32</v>
      </c>
      <c r="Q20" s="27" t="s">
        <v>33</v>
      </c>
      <c r="R20" s="27" t="s">
        <v>34</v>
      </c>
    </row>
    <row r="21" spans="2:18">
      <c r="B21" s="32">
        <v>40924</v>
      </c>
      <c r="C21" s="33">
        <v>18</v>
      </c>
      <c r="D21" s="33">
        <v>0</v>
      </c>
      <c r="E21" s="33">
        <v>0</v>
      </c>
      <c r="F21" s="33">
        <v>0</v>
      </c>
      <c r="G21" s="33">
        <v>0</v>
      </c>
      <c r="H21" s="21">
        <f t="shared" si="0"/>
        <v>1</v>
      </c>
      <c r="J21" s="25" t="s">
        <v>22</v>
      </c>
      <c r="K21" s="25">
        <v>25.451779581433314</v>
      </c>
      <c r="L21" s="25">
        <v>0.62983759437650511</v>
      </c>
      <c r="M21" s="25">
        <v>40.410067307317192</v>
      </c>
      <c r="N21" s="25">
        <v>7.7742512927842415E-136</v>
      </c>
      <c r="O21" s="25">
        <v>24.213156424382888</v>
      </c>
      <c r="P21" s="25">
        <v>26.690402738483741</v>
      </c>
      <c r="Q21" s="25">
        <v>24.213156424382888</v>
      </c>
      <c r="R21" s="25">
        <v>26.690402738483741</v>
      </c>
    </row>
    <row r="22" spans="2:18">
      <c r="B22" s="32">
        <v>40925</v>
      </c>
      <c r="C22" s="33">
        <v>18</v>
      </c>
      <c r="D22" s="33">
        <v>0</v>
      </c>
      <c r="E22" s="33">
        <v>0</v>
      </c>
      <c r="F22" s="33">
        <v>0</v>
      </c>
      <c r="G22" s="33">
        <v>0</v>
      </c>
      <c r="H22" s="21">
        <f t="shared" si="0"/>
        <v>1</v>
      </c>
      <c r="J22" s="25" t="s">
        <v>2</v>
      </c>
      <c r="K22" s="25">
        <v>0</v>
      </c>
      <c r="L22" s="25">
        <v>0</v>
      </c>
      <c r="M22" s="25">
        <v>65535</v>
      </c>
      <c r="N22" s="25" t="e">
        <v>#NUM!</v>
      </c>
      <c r="O22" s="25">
        <v>0</v>
      </c>
      <c r="P22" s="25">
        <v>0</v>
      </c>
      <c r="Q22" s="25">
        <v>0</v>
      </c>
      <c r="R22" s="25">
        <v>0</v>
      </c>
    </row>
    <row r="23" spans="2:18">
      <c r="B23" s="32">
        <v>40926</v>
      </c>
      <c r="C23" s="33">
        <v>17</v>
      </c>
      <c r="D23" s="33">
        <v>0</v>
      </c>
      <c r="E23" s="33">
        <v>0</v>
      </c>
      <c r="F23" s="33">
        <v>0</v>
      </c>
      <c r="G23" s="33">
        <v>0</v>
      </c>
      <c r="H23" s="21">
        <f t="shared" si="0"/>
        <v>1</v>
      </c>
      <c r="J23" s="25" t="s">
        <v>3</v>
      </c>
      <c r="K23" s="25">
        <v>-9.8770189025300592</v>
      </c>
      <c r="L23" s="25">
        <v>5.0371643102757933</v>
      </c>
      <c r="M23" s="25">
        <v>-1.9608292074929903</v>
      </c>
      <c r="N23" s="25" t="e">
        <v>#NUM!</v>
      </c>
      <c r="O23" s="25">
        <v>-19.782982624419127</v>
      </c>
      <c r="P23" s="25">
        <v>2.8944819359010054E-2</v>
      </c>
      <c r="Q23" s="25">
        <v>-19.782982624419127</v>
      </c>
      <c r="R23" s="25">
        <v>2.8944819359010054E-2</v>
      </c>
    </row>
    <row r="24" spans="2:18">
      <c r="B24" s="32">
        <v>40927</v>
      </c>
      <c r="C24" s="33">
        <v>13</v>
      </c>
      <c r="D24" s="33">
        <v>0</v>
      </c>
      <c r="E24" s="33">
        <v>0</v>
      </c>
      <c r="F24" s="33">
        <v>0</v>
      </c>
      <c r="G24" s="33">
        <v>0</v>
      </c>
      <c r="H24" s="21">
        <f t="shared" si="0"/>
        <v>1</v>
      </c>
      <c r="J24" s="25" t="s">
        <v>4</v>
      </c>
      <c r="K24" s="25">
        <v>8.8928395031186245</v>
      </c>
      <c r="L24" s="25">
        <v>1.2163918227028661</v>
      </c>
      <c r="M24" s="25">
        <v>7.3108346645724875</v>
      </c>
      <c r="N24" s="25">
        <v>1.7323082439053804E-12</v>
      </c>
      <c r="O24" s="25">
        <v>6.5007131945294621</v>
      </c>
      <c r="P24" s="25">
        <v>11.284965811707787</v>
      </c>
      <c r="Q24" s="25">
        <v>6.5007131945294621</v>
      </c>
      <c r="R24" s="25">
        <v>11.284965811707787</v>
      </c>
    </row>
    <row r="25" spans="2:18">
      <c r="B25" s="32">
        <v>40928</v>
      </c>
      <c r="C25" s="33">
        <v>18</v>
      </c>
      <c r="D25" s="33">
        <v>0</v>
      </c>
      <c r="E25" s="33">
        <v>0</v>
      </c>
      <c r="F25" s="33">
        <v>0</v>
      </c>
      <c r="G25" s="33">
        <v>0</v>
      </c>
      <c r="H25" s="21">
        <f t="shared" si="0"/>
        <v>1</v>
      </c>
      <c r="J25" s="25" t="s">
        <v>5</v>
      </c>
      <c r="K25" s="25">
        <v>6.681921175785142</v>
      </c>
      <c r="L25" s="25">
        <v>1.7815198248938915</v>
      </c>
      <c r="M25" s="25">
        <v>3.7506858371239971</v>
      </c>
      <c r="N25" s="25">
        <v>2.0544131615300157E-4</v>
      </c>
      <c r="O25" s="25">
        <v>3.1784280061809893</v>
      </c>
      <c r="P25" s="25">
        <v>10.185414345389294</v>
      </c>
      <c r="Q25" s="25">
        <v>3.1784280061809893</v>
      </c>
      <c r="R25" s="25">
        <v>10.185414345389294</v>
      </c>
    </row>
    <row r="26" spans="2:18" ht="21" thickBot="1">
      <c r="B26" s="32">
        <v>40929</v>
      </c>
      <c r="C26" s="33">
        <v>30</v>
      </c>
      <c r="D26" s="33">
        <v>0</v>
      </c>
      <c r="E26" s="33">
        <v>0</v>
      </c>
      <c r="F26" s="33">
        <v>1</v>
      </c>
      <c r="G26" s="33">
        <v>0</v>
      </c>
      <c r="H26" s="21">
        <f t="shared" si="0"/>
        <v>2</v>
      </c>
      <c r="J26" s="26" t="s">
        <v>6</v>
      </c>
      <c r="K26" s="26">
        <v>-1.3446152862579166</v>
      </c>
      <c r="L26" s="26">
        <v>0.37846240124000008</v>
      </c>
      <c r="M26" s="26">
        <v>-3.5528371691676588</v>
      </c>
      <c r="N26" s="26">
        <v>4.3181746021280187E-4</v>
      </c>
      <c r="O26" s="26">
        <v>-2.0888901571678153</v>
      </c>
      <c r="P26" s="26">
        <v>-0.60034041534801785</v>
      </c>
      <c r="Q26" s="26">
        <v>-2.0888901571678153</v>
      </c>
      <c r="R26" s="26">
        <v>-0.60034041534801785</v>
      </c>
    </row>
    <row r="27" spans="2:18">
      <c r="B27" s="32">
        <v>40930</v>
      </c>
      <c r="C27" s="33">
        <v>28</v>
      </c>
      <c r="D27" s="33">
        <v>0</v>
      </c>
      <c r="E27" s="33">
        <v>0</v>
      </c>
      <c r="F27" s="33">
        <v>1</v>
      </c>
      <c r="G27" s="33">
        <v>0</v>
      </c>
      <c r="H27" s="21">
        <f t="shared" si="0"/>
        <v>2</v>
      </c>
    </row>
    <row r="28" spans="2:18">
      <c r="B28" s="32">
        <v>40931</v>
      </c>
      <c r="C28" s="33">
        <v>18</v>
      </c>
      <c r="D28" s="33">
        <v>0</v>
      </c>
      <c r="E28" s="33">
        <v>0</v>
      </c>
      <c r="F28" s="33">
        <v>0</v>
      </c>
      <c r="G28" s="33">
        <v>0</v>
      </c>
      <c r="H28" s="21">
        <f t="shared" si="0"/>
        <v>1</v>
      </c>
    </row>
    <row r="29" spans="2:18">
      <c r="B29" s="32">
        <v>40932</v>
      </c>
      <c r="C29" s="33">
        <v>17</v>
      </c>
      <c r="D29" s="33">
        <v>0</v>
      </c>
      <c r="E29" s="33">
        <v>0</v>
      </c>
      <c r="F29" s="33">
        <v>0</v>
      </c>
      <c r="G29" s="33">
        <v>0</v>
      </c>
      <c r="H29" s="21">
        <f t="shared" si="0"/>
        <v>1</v>
      </c>
    </row>
    <row r="30" spans="2:18">
      <c r="B30" s="32">
        <v>40933</v>
      </c>
      <c r="C30" s="33">
        <v>20</v>
      </c>
      <c r="D30" s="33">
        <v>0</v>
      </c>
      <c r="E30" s="33">
        <v>0</v>
      </c>
      <c r="F30" s="33">
        <v>0</v>
      </c>
      <c r="G30" s="33">
        <v>0</v>
      </c>
      <c r="H30" s="21">
        <f t="shared" si="0"/>
        <v>1</v>
      </c>
    </row>
    <row r="31" spans="2:18">
      <c r="B31" s="32">
        <v>40934</v>
      </c>
      <c r="C31" s="33">
        <v>16</v>
      </c>
      <c r="D31" s="33">
        <v>0</v>
      </c>
      <c r="E31" s="33">
        <v>0</v>
      </c>
      <c r="F31" s="33">
        <v>0</v>
      </c>
      <c r="G31" s="33">
        <v>0</v>
      </c>
      <c r="H31" s="21">
        <f t="shared" si="0"/>
        <v>1</v>
      </c>
    </row>
    <row r="32" spans="2:18">
      <c r="B32" s="32">
        <v>40935</v>
      </c>
      <c r="C32" s="33">
        <v>30</v>
      </c>
      <c r="D32" s="33">
        <v>0</v>
      </c>
      <c r="E32" s="33">
        <v>0</v>
      </c>
      <c r="F32" s="33">
        <v>1</v>
      </c>
      <c r="G32" s="33">
        <v>1</v>
      </c>
      <c r="H32" s="21">
        <f t="shared" si="0"/>
        <v>4</v>
      </c>
    </row>
    <row r="33" spans="2:8">
      <c r="B33" s="32">
        <v>40936</v>
      </c>
      <c r="C33" s="33">
        <v>32</v>
      </c>
      <c r="D33" s="33">
        <v>0</v>
      </c>
      <c r="E33" s="33">
        <v>0</v>
      </c>
      <c r="F33" s="33">
        <v>2</v>
      </c>
      <c r="G33" s="33">
        <v>1</v>
      </c>
      <c r="H33" s="21">
        <f t="shared" si="0"/>
        <v>6</v>
      </c>
    </row>
    <row r="34" spans="2:8">
      <c r="B34" s="32">
        <v>40937</v>
      </c>
      <c r="C34" s="33">
        <v>26</v>
      </c>
      <c r="D34" s="33">
        <v>0</v>
      </c>
      <c r="E34" s="33">
        <v>0</v>
      </c>
      <c r="F34" s="33">
        <v>2</v>
      </c>
      <c r="G34" s="33">
        <v>1</v>
      </c>
      <c r="H34" s="21">
        <f t="shared" si="0"/>
        <v>6</v>
      </c>
    </row>
    <row r="35" spans="2:8">
      <c r="B35" s="32">
        <v>40938</v>
      </c>
      <c r="C35" s="33">
        <v>33</v>
      </c>
      <c r="D35" s="33">
        <v>0</v>
      </c>
      <c r="E35" s="33">
        <v>0</v>
      </c>
      <c r="F35" s="33">
        <v>1</v>
      </c>
      <c r="G35" s="33">
        <v>0</v>
      </c>
      <c r="H35" s="21">
        <f t="shared" si="0"/>
        <v>2</v>
      </c>
    </row>
    <row r="36" spans="2:8">
      <c r="B36" s="32">
        <v>40939</v>
      </c>
      <c r="C36" s="33">
        <v>29</v>
      </c>
      <c r="D36" s="33">
        <v>0</v>
      </c>
      <c r="E36" s="33">
        <v>0</v>
      </c>
      <c r="F36" s="33">
        <v>1</v>
      </c>
      <c r="G36" s="33">
        <v>1</v>
      </c>
      <c r="H36" s="21">
        <f t="shared" si="0"/>
        <v>4</v>
      </c>
    </row>
    <row r="37" spans="2:8">
      <c r="B37" s="32">
        <v>40940</v>
      </c>
      <c r="C37" s="33">
        <v>27</v>
      </c>
      <c r="D37" s="33">
        <v>0</v>
      </c>
      <c r="E37" s="33">
        <v>0</v>
      </c>
      <c r="F37" s="33">
        <v>1</v>
      </c>
      <c r="G37" s="33">
        <v>1</v>
      </c>
      <c r="H37" s="21">
        <f t="shared" si="0"/>
        <v>4</v>
      </c>
    </row>
    <row r="38" spans="2:8">
      <c r="B38" s="32">
        <v>40941</v>
      </c>
      <c r="C38" s="33">
        <v>17</v>
      </c>
      <c r="D38" s="33">
        <v>0</v>
      </c>
      <c r="E38" s="33">
        <v>0</v>
      </c>
      <c r="F38" s="33">
        <v>1</v>
      </c>
      <c r="G38" s="33">
        <v>0</v>
      </c>
      <c r="H38" s="21">
        <f t="shared" si="0"/>
        <v>2</v>
      </c>
    </row>
    <row r="39" spans="2:8">
      <c r="B39" s="32">
        <v>40942</v>
      </c>
      <c r="C39" s="33">
        <v>19</v>
      </c>
      <c r="D39" s="33">
        <v>0</v>
      </c>
      <c r="E39" s="33">
        <v>0</v>
      </c>
      <c r="F39" s="33">
        <v>0</v>
      </c>
      <c r="G39" s="33">
        <v>0</v>
      </c>
      <c r="H39" s="21">
        <f t="shared" si="0"/>
        <v>1</v>
      </c>
    </row>
    <row r="40" spans="2:8">
      <c r="B40" s="32">
        <v>40943</v>
      </c>
      <c r="C40" s="33">
        <v>33</v>
      </c>
      <c r="D40" s="33">
        <v>0</v>
      </c>
      <c r="E40" s="33">
        <v>0</v>
      </c>
      <c r="F40" s="33">
        <v>2</v>
      </c>
      <c r="G40" s="33">
        <v>1</v>
      </c>
      <c r="H40" s="21">
        <f t="shared" si="0"/>
        <v>6</v>
      </c>
    </row>
    <row r="41" spans="2:8">
      <c r="B41" s="32">
        <v>40944</v>
      </c>
      <c r="C41" s="33">
        <v>19</v>
      </c>
      <c r="D41" s="33">
        <v>0</v>
      </c>
      <c r="E41" s="33">
        <v>0</v>
      </c>
      <c r="F41" s="33">
        <v>1</v>
      </c>
      <c r="G41" s="33">
        <v>1</v>
      </c>
      <c r="H41" s="21">
        <f t="shared" si="0"/>
        <v>4</v>
      </c>
    </row>
    <row r="42" spans="2:8">
      <c r="B42" s="32">
        <v>40945</v>
      </c>
      <c r="C42" s="33">
        <v>23</v>
      </c>
      <c r="D42" s="33">
        <v>0</v>
      </c>
      <c r="E42" s="33">
        <v>0</v>
      </c>
      <c r="F42" s="33">
        <v>0</v>
      </c>
      <c r="G42" s="33">
        <v>0</v>
      </c>
      <c r="H42" s="21">
        <f t="shared" si="0"/>
        <v>1</v>
      </c>
    </row>
    <row r="43" spans="2:8">
      <c r="B43" s="32">
        <v>40946</v>
      </c>
      <c r="C43" s="33">
        <v>18</v>
      </c>
      <c r="D43" s="33">
        <v>0</v>
      </c>
      <c r="E43" s="33">
        <v>0</v>
      </c>
      <c r="F43" s="33">
        <v>0</v>
      </c>
      <c r="G43" s="33">
        <v>0</v>
      </c>
      <c r="H43" s="21">
        <f t="shared" si="0"/>
        <v>1</v>
      </c>
    </row>
    <row r="44" spans="2:8">
      <c r="B44" s="32">
        <v>40947</v>
      </c>
      <c r="C44" s="33">
        <v>22</v>
      </c>
      <c r="D44" s="33">
        <v>0</v>
      </c>
      <c r="E44" s="33">
        <v>0</v>
      </c>
      <c r="F44" s="33">
        <v>0</v>
      </c>
      <c r="G44" s="33">
        <v>0</v>
      </c>
      <c r="H44" s="21">
        <f t="shared" si="0"/>
        <v>1</v>
      </c>
    </row>
    <row r="45" spans="2:8">
      <c r="B45" s="32">
        <v>40948</v>
      </c>
      <c r="C45" s="33">
        <v>14</v>
      </c>
      <c r="D45" s="33">
        <v>0</v>
      </c>
      <c r="E45" s="33">
        <v>0</v>
      </c>
      <c r="F45" s="33">
        <v>0</v>
      </c>
      <c r="G45" s="33">
        <v>0</v>
      </c>
      <c r="H45" s="21">
        <f t="shared" si="0"/>
        <v>1</v>
      </c>
    </row>
    <row r="46" spans="2:8">
      <c r="B46" s="32">
        <v>40949</v>
      </c>
      <c r="C46" s="33">
        <v>25</v>
      </c>
      <c r="D46" s="33">
        <v>0</v>
      </c>
      <c r="E46" s="33">
        <v>0</v>
      </c>
      <c r="F46" s="33">
        <v>0</v>
      </c>
      <c r="G46" s="33">
        <v>0</v>
      </c>
      <c r="H46" s="21">
        <f t="shared" si="0"/>
        <v>1</v>
      </c>
    </row>
    <row r="47" spans="2:8">
      <c r="B47" s="32">
        <v>40950</v>
      </c>
      <c r="C47" s="33">
        <v>36</v>
      </c>
      <c r="D47" s="33">
        <v>0</v>
      </c>
      <c r="E47" s="33">
        <v>0</v>
      </c>
      <c r="F47" s="33">
        <v>1</v>
      </c>
      <c r="G47" s="33">
        <v>1</v>
      </c>
      <c r="H47" s="21">
        <f t="shared" si="0"/>
        <v>4</v>
      </c>
    </row>
    <row r="48" spans="2:8">
      <c r="B48" s="32">
        <v>40951</v>
      </c>
      <c r="C48" s="33">
        <v>22</v>
      </c>
      <c r="D48" s="33">
        <v>0</v>
      </c>
      <c r="E48" s="33">
        <v>0</v>
      </c>
      <c r="F48" s="33">
        <v>1</v>
      </c>
      <c r="G48" s="33">
        <v>0</v>
      </c>
      <c r="H48" s="21">
        <f t="shared" si="0"/>
        <v>2</v>
      </c>
    </row>
    <row r="49" spans="2:8">
      <c r="B49" s="32">
        <v>40952</v>
      </c>
      <c r="C49" s="33">
        <v>23</v>
      </c>
      <c r="D49" s="33">
        <v>0</v>
      </c>
      <c r="E49" s="33">
        <v>0</v>
      </c>
      <c r="F49" s="33">
        <v>0</v>
      </c>
      <c r="G49" s="33">
        <v>0</v>
      </c>
      <c r="H49" s="21">
        <f t="shared" si="0"/>
        <v>1</v>
      </c>
    </row>
    <row r="50" spans="2:8">
      <c r="B50" s="32">
        <v>40953</v>
      </c>
      <c r="C50" s="33">
        <v>18</v>
      </c>
      <c r="D50" s="33">
        <v>0</v>
      </c>
      <c r="E50" s="33">
        <v>0</v>
      </c>
      <c r="F50" s="33">
        <v>0</v>
      </c>
      <c r="G50" s="33">
        <v>0</v>
      </c>
      <c r="H50" s="21">
        <f t="shared" si="0"/>
        <v>1</v>
      </c>
    </row>
    <row r="51" spans="2:8">
      <c r="B51" s="32">
        <v>40954</v>
      </c>
      <c r="C51" s="33">
        <v>23</v>
      </c>
      <c r="D51" s="33">
        <v>0</v>
      </c>
      <c r="E51" s="33">
        <v>0</v>
      </c>
      <c r="F51" s="33">
        <v>0</v>
      </c>
      <c r="G51" s="33">
        <v>0</v>
      </c>
      <c r="H51" s="21">
        <f t="shared" si="0"/>
        <v>1</v>
      </c>
    </row>
    <row r="52" spans="2:8">
      <c r="B52" s="32">
        <v>40955</v>
      </c>
      <c r="C52" s="33">
        <v>22</v>
      </c>
      <c r="D52" s="33">
        <v>0</v>
      </c>
      <c r="E52" s="33">
        <v>0</v>
      </c>
      <c r="F52" s="33">
        <v>0</v>
      </c>
      <c r="G52" s="33">
        <v>0</v>
      </c>
      <c r="H52" s="21">
        <f t="shared" si="0"/>
        <v>1</v>
      </c>
    </row>
    <row r="53" spans="2:8">
      <c r="B53" s="32">
        <v>40956</v>
      </c>
      <c r="C53" s="33">
        <v>25</v>
      </c>
      <c r="D53" s="33">
        <v>0</v>
      </c>
      <c r="E53" s="33">
        <v>0</v>
      </c>
      <c r="F53" s="33">
        <v>0</v>
      </c>
      <c r="G53" s="33">
        <v>0</v>
      </c>
      <c r="H53" s="21">
        <f t="shared" si="0"/>
        <v>1</v>
      </c>
    </row>
    <row r="54" spans="2:8">
      <c r="B54" s="32">
        <v>40957</v>
      </c>
      <c r="C54" s="33">
        <v>33</v>
      </c>
      <c r="D54" s="33">
        <v>0</v>
      </c>
      <c r="E54" s="33">
        <v>0</v>
      </c>
      <c r="F54" s="33">
        <v>2</v>
      </c>
      <c r="G54" s="33">
        <v>1</v>
      </c>
      <c r="H54" s="21">
        <f t="shared" si="0"/>
        <v>6</v>
      </c>
    </row>
    <row r="55" spans="2:8">
      <c r="B55" s="32">
        <v>40958</v>
      </c>
      <c r="C55" s="33">
        <v>31</v>
      </c>
      <c r="D55" s="33">
        <v>0</v>
      </c>
      <c r="E55" s="33">
        <v>0</v>
      </c>
      <c r="F55" s="33">
        <v>1</v>
      </c>
      <c r="G55" s="33">
        <v>1</v>
      </c>
      <c r="H55" s="21">
        <f t="shared" si="0"/>
        <v>4</v>
      </c>
    </row>
    <row r="56" spans="2:8">
      <c r="B56" s="32">
        <v>40959</v>
      </c>
      <c r="C56" s="33">
        <v>26</v>
      </c>
      <c r="D56" s="33">
        <v>0</v>
      </c>
      <c r="E56" s="33">
        <v>0</v>
      </c>
      <c r="F56" s="33">
        <v>1</v>
      </c>
      <c r="G56" s="33">
        <v>0</v>
      </c>
      <c r="H56" s="21">
        <f t="shared" si="0"/>
        <v>2</v>
      </c>
    </row>
    <row r="57" spans="2:8">
      <c r="B57" s="32">
        <v>40960</v>
      </c>
      <c r="C57" s="33">
        <v>24</v>
      </c>
      <c r="D57" s="33">
        <v>0</v>
      </c>
      <c r="E57" s="33">
        <v>0</v>
      </c>
      <c r="F57" s="33">
        <v>0</v>
      </c>
      <c r="G57" s="33">
        <v>0</v>
      </c>
      <c r="H57" s="21">
        <f t="shared" si="0"/>
        <v>1</v>
      </c>
    </row>
    <row r="58" spans="2:8">
      <c r="B58" s="32">
        <v>40961</v>
      </c>
      <c r="C58" s="33">
        <v>32</v>
      </c>
      <c r="D58" s="33">
        <v>0</v>
      </c>
      <c r="E58" s="33">
        <v>0</v>
      </c>
      <c r="F58" s="33">
        <v>0</v>
      </c>
      <c r="G58" s="33">
        <v>0</v>
      </c>
      <c r="H58" s="21">
        <f t="shared" si="0"/>
        <v>1</v>
      </c>
    </row>
    <row r="59" spans="2:8">
      <c r="B59" s="32">
        <v>40962</v>
      </c>
      <c r="C59" s="33">
        <v>29</v>
      </c>
      <c r="D59" s="33">
        <v>0</v>
      </c>
      <c r="E59" s="33">
        <v>0</v>
      </c>
      <c r="F59" s="33">
        <v>1</v>
      </c>
      <c r="G59" s="33">
        <v>0</v>
      </c>
      <c r="H59" s="21">
        <f t="shared" si="0"/>
        <v>2</v>
      </c>
    </row>
    <row r="60" spans="2:8">
      <c r="B60" s="32">
        <v>40963</v>
      </c>
      <c r="C60" s="33">
        <v>43</v>
      </c>
      <c r="D60" s="33">
        <v>0</v>
      </c>
      <c r="E60" s="33">
        <v>0</v>
      </c>
      <c r="F60" s="33">
        <v>1</v>
      </c>
      <c r="G60" s="33">
        <v>1</v>
      </c>
      <c r="H60" s="21">
        <f t="shared" si="0"/>
        <v>4</v>
      </c>
    </row>
    <row r="61" spans="2:8">
      <c r="B61" s="32">
        <v>40964</v>
      </c>
      <c r="C61" s="33">
        <v>49</v>
      </c>
      <c r="D61" s="33">
        <v>0</v>
      </c>
      <c r="E61" s="33">
        <v>0</v>
      </c>
      <c r="F61" s="33">
        <v>3</v>
      </c>
      <c r="G61" s="33">
        <v>2</v>
      </c>
      <c r="H61" s="21">
        <f t="shared" si="0"/>
        <v>12</v>
      </c>
    </row>
    <row r="62" spans="2:8">
      <c r="B62" s="32">
        <v>40965</v>
      </c>
      <c r="C62" s="33">
        <v>47</v>
      </c>
      <c r="D62" s="33">
        <v>0</v>
      </c>
      <c r="E62" s="33">
        <v>0</v>
      </c>
      <c r="F62" s="33">
        <v>2</v>
      </c>
      <c r="G62" s="33">
        <v>1</v>
      </c>
      <c r="H62" s="21">
        <f t="shared" si="0"/>
        <v>6</v>
      </c>
    </row>
    <row r="63" spans="2:8">
      <c r="B63" s="32">
        <v>40966</v>
      </c>
      <c r="C63" s="33">
        <v>41</v>
      </c>
      <c r="D63" s="33">
        <v>0</v>
      </c>
      <c r="E63" s="33">
        <v>0</v>
      </c>
      <c r="F63" s="33">
        <v>1</v>
      </c>
      <c r="G63" s="33">
        <v>1</v>
      </c>
      <c r="H63" s="21">
        <f t="shared" si="0"/>
        <v>4</v>
      </c>
    </row>
    <row r="64" spans="2:8">
      <c r="B64" s="32">
        <v>40967</v>
      </c>
      <c r="C64" s="33">
        <v>40</v>
      </c>
      <c r="D64" s="33">
        <v>0</v>
      </c>
      <c r="E64" s="33">
        <v>0</v>
      </c>
      <c r="F64" s="33">
        <v>1</v>
      </c>
      <c r="G64" s="33">
        <v>1</v>
      </c>
      <c r="H64" s="21">
        <f t="shared" si="0"/>
        <v>4</v>
      </c>
    </row>
    <row r="65" spans="2:8">
      <c r="B65" s="32">
        <v>40968</v>
      </c>
      <c r="C65" s="33">
        <v>39</v>
      </c>
      <c r="D65" s="33">
        <v>0</v>
      </c>
      <c r="E65" s="33">
        <v>0</v>
      </c>
      <c r="F65" s="33">
        <v>2</v>
      </c>
      <c r="G65" s="33">
        <v>1</v>
      </c>
      <c r="H65" s="21">
        <f t="shared" si="0"/>
        <v>6</v>
      </c>
    </row>
    <row r="66" spans="2:8">
      <c r="B66" s="32">
        <v>40969</v>
      </c>
      <c r="C66" s="33">
        <v>36</v>
      </c>
      <c r="D66" s="33">
        <v>0</v>
      </c>
      <c r="E66" s="33">
        <v>0</v>
      </c>
      <c r="F66" s="33">
        <v>1</v>
      </c>
      <c r="G66" s="33">
        <v>1</v>
      </c>
      <c r="H66" s="21">
        <f t="shared" si="0"/>
        <v>4</v>
      </c>
    </row>
    <row r="67" spans="2:8">
      <c r="B67" s="32">
        <v>40970</v>
      </c>
      <c r="C67" s="33">
        <v>45</v>
      </c>
      <c r="D67" s="33">
        <v>0</v>
      </c>
      <c r="E67" s="33">
        <v>0</v>
      </c>
      <c r="F67" s="33">
        <v>1</v>
      </c>
      <c r="G67" s="33">
        <v>1</v>
      </c>
      <c r="H67" s="21">
        <f t="shared" si="0"/>
        <v>4</v>
      </c>
    </row>
    <row r="68" spans="2:8">
      <c r="B68" s="32">
        <v>40971</v>
      </c>
      <c r="C68" s="33">
        <v>37</v>
      </c>
      <c r="D68" s="33">
        <v>0</v>
      </c>
      <c r="E68" s="33">
        <v>0</v>
      </c>
      <c r="F68" s="33">
        <v>2</v>
      </c>
      <c r="G68" s="33">
        <v>1</v>
      </c>
      <c r="H68" s="21">
        <f t="shared" si="0"/>
        <v>6</v>
      </c>
    </row>
    <row r="69" spans="2:8">
      <c r="B69" s="32">
        <v>40972</v>
      </c>
      <c r="C69" s="33">
        <v>30</v>
      </c>
      <c r="D69" s="33">
        <v>0</v>
      </c>
      <c r="E69" s="33">
        <v>0</v>
      </c>
      <c r="F69" s="33">
        <v>1</v>
      </c>
      <c r="G69" s="33">
        <v>1</v>
      </c>
      <c r="H69" s="21">
        <f t="shared" si="0"/>
        <v>4</v>
      </c>
    </row>
    <row r="70" spans="2:8">
      <c r="B70" s="32">
        <v>40973</v>
      </c>
      <c r="C70" s="33">
        <v>29</v>
      </c>
      <c r="D70" s="33">
        <v>0</v>
      </c>
      <c r="E70" s="33">
        <v>0</v>
      </c>
      <c r="F70" s="33">
        <v>0</v>
      </c>
      <c r="G70" s="33">
        <v>0</v>
      </c>
      <c r="H70" s="21">
        <f t="shared" ref="H70:H133" si="1">(F70+1)*(G70+1)</f>
        <v>1</v>
      </c>
    </row>
    <row r="71" spans="2:8">
      <c r="B71" s="32">
        <v>40974</v>
      </c>
      <c r="C71" s="33">
        <v>30</v>
      </c>
      <c r="D71" s="33">
        <v>0</v>
      </c>
      <c r="E71" s="33">
        <v>0</v>
      </c>
      <c r="F71" s="33">
        <v>0</v>
      </c>
      <c r="G71" s="33">
        <v>0</v>
      </c>
      <c r="H71" s="21">
        <f t="shared" si="1"/>
        <v>1</v>
      </c>
    </row>
    <row r="72" spans="2:8">
      <c r="B72" s="32">
        <v>40975</v>
      </c>
      <c r="C72" s="33">
        <v>38</v>
      </c>
      <c r="D72" s="33">
        <v>0</v>
      </c>
      <c r="E72" s="33">
        <v>0</v>
      </c>
      <c r="F72" s="33">
        <v>0</v>
      </c>
      <c r="G72" s="33">
        <v>0</v>
      </c>
      <c r="H72" s="21">
        <f t="shared" si="1"/>
        <v>1</v>
      </c>
    </row>
    <row r="73" spans="2:8">
      <c r="B73" s="32">
        <v>40976</v>
      </c>
      <c r="C73" s="33">
        <v>32</v>
      </c>
      <c r="D73" s="33">
        <v>0</v>
      </c>
      <c r="E73" s="33">
        <v>0</v>
      </c>
      <c r="F73" s="33">
        <v>0</v>
      </c>
      <c r="G73" s="33">
        <v>0</v>
      </c>
      <c r="H73" s="21">
        <f t="shared" si="1"/>
        <v>1</v>
      </c>
    </row>
    <row r="74" spans="2:8">
      <c r="B74" s="32">
        <v>40977</v>
      </c>
      <c r="C74" s="33">
        <v>33</v>
      </c>
      <c r="D74" s="33">
        <v>0</v>
      </c>
      <c r="E74" s="33">
        <v>0</v>
      </c>
      <c r="F74" s="33">
        <v>0</v>
      </c>
      <c r="G74" s="33">
        <v>0</v>
      </c>
      <c r="H74" s="21">
        <f t="shared" si="1"/>
        <v>1</v>
      </c>
    </row>
    <row r="75" spans="2:8">
      <c r="B75" s="32">
        <v>40978</v>
      </c>
      <c r="C75" s="33">
        <v>30</v>
      </c>
      <c r="D75" s="33">
        <v>0</v>
      </c>
      <c r="E75" s="33">
        <v>0</v>
      </c>
      <c r="F75" s="33">
        <v>2</v>
      </c>
      <c r="G75" s="33">
        <v>1</v>
      </c>
      <c r="H75" s="21">
        <f t="shared" si="1"/>
        <v>6</v>
      </c>
    </row>
    <row r="76" spans="2:8">
      <c r="B76" s="32">
        <v>40979</v>
      </c>
      <c r="C76" s="33">
        <v>28</v>
      </c>
      <c r="D76" s="33">
        <v>0</v>
      </c>
      <c r="E76" s="33">
        <v>0</v>
      </c>
      <c r="F76" s="33">
        <v>1</v>
      </c>
      <c r="G76" s="33">
        <v>1</v>
      </c>
      <c r="H76" s="21">
        <f t="shared" si="1"/>
        <v>4</v>
      </c>
    </row>
    <row r="77" spans="2:8">
      <c r="B77" s="32">
        <v>40980</v>
      </c>
      <c r="C77" s="33">
        <v>31</v>
      </c>
      <c r="D77" s="33">
        <v>0</v>
      </c>
      <c r="E77" s="33">
        <v>0</v>
      </c>
      <c r="F77" s="33">
        <v>0</v>
      </c>
      <c r="G77" s="33">
        <v>0</v>
      </c>
      <c r="H77" s="21">
        <f t="shared" si="1"/>
        <v>1</v>
      </c>
    </row>
    <row r="78" spans="2:8">
      <c r="B78" s="32">
        <v>40981</v>
      </c>
      <c r="C78" s="33">
        <v>35</v>
      </c>
      <c r="D78" s="33">
        <v>0</v>
      </c>
      <c r="E78" s="33">
        <v>0</v>
      </c>
      <c r="F78" s="33">
        <v>0</v>
      </c>
      <c r="G78" s="33">
        <v>0</v>
      </c>
      <c r="H78" s="21">
        <f t="shared" si="1"/>
        <v>1</v>
      </c>
    </row>
    <row r="79" spans="2:8">
      <c r="B79" s="32">
        <v>40982</v>
      </c>
      <c r="C79" s="33">
        <v>30</v>
      </c>
      <c r="D79" s="33">
        <v>0</v>
      </c>
      <c r="E79" s="33">
        <v>0</v>
      </c>
      <c r="F79" s="33">
        <v>1</v>
      </c>
      <c r="G79" s="33">
        <v>0</v>
      </c>
      <c r="H79" s="21">
        <f t="shared" si="1"/>
        <v>2</v>
      </c>
    </row>
    <row r="80" spans="2:8">
      <c r="B80" s="32">
        <v>40983</v>
      </c>
      <c r="C80" s="33">
        <v>36</v>
      </c>
      <c r="D80" s="33">
        <v>0</v>
      </c>
      <c r="E80" s="33">
        <v>0</v>
      </c>
      <c r="F80" s="33">
        <v>1</v>
      </c>
      <c r="G80" s="33">
        <v>1</v>
      </c>
      <c r="H80" s="21">
        <f t="shared" si="1"/>
        <v>4</v>
      </c>
    </row>
    <row r="81" spans="2:8">
      <c r="B81" s="32">
        <v>40984</v>
      </c>
      <c r="C81" s="33">
        <v>50</v>
      </c>
      <c r="D81" s="33">
        <v>0</v>
      </c>
      <c r="E81" s="33">
        <v>0</v>
      </c>
      <c r="F81" s="33">
        <v>2</v>
      </c>
      <c r="G81" s="33">
        <v>2</v>
      </c>
      <c r="H81" s="21">
        <f t="shared" si="1"/>
        <v>9</v>
      </c>
    </row>
    <row r="82" spans="2:8">
      <c r="B82" s="32">
        <v>40985</v>
      </c>
      <c r="C82" s="33">
        <v>58</v>
      </c>
      <c r="D82" s="33">
        <v>0</v>
      </c>
      <c r="E82" s="33">
        <v>0</v>
      </c>
      <c r="F82" s="33">
        <v>3</v>
      </c>
      <c r="G82" s="33">
        <v>3</v>
      </c>
      <c r="H82" s="21">
        <f t="shared" si="1"/>
        <v>16</v>
      </c>
    </row>
    <row r="83" spans="2:8">
      <c r="B83" s="32">
        <v>40986</v>
      </c>
      <c r="C83" s="33">
        <v>45</v>
      </c>
      <c r="D83" s="33">
        <v>0</v>
      </c>
      <c r="E83" s="33">
        <v>0</v>
      </c>
      <c r="F83" s="33">
        <v>3</v>
      </c>
      <c r="G83" s="33">
        <v>2</v>
      </c>
      <c r="H83" s="21">
        <f t="shared" si="1"/>
        <v>12</v>
      </c>
    </row>
    <row r="84" spans="2:8">
      <c r="B84" s="32">
        <v>40987</v>
      </c>
      <c r="C84" s="33">
        <v>48</v>
      </c>
      <c r="D84" s="33">
        <v>0</v>
      </c>
      <c r="E84" s="33">
        <v>0</v>
      </c>
      <c r="F84" s="33">
        <v>2</v>
      </c>
      <c r="G84" s="33">
        <v>2</v>
      </c>
      <c r="H84" s="21">
        <f t="shared" si="1"/>
        <v>9</v>
      </c>
    </row>
    <row r="85" spans="2:8">
      <c r="B85" s="32">
        <v>40988</v>
      </c>
      <c r="C85" s="33">
        <v>51</v>
      </c>
      <c r="D85" s="33">
        <v>0</v>
      </c>
      <c r="E85" s="33">
        <v>0</v>
      </c>
      <c r="F85" s="33">
        <v>3</v>
      </c>
      <c r="G85" s="33">
        <v>2</v>
      </c>
      <c r="H85" s="21">
        <f t="shared" si="1"/>
        <v>12</v>
      </c>
    </row>
    <row r="86" spans="2:8">
      <c r="B86" s="32">
        <v>40989</v>
      </c>
      <c r="C86" s="33">
        <v>60</v>
      </c>
      <c r="D86" s="33">
        <v>0</v>
      </c>
      <c r="E86" s="33">
        <v>0</v>
      </c>
      <c r="F86" s="33">
        <v>2</v>
      </c>
      <c r="G86" s="33">
        <v>2</v>
      </c>
      <c r="H86" s="21">
        <f t="shared" si="1"/>
        <v>9</v>
      </c>
    </row>
    <row r="87" spans="2:8">
      <c r="B87" s="32">
        <v>40990</v>
      </c>
      <c r="C87" s="33">
        <v>49</v>
      </c>
      <c r="D87" s="33">
        <v>0</v>
      </c>
      <c r="E87" s="33">
        <v>0</v>
      </c>
      <c r="F87" s="33">
        <v>3</v>
      </c>
      <c r="G87" s="33">
        <v>2</v>
      </c>
      <c r="H87" s="21">
        <f t="shared" si="1"/>
        <v>12</v>
      </c>
    </row>
    <row r="88" spans="2:8">
      <c r="B88" s="32">
        <v>40991</v>
      </c>
      <c r="C88" s="33">
        <v>47</v>
      </c>
      <c r="D88" s="33">
        <v>0</v>
      </c>
      <c r="E88" s="33">
        <v>0</v>
      </c>
      <c r="F88" s="33">
        <v>4</v>
      </c>
      <c r="G88" s="33">
        <v>3</v>
      </c>
      <c r="H88" s="21">
        <f t="shared" si="1"/>
        <v>20</v>
      </c>
    </row>
    <row r="89" spans="2:8">
      <c r="B89" s="32">
        <v>40992</v>
      </c>
      <c r="C89" s="33">
        <v>55</v>
      </c>
      <c r="D89" s="33">
        <v>0</v>
      </c>
      <c r="E89" s="33">
        <v>0</v>
      </c>
      <c r="F89" s="33">
        <v>5</v>
      </c>
      <c r="G89" s="33">
        <v>4</v>
      </c>
      <c r="H89" s="21">
        <f t="shared" si="1"/>
        <v>30</v>
      </c>
    </row>
    <row r="90" spans="2:8">
      <c r="B90" s="32">
        <v>40993</v>
      </c>
      <c r="C90" s="33">
        <v>49</v>
      </c>
      <c r="D90" s="33">
        <v>0</v>
      </c>
      <c r="E90" s="33">
        <v>0</v>
      </c>
      <c r="F90" s="33">
        <v>4</v>
      </c>
      <c r="G90" s="33">
        <v>5</v>
      </c>
      <c r="H90" s="21">
        <f t="shared" si="1"/>
        <v>30</v>
      </c>
    </row>
    <row r="91" spans="2:8">
      <c r="B91" s="32">
        <v>40994</v>
      </c>
      <c r="C91" s="33">
        <v>69</v>
      </c>
      <c r="D91" s="33">
        <v>0</v>
      </c>
      <c r="E91" s="33">
        <v>0</v>
      </c>
      <c r="F91" s="33">
        <v>3</v>
      </c>
      <c r="G91" s="33">
        <v>2</v>
      </c>
      <c r="H91" s="21">
        <f t="shared" si="1"/>
        <v>12</v>
      </c>
    </row>
    <row r="92" spans="2:8">
      <c r="B92" s="32">
        <v>40995</v>
      </c>
      <c r="C92" s="33">
        <v>88</v>
      </c>
      <c r="D92" s="33">
        <v>0</v>
      </c>
      <c r="E92" s="33">
        <v>0</v>
      </c>
      <c r="F92" s="33">
        <v>3</v>
      </c>
      <c r="G92" s="33">
        <v>2</v>
      </c>
      <c r="H92" s="21">
        <f t="shared" si="1"/>
        <v>12</v>
      </c>
    </row>
    <row r="93" spans="2:8">
      <c r="B93" s="32">
        <v>40996</v>
      </c>
      <c r="C93" s="33">
        <v>66</v>
      </c>
      <c r="D93" s="33">
        <v>0</v>
      </c>
      <c r="E93" s="33">
        <v>0</v>
      </c>
      <c r="F93" s="33">
        <v>2</v>
      </c>
      <c r="G93" s="33">
        <v>2</v>
      </c>
      <c r="H93" s="21">
        <f t="shared" si="1"/>
        <v>9</v>
      </c>
    </row>
    <row r="94" spans="2:8">
      <c r="B94" s="32">
        <v>40997</v>
      </c>
      <c r="C94" s="33">
        <v>63</v>
      </c>
      <c r="D94" s="33">
        <v>0</v>
      </c>
      <c r="E94" s="33">
        <v>0</v>
      </c>
      <c r="F94" s="33">
        <v>4</v>
      </c>
      <c r="G94" s="33">
        <v>2</v>
      </c>
      <c r="H94" s="21">
        <f t="shared" si="1"/>
        <v>15</v>
      </c>
    </row>
    <row r="95" spans="2:8">
      <c r="B95" s="32">
        <v>40998</v>
      </c>
      <c r="C95" s="33">
        <v>69</v>
      </c>
      <c r="D95" s="33">
        <v>0</v>
      </c>
      <c r="E95" s="33">
        <v>0</v>
      </c>
      <c r="F95" s="33">
        <v>4</v>
      </c>
      <c r="G95" s="33">
        <v>4</v>
      </c>
      <c r="H95" s="21">
        <f t="shared" si="1"/>
        <v>25</v>
      </c>
    </row>
    <row r="96" spans="2:8">
      <c r="B96" s="32">
        <v>40999</v>
      </c>
      <c r="C96" s="33">
        <v>63</v>
      </c>
      <c r="D96" s="33">
        <v>0</v>
      </c>
      <c r="E96" s="33">
        <v>0</v>
      </c>
      <c r="F96" s="33">
        <v>5</v>
      </c>
      <c r="G96" s="33">
        <v>5</v>
      </c>
      <c r="H96" s="21">
        <f t="shared" si="1"/>
        <v>36</v>
      </c>
    </row>
    <row r="97" spans="2:8">
      <c r="B97" s="32">
        <v>41000</v>
      </c>
      <c r="C97" s="33">
        <v>36</v>
      </c>
      <c r="D97" s="33">
        <v>0</v>
      </c>
      <c r="E97" s="33">
        <v>0</v>
      </c>
      <c r="F97" s="33">
        <v>5</v>
      </c>
      <c r="G97" s="33">
        <v>4</v>
      </c>
      <c r="H97" s="21">
        <f t="shared" si="1"/>
        <v>30</v>
      </c>
    </row>
    <row r="98" spans="2:8">
      <c r="B98" s="32">
        <v>41001</v>
      </c>
      <c r="C98" s="33">
        <v>45</v>
      </c>
      <c r="D98" s="33">
        <v>0</v>
      </c>
      <c r="E98" s="33">
        <v>0</v>
      </c>
      <c r="F98" s="33">
        <v>2</v>
      </c>
      <c r="G98" s="33">
        <v>3</v>
      </c>
      <c r="H98" s="21">
        <f t="shared" si="1"/>
        <v>12</v>
      </c>
    </row>
    <row r="99" spans="2:8">
      <c r="B99" s="32">
        <v>41002</v>
      </c>
      <c r="C99" s="33">
        <v>36</v>
      </c>
      <c r="D99" s="33">
        <v>0</v>
      </c>
      <c r="E99" s="33">
        <v>0</v>
      </c>
      <c r="F99" s="33">
        <v>2</v>
      </c>
      <c r="G99" s="33">
        <v>1</v>
      </c>
      <c r="H99" s="21">
        <f t="shared" si="1"/>
        <v>6</v>
      </c>
    </row>
    <row r="100" spans="2:8">
      <c r="B100" s="32">
        <v>41003</v>
      </c>
      <c r="C100" s="33">
        <v>32</v>
      </c>
      <c r="D100" s="33">
        <v>0</v>
      </c>
      <c r="E100" s="33">
        <v>0</v>
      </c>
      <c r="F100" s="33">
        <v>1</v>
      </c>
      <c r="G100" s="33">
        <v>1</v>
      </c>
      <c r="H100" s="21">
        <f t="shared" si="1"/>
        <v>4</v>
      </c>
    </row>
    <row r="101" spans="2:8">
      <c r="B101" s="32">
        <v>41004</v>
      </c>
      <c r="C101" s="33">
        <v>43</v>
      </c>
      <c r="D101" s="33">
        <v>0</v>
      </c>
      <c r="E101" s="33">
        <v>0</v>
      </c>
      <c r="F101" s="33">
        <v>1</v>
      </c>
      <c r="G101" s="33">
        <v>0</v>
      </c>
      <c r="H101" s="21">
        <f t="shared" si="1"/>
        <v>2</v>
      </c>
    </row>
    <row r="102" spans="2:8">
      <c r="B102" s="32">
        <v>41005</v>
      </c>
      <c r="C102" s="33">
        <v>36</v>
      </c>
      <c r="D102" s="33">
        <v>0</v>
      </c>
      <c r="E102" s="33">
        <v>0</v>
      </c>
      <c r="F102" s="33">
        <v>0</v>
      </c>
      <c r="G102" s="33">
        <v>0</v>
      </c>
      <c r="H102" s="21">
        <f t="shared" si="1"/>
        <v>1</v>
      </c>
    </row>
    <row r="103" spans="2:8">
      <c r="B103" s="32">
        <v>41006</v>
      </c>
      <c r="C103" s="33">
        <v>39</v>
      </c>
      <c r="D103" s="33">
        <v>0</v>
      </c>
      <c r="E103" s="33">
        <v>0</v>
      </c>
      <c r="F103" s="33">
        <v>4</v>
      </c>
      <c r="G103" s="33">
        <v>3</v>
      </c>
      <c r="H103" s="21">
        <f t="shared" si="1"/>
        <v>20</v>
      </c>
    </row>
    <row r="104" spans="2:8">
      <c r="B104" s="32">
        <v>41007</v>
      </c>
      <c r="C104" s="33">
        <v>33</v>
      </c>
      <c r="D104" s="33">
        <v>0</v>
      </c>
      <c r="E104" s="33">
        <v>0</v>
      </c>
      <c r="F104" s="33">
        <v>2</v>
      </c>
      <c r="G104" s="33">
        <v>2</v>
      </c>
      <c r="H104" s="21">
        <f t="shared" si="1"/>
        <v>9</v>
      </c>
    </row>
    <row r="105" spans="2:8">
      <c r="B105" s="32">
        <v>41008</v>
      </c>
      <c r="C105" s="33">
        <v>33</v>
      </c>
      <c r="D105" s="33">
        <v>0</v>
      </c>
      <c r="E105" s="33">
        <v>0</v>
      </c>
      <c r="F105" s="33">
        <v>0</v>
      </c>
      <c r="G105" s="33">
        <v>0</v>
      </c>
      <c r="H105" s="21">
        <f t="shared" si="1"/>
        <v>1</v>
      </c>
    </row>
    <row r="106" spans="2:8">
      <c r="B106" s="32">
        <v>41009</v>
      </c>
      <c r="C106" s="33">
        <v>32</v>
      </c>
      <c r="D106" s="33">
        <v>0</v>
      </c>
      <c r="E106" s="33">
        <v>0</v>
      </c>
      <c r="F106" s="33">
        <v>0</v>
      </c>
      <c r="G106" s="33">
        <v>0</v>
      </c>
      <c r="H106" s="21">
        <f t="shared" si="1"/>
        <v>1</v>
      </c>
    </row>
    <row r="107" spans="2:8">
      <c r="B107" s="32">
        <v>41010</v>
      </c>
      <c r="C107" s="33">
        <v>20</v>
      </c>
      <c r="D107" s="33">
        <v>0</v>
      </c>
      <c r="E107" s="33">
        <v>0</v>
      </c>
      <c r="F107" s="33">
        <v>0</v>
      </c>
      <c r="G107" s="33">
        <v>0</v>
      </c>
      <c r="H107" s="21">
        <f t="shared" si="1"/>
        <v>1</v>
      </c>
    </row>
    <row r="108" spans="2:8">
      <c r="B108" s="32">
        <v>41011</v>
      </c>
      <c r="C108" s="33">
        <v>25</v>
      </c>
      <c r="D108" s="33">
        <v>0</v>
      </c>
      <c r="E108" s="33">
        <v>0</v>
      </c>
      <c r="F108" s="33">
        <v>0</v>
      </c>
      <c r="G108" s="33">
        <v>0</v>
      </c>
      <c r="H108" s="21">
        <f t="shared" si="1"/>
        <v>1</v>
      </c>
    </row>
    <row r="109" spans="2:8">
      <c r="B109" s="32">
        <v>41012</v>
      </c>
      <c r="C109" s="33">
        <v>34</v>
      </c>
      <c r="D109" s="33">
        <v>0</v>
      </c>
      <c r="E109" s="33">
        <v>0</v>
      </c>
      <c r="F109" s="33">
        <v>0</v>
      </c>
      <c r="G109" s="33">
        <v>0</v>
      </c>
      <c r="H109" s="21">
        <f t="shared" si="1"/>
        <v>1</v>
      </c>
    </row>
    <row r="110" spans="2:8">
      <c r="B110" s="32">
        <v>41013</v>
      </c>
      <c r="C110" s="33">
        <v>43</v>
      </c>
      <c r="D110" s="33">
        <v>0</v>
      </c>
      <c r="E110" s="33">
        <v>0</v>
      </c>
      <c r="F110" s="33">
        <v>2</v>
      </c>
      <c r="G110" s="33">
        <v>2</v>
      </c>
      <c r="H110" s="21">
        <f t="shared" si="1"/>
        <v>9</v>
      </c>
    </row>
    <row r="111" spans="2:8">
      <c r="B111" s="32">
        <v>41014</v>
      </c>
      <c r="C111" s="33">
        <v>40</v>
      </c>
      <c r="D111" s="33">
        <v>0</v>
      </c>
      <c r="E111" s="33">
        <v>0</v>
      </c>
      <c r="F111" s="33">
        <v>1</v>
      </c>
      <c r="G111" s="33">
        <v>2</v>
      </c>
      <c r="H111" s="21">
        <f t="shared" si="1"/>
        <v>6</v>
      </c>
    </row>
    <row r="112" spans="2:8">
      <c r="B112" s="32">
        <v>41015</v>
      </c>
      <c r="C112" s="33">
        <v>27</v>
      </c>
      <c r="D112" s="33">
        <v>0</v>
      </c>
      <c r="E112" s="33">
        <v>0</v>
      </c>
      <c r="F112" s="33">
        <v>0</v>
      </c>
      <c r="G112" s="33">
        <v>0</v>
      </c>
      <c r="H112" s="21">
        <f t="shared" si="1"/>
        <v>1</v>
      </c>
    </row>
    <row r="113" spans="2:8">
      <c r="B113" s="32">
        <v>41016</v>
      </c>
      <c r="C113" s="33">
        <v>21</v>
      </c>
      <c r="D113" s="33">
        <v>0</v>
      </c>
      <c r="E113" s="33">
        <v>0</v>
      </c>
      <c r="F113" s="33">
        <v>0</v>
      </c>
      <c r="G113" s="33">
        <v>0</v>
      </c>
      <c r="H113" s="21">
        <f t="shared" si="1"/>
        <v>1</v>
      </c>
    </row>
    <row r="114" spans="2:8">
      <c r="B114" s="32">
        <v>41017</v>
      </c>
      <c r="C114" s="33">
        <v>21</v>
      </c>
      <c r="D114" s="33">
        <v>0</v>
      </c>
      <c r="E114" s="33">
        <v>0</v>
      </c>
      <c r="F114" s="33">
        <v>0</v>
      </c>
      <c r="G114" s="33">
        <v>0</v>
      </c>
      <c r="H114" s="21">
        <f t="shared" si="1"/>
        <v>1</v>
      </c>
    </row>
    <row r="115" spans="2:8">
      <c r="B115" s="32">
        <v>41018</v>
      </c>
      <c r="C115" s="33">
        <v>21</v>
      </c>
      <c r="D115" s="33">
        <v>0</v>
      </c>
      <c r="E115" s="33">
        <v>0</v>
      </c>
      <c r="F115" s="33">
        <v>0</v>
      </c>
      <c r="G115" s="33">
        <v>0</v>
      </c>
      <c r="H115" s="21">
        <f t="shared" si="1"/>
        <v>1</v>
      </c>
    </row>
    <row r="116" spans="2:8">
      <c r="B116" s="32">
        <v>41019</v>
      </c>
      <c r="C116" s="33">
        <v>25</v>
      </c>
      <c r="D116" s="33">
        <v>0</v>
      </c>
      <c r="E116" s="33">
        <v>0</v>
      </c>
      <c r="F116" s="33">
        <v>0</v>
      </c>
      <c r="G116" s="33">
        <v>0</v>
      </c>
      <c r="H116" s="21">
        <f t="shared" si="1"/>
        <v>1</v>
      </c>
    </row>
    <row r="117" spans="2:8">
      <c r="B117" s="32">
        <v>41020</v>
      </c>
      <c r="C117" s="33">
        <v>29</v>
      </c>
      <c r="D117" s="33">
        <v>0</v>
      </c>
      <c r="E117" s="33">
        <v>0</v>
      </c>
      <c r="F117" s="33">
        <v>2</v>
      </c>
      <c r="G117" s="33">
        <v>2</v>
      </c>
      <c r="H117" s="21">
        <f t="shared" si="1"/>
        <v>9</v>
      </c>
    </row>
    <row r="118" spans="2:8">
      <c r="B118" s="32">
        <v>41021</v>
      </c>
      <c r="C118" s="33">
        <v>28</v>
      </c>
      <c r="D118" s="33">
        <v>0</v>
      </c>
      <c r="E118" s="33">
        <v>0</v>
      </c>
      <c r="F118" s="33">
        <v>1</v>
      </c>
      <c r="G118" s="33">
        <v>1</v>
      </c>
      <c r="H118" s="21">
        <f t="shared" si="1"/>
        <v>4</v>
      </c>
    </row>
    <row r="119" spans="2:8">
      <c r="B119" s="32">
        <v>41022</v>
      </c>
      <c r="C119" s="33">
        <v>32</v>
      </c>
      <c r="D119" s="33">
        <v>0</v>
      </c>
      <c r="E119" s="33">
        <v>0</v>
      </c>
      <c r="F119" s="33">
        <v>1</v>
      </c>
      <c r="G119" s="33">
        <v>0</v>
      </c>
      <c r="H119" s="21">
        <f t="shared" si="1"/>
        <v>2</v>
      </c>
    </row>
    <row r="120" spans="2:8">
      <c r="B120" s="32">
        <v>41023</v>
      </c>
      <c r="C120" s="33">
        <v>27</v>
      </c>
      <c r="D120" s="33">
        <v>0</v>
      </c>
      <c r="E120" s="33">
        <v>0</v>
      </c>
      <c r="F120" s="33">
        <v>0</v>
      </c>
      <c r="G120" s="33">
        <v>0</v>
      </c>
      <c r="H120" s="21">
        <f t="shared" si="1"/>
        <v>1</v>
      </c>
    </row>
    <row r="121" spans="2:8">
      <c r="B121" s="32">
        <v>41024</v>
      </c>
      <c r="C121" s="33">
        <v>35</v>
      </c>
      <c r="D121" s="33">
        <v>0</v>
      </c>
      <c r="E121" s="33">
        <v>0</v>
      </c>
      <c r="F121" s="33">
        <v>0</v>
      </c>
      <c r="G121" s="33">
        <v>0</v>
      </c>
      <c r="H121" s="21">
        <f t="shared" si="1"/>
        <v>1</v>
      </c>
    </row>
    <row r="122" spans="2:8">
      <c r="B122" s="32">
        <v>41025</v>
      </c>
      <c r="C122" s="33">
        <v>29</v>
      </c>
      <c r="D122" s="33">
        <v>0</v>
      </c>
      <c r="E122" s="33">
        <v>0</v>
      </c>
      <c r="F122" s="33">
        <v>0</v>
      </c>
      <c r="G122" s="33">
        <v>0</v>
      </c>
      <c r="H122" s="21">
        <f t="shared" si="1"/>
        <v>1</v>
      </c>
    </row>
    <row r="123" spans="2:8">
      <c r="B123" s="32">
        <v>41026</v>
      </c>
      <c r="C123" s="33">
        <v>32</v>
      </c>
      <c r="D123" s="33">
        <v>0</v>
      </c>
      <c r="E123" s="33">
        <v>0</v>
      </c>
      <c r="F123" s="33">
        <v>1</v>
      </c>
      <c r="G123" s="33">
        <v>1</v>
      </c>
      <c r="H123" s="21">
        <f t="shared" si="1"/>
        <v>4</v>
      </c>
    </row>
    <row r="124" spans="2:8">
      <c r="B124" s="32">
        <v>41027</v>
      </c>
      <c r="C124" s="33">
        <v>43</v>
      </c>
      <c r="D124" s="33">
        <v>0</v>
      </c>
      <c r="E124" s="33">
        <v>0</v>
      </c>
      <c r="F124" s="33">
        <v>2</v>
      </c>
      <c r="G124" s="33">
        <v>2</v>
      </c>
      <c r="H124" s="21">
        <f t="shared" si="1"/>
        <v>9</v>
      </c>
    </row>
    <row r="125" spans="2:8">
      <c r="B125" s="32">
        <v>41028</v>
      </c>
      <c r="C125" s="33">
        <v>54</v>
      </c>
      <c r="D125" s="33">
        <v>0</v>
      </c>
      <c r="E125" s="33">
        <v>0</v>
      </c>
      <c r="F125" s="33">
        <v>3</v>
      </c>
      <c r="G125" s="33">
        <v>2</v>
      </c>
      <c r="H125" s="21">
        <f t="shared" si="1"/>
        <v>12</v>
      </c>
    </row>
    <row r="126" spans="2:8">
      <c r="B126" s="32">
        <v>41029</v>
      </c>
      <c r="C126" s="33">
        <v>39</v>
      </c>
      <c r="D126" s="33">
        <v>0</v>
      </c>
      <c r="E126" s="33">
        <v>0</v>
      </c>
      <c r="F126" s="33">
        <v>2</v>
      </c>
      <c r="G126" s="33">
        <v>1</v>
      </c>
      <c r="H126" s="21">
        <f t="shared" si="1"/>
        <v>6</v>
      </c>
    </row>
    <row r="127" spans="2:8">
      <c r="B127" s="32">
        <v>41030</v>
      </c>
      <c r="C127" s="33">
        <v>31</v>
      </c>
      <c r="D127" s="33">
        <v>0</v>
      </c>
      <c r="E127" s="33">
        <v>0</v>
      </c>
      <c r="F127" s="33">
        <v>0</v>
      </c>
      <c r="G127" s="33">
        <v>0</v>
      </c>
      <c r="H127" s="21">
        <f t="shared" si="1"/>
        <v>1</v>
      </c>
    </row>
    <row r="128" spans="2:8">
      <c r="B128" s="32">
        <v>41031</v>
      </c>
      <c r="C128" s="33">
        <v>30</v>
      </c>
      <c r="D128" s="33">
        <v>0</v>
      </c>
      <c r="E128" s="33">
        <v>0</v>
      </c>
      <c r="F128" s="33">
        <v>0</v>
      </c>
      <c r="G128" s="33">
        <v>0</v>
      </c>
      <c r="H128" s="21">
        <f t="shared" si="1"/>
        <v>1</v>
      </c>
    </row>
    <row r="129" spans="2:8">
      <c r="B129" s="32">
        <v>41032</v>
      </c>
      <c r="C129" s="33">
        <v>27</v>
      </c>
      <c r="D129" s="33">
        <v>0</v>
      </c>
      <c r="E129" s="33">
        <v>0</v>
      </c>
      <c r="F129" s="33">
        <v>1</v>
      </c>
      <c r="G129" s="33">
        <v>1</v>
      </c>
      <c r="H129" s="21">
        <f t="shared" si="1"/>
        <v>4</v>
      </c>
    </row>
    <row r="130" spans="2:8">
      <c r="B130" s="32">
        <v>41033</v>
      </c>
      <c r="C130" s="33">
        <v>27</v>
      </c>
      <c r="D130" s="33">
        <v>0</v>
      </c>
      <c r="E130" s="33">
        <v>0</v>
      </c>
      <c r="F130" s="33">
        <v>2</v>
      </c>
      <c r="G130" s="33">
        <v>2</v>
      </c>
      <c r="H130" s="21">
        <f t="shared" si="1"/>
        <v>9</v>
      </c>
    </row>
    <row r="131" spans="2:8">
      <c r="B131" s="32">
        <v>41034</v>
      </c>
      <c r="C131" s="33">
        <v>16</v>
      </c>
      <c r="D131" s="33">
        <v>0</v>
      </c>
      <c r="E131" s="33">
        <v>0</v>
      </c>
      <c r="F131" s="33">
        <v>1</v>
      </c>
      <c r="G131" s="33">
        <v>0</v>
      </c>
      <c r="H131" s="21">
        <f t="shared" si="1"/>
        <v>2</v>
      </c>
    </row>
    <row r="132" spans="2:8">
      <c r="B132" s="32">
        <v>41035</v>
      </c>
      <c r="C132" s="33">
        <v>12</v>
      </c>
      <c r="D132" s="33">
        <v>0</v>
      </c>
      <c r="E132" s="33">
        <v>0</v>
      </c>
      <c r="F132" s="33">
        <v>0</v>
      </c>
      <c r="G132" s="33">
        <v>0</v>
      </c>
      <c r="H132" s="21">
        <f t="shared" si="1"/>
        <v>1</v>
      </c>
    </row>
    <row r="133" spans="2:8">
      <c r="B133" s="32">
        <v>41036</v>
      </c>
      <c r="C133" s="33">
        <v>21</v>
      </c>
      <c r="D133" s="33">
        <v>0</v>
      </c>
      <c r="E133" s="33">
        <v>0</v>
      </c>
      <c r="F133" s="33">
        <v>0</v>
      </c>
      <c r="G133" s="33">
        <v>0</v>
      </c>
      <c r="H133" s="21">
        <f t="shared" si="1"/>
        <v>1</v>
      </c>
    </row>
    <row r="134" spans="2:8">
      <c r="B134" s="32">
        <v>41037</v>
      </c>
      <c r="C134" s="33">
        <v>22</v>
      </c>
      <c r="D134" s="33">
        <v>0</v>
      </c>
      <c r="E134" s="33">
        <v>0</v>
      </c>
      <c r="F134" s="33">
        <v>0</v>
      </c>
      <c r="G134" s="33">
        <v>0</v>
      </c>
      <c r="H134" s="21">
        <f t="shared" ref="H134:H197" si="2">(F134+1)*(G134+1)</f>
        <v>1</v>
      </c>
    </row>
    <row r="135" spans="2:8">
      <c r="B135" s="32">
        <v>41038</v>
      </c>
      <c r="C135" s="33">
        <v>19</v>
      </c>
      <c r="D135" s="33">
        <v>0</v>
      </c>
      <c r="E135" s="33">
        <v>0</v>
      </c>
      <c r="F135" s="33">
        <v>0</v>
      </c>
      <c r="G135" s="33">
        <v>0</v>
      </c>
      <c r="H135" s="21">
        <f t="shared" si="2"/>
        <v>1</v>
      </c>
    </row>
    <row r="136" spans="2:8">
      <c r="B136" s="32">
        <v>41039</v>
      </c>
      <c r="C136" s="33">
        <v>16</v>
      </c>
      <c r="D136" s="33">
        <v>0</v>
      </c>
      <c r="E136" s="33">
        <v>0</v>
      </c>
      <c r="F136" s="33">
        <v>0</v>
      </c>
      <c r="G136" s="33">
        <v>0</v>
      </c>
      <c r="H136" s="21">
        <f t="shared" si="2"/>
        <v>1</v>
      </c>
    </row>
    <row r="137" spans="2:8">
      <c r="B137" s="32">
        <v>41040</v>
      </c>
      <c r="C137" s="33">
        <v>19</v>
      </c>
      <c r="D137" s="33">
        <v>0</v>
      </c>
      <c r="E137" s="33">
        <v>0</v>
      </c>
      <c r="F137" s="33">
        <v>0</v>
      </c>
      <c r="G137" s="33">
        <v>0</v>
      </c>
      <c r="H137" s="21">
        <f t="shared" si="2"/>
        <v>1</v>
      </c>
    </row>
    <row r="138" spans="2:8">
      <c r="B138" s="32">
        <v>41041</v>
      </c>
      <c r="C138" s="33">
        <v>32</v>
      </c>
      <c r="D138" s="33">
        <v>0</v>
      </c>
      <c r="E138" s="33">
        <v>0</v>
      </c>
      <c r="F138" s="33">
        <v>1</v>
      </c>
      <c r="G138" s="33">
        <v>1</v>
      </c>
      <c r="H138" s="21">
        <f t="shared" si="2"/>
        <v>4</v>
      </c>
    </row>
    <row r="139" spans="2:8">
      <c r="B139" s="32">
        <v>41042</v>
      </c>
      <c r="C139" s="33">
        <v>26</v>
      </c>
      <c r="D139" s="33">
        <v>0</v>
      </c>
      <c r="E139" s="33">
        <v>0</v>
      </c>
      <c r="F139" s="33">
        <v>1</v>
      </c>
      <c r="G139" s="33">
        <v>0</v>
      </c>
      <c r="H139" s="21">
        <f t="shared" si="2"/>
        <v>2</v>
      </c>
    </row>
    <row r="140" spans="2:8">
      <c r="B140" s="32">
        <v>41043</v>
      </c>
      <c r="C140" s="33">
        <v>22</v>
      </c>
      <c r="D140" s="33">
        <v>0</v>
      </c>
      <c r="E140" s="33">
        <v>0</v>
      </c>
      <c r="F140" s="33">
        <v>0</v>
      </c>
      <c r="G140" s="33">
        <v>0</v>
      </c>
      <c r="H140" s="21">
        <f t="shared" si="2"/>
        <v>1</v>
      </c>
    </row>
    <row r="141" spans="2:8">
      <c r="B141" s="32">
        <v>41044</v>
      </c>
      <c r="C141" s="33">
        <v>21</v>
      </c>
      <c r="D141" s="33">
        <v>0</v>
      </c>
      <c r="E141" s="33">
        <v>0</v>
      </c>
      <c r="F141" s="33">
        <v>0</v>
      </c>
      <c r="G141" s="33">
        <v>0</v>
      </c>
      <c r="H141" s="21">
        <f t="shared" si="2"/>
        <v>1</v>
      </c>
    </row>
    <row r="142" spans="2:8">
      <c r="B142" s="32">
        <v>41045</v>
      </c>
      <c r="C142" s="33">
        <v>11</v>
      </c>
      <c r="D142" s="33">
        <v>0</v>
      </c>
      <c r="E142" s="33">
        <v>0</v>
      </c>
      <c r="F142" s="33">
        <v>0</v>
      </c>
      <c r="G142" s="33">
        <v>0</v>
      </c>
      <c r="H142" s="21">
        <f t="shared" si="2"/>
        <v>1</v>
      </c>
    </row>
    <row r="143" spans="2:8">
      <c r="B143" s="32">
        <v>41046</v>
      </c>
      <c r="C143" s="33">
        <v>14</v>
      </c>
      <c r="D143" s="33">
        <v>0</v>
      </c>
      <c r="E143" s="33">
        <v>0</v>
      </c>
      <c r="F143" s="33">
        <v>0</v>
      </c>
      <c r="G143" s="33">
        <v>0</v>
      </c>
      <c r="H143" s="21">
        <f t="shared" si="2"/>
        <v>1</v>
      </c>
    </row>
    <row r="144" spans="2:8">
      <c r="B144" s="32">
        <v>41047</v>
      </c>
      <c r="C144" s="33">
        <v>19</v>
      </c>
      <c r="D144" s="33">
        <v>0</v>
      </c>
      <c r="E144" s="33">
        <v>0</v>
      </c>
      <c r="F144" s="33">
        <v>0</v>
      </c>
      <c r="G144" s="33">
        <v>0</v>
      </c>
      <c r="H144" s="21">
        <f t="shared" si="2"/>
        <v>1</v>
      </c>
    </row>
    <row r="145" spans="2:8">
      <c r="B145" s="32">
        <v>41048</v>
      </c>
      <c r="C145" s="33">
        <v>33</v>
      </c>
      <c r="D145" s="33">
        <v>0</v>
      </c>
      <c r="E145" s="33">
        <v>0</v>
      </c>
      <c r="F145" s="33">
        <v>1</v>
      </c>
      <c r="G145" s="33">
        <v>1</v>
      </c>
      <c r="H145" s="21">
        <f t="shared" si="2"/>
        <v>4</v>
      </c>
    </row>
    <row r="146" spans="2:8">
      <c r="B146" s="32">
        <v>41049</v>
      </c>
      <c r="C146" s="33">
        <v>25</v>
      </c>
      <c r="D146" s="33">
        <v>0</v>
      </c>
      <c r="E146" s="33">
        <v>0</v>
      </c>
      <c r="F146" s="33">
        <v>1</v>
      </c>
      <c r="G146" s="33">
        <v>0</v>
      </c>
      <c r="H146" s="21">
        <f t="shared" si="2"/>
        <v>2</v>
      </c>
    </row>
    <row r="147" spans="2:8">
      <c r="B147" s="32">
        <v>41050</v>
      </c>
      <c r="C147" s="33">
        <v>15</v>
      </c>
      <c r="D147" s="33">
        <v>0</v>
      </c>
      <c r="E147" s="33">
        <v>0</v>
      </c>
      <c r="F147" s="33">
        <v>0</v>
      </c>
      <c r="G147" s="33">
        <v>0</v>
      </c>
      <c r="H147" s="21">
        <f t="shared" si="2"/>
        <v>1</v>
      </c>
    </row>
    <row r="148" spans="2:8">
      <c r="B148" s="32">
        <v>41051</v>
      </c>
      <c r="C148" s="33">
        <v>21</v>
      </c>
      <c r="D148" s="33">
        <v>0</v>
      </c>
      <c r="E148" s="33">
        <v>0</v>
      </c>
      <c r="F148" s="33">
        <v>0</v>
      </c>
      <c r="G148" s="33">
        <v>0</v>
      </c>
      <c r="H148" s="21">
        <f t="shared" si="2"/>
        <v>1</v>
      </c>
    </row>
    <row r="149" spans="2:8">
      <c r="B149" s="32">
        <v>41052</v>
      </c>
      <c r="C149" s="33">
        <v>19</v>
      </c>
      <c r="D149" s="33">
        <v>0</v>
      </c>
      <c r="E149" s="33">
        <v>0</v>
      </c>
      <c r="F149" s="33">
        <v>0</v>
      </c>
      <c r="G149" s="33">
        <v>0</v>
      </c>
      <c r="H149" s="21">
        <f t="shared" si="2"/>
        <v>1</v>
      </c>
    </row>
    <row r="150" spans="2:8">
      <c r="B150" s="32">
        <v>41053</v>
      </c>
      <c r="C150" s="33">
        <v>23</v>
      </c>
      <c r="D150" s="33">
        <v>0</v>
      </c>
      <c r="E150" s="33">
        <v>0</v>
      </c>
      <c r="F150" s="33">
        <v>0</v>
      </c>
      <c r="G150" s="33">
        <v>0</v>
      </c>
      <c r="H150" s="21">
        <f t="shared" si="2"/>
        <v>1</v>
      </c>
    </row>
    <row r="151" spans="2:8">
      <c r="B151" s="32">
        <v>41054</v>
      </c>
      <c r="C151" s="33">
        <v>32</v>
      </c>
      <c r="D151" s="33">
        <v>0</v>
      </c>
      <c r="E151" s="33">
        <v>0</v>
      </c>
      <c r="F151" s="33">
        <v>1</v>
      </c>
      <c r="G151" s="33">
        <v>0</v>
      </c>
      <c r="H151" s="21">
        <f t="shared" si="2"/>
        <v>2</v>
      </c>
    </row>
    <row r="152" spans="2:8">
      <c r="B152" s="32">
        <v>41055</v>
      </c>
      <c r="C152" s="33">
        <v>39</v>
      </c>
      <c r="D152" s="33">
        <v>0</v>
      </c>
      <c r="E152" s="33">
        <v>0</v>
      </c>
      <c r="F152" s="33">
        <v>2</v>
      </c>
      <c r="G152" s="33">
        <v>1</v>
      </c>
      <c r="H152" s="21">
        <f t="shared" si="2"/>
        <v>6</v>
      </c>
    </row>
    <row r="153" spans="2:8">
      <c r="B153" s="32">
        <v>41056</v>
      </c>
      <c r="C153" s="33">
        <v>32</v>
      </c>
      <c r="D153" s="33">
        <v>0</v>
      </c>
      <c r="E153" s="33">
        <v>0</v>
      </c>
      <c r="F153" s="33">
        <v>1</v>
      </c>
      <c r="G153" s="33">
        <v>1</v>
      </c>
      <c r="H153" s="21">
        <f t="shared" si="2"/>
        <v>4</v>
      </c>
    </row>
    <row r="154" spans="2:8">
      <c r="B154" s="32">
        <v>41057</v>
      </c>
      <c r="C154" s="33">
        <v>30</v>
      </c>
      <c r="D154" s="33">
        <v>0</v>
      </c>
      <c r="E154" s="33">
        <v>0</v>
      </c>
      <c r="F154" s="33">
        <v>1</v>
      </c>
      <c r="G154" s="33">
        <v>0</v>
      </c>
      <c r="H154" s="21">
        <f t="shared" si="2"/>
        <v>2</v>
      </c>
    </row>
    <row r="155" spans="2:8">
      <c r="B155" s="32">
        <v>41058</v>
      </c>
      <c r="C155" s="33">
        <v>33</v>
      </c>
      <c r="D155" s="33">
        <v>0</v>
      </c>
      <c r="E155" s="33">
        <v>0</v>
      </c>
      <c r="F155" s="33">
        <v>0</v>
      </c>
      <c r="G155" s="33">
        <v>0</v>
      </c>
      <c r="H155" s="21">
        <f t="shared" si="2"/>
        <v>1</v>
      </c>
    </row>
    <row r="156" spans="2:8">
      <c r="B156" s="32">
        <v>41059</v>
      </c>
      <c r="C156" s="33">
        <v>27</v>
      </c>
      <c r="D156" s="33">
        <v>0</v>
      </c>
      <c r="E156" s="33">
        <v>0</v>
      </c>
      <c r="F156" s="33">
        <v>1</v>
      </c>
      <c r="G156" s="33">
        <v>0</v>
      </c>
      <c r="H156" s="21">
        <f t="shared" si="2"/>
        <v>2</v>
      </c>
    </row>
    <row r="157" spans="2:8">
      <c r="B157" s="32">
        <v>41060</v>
      </c>
      <c r="C157" s="33">
        <v>35</v>
      </c>
      <c r="D157" s="33">
        <v>0</v>
      </c>
      <c r="E157" s="33">
        <v>0</v>
      </c>
      <c r="F157" s="33">
        <v>1</v>
      </c>
      <c r="G157" s="33">
        <v>1</v>
      </c>
      <c r="H157" s="21">
        <f t="shared" si="2"/>
        <v>4</v>
      </c>
    </row>
    <row r="158" spans="2:8">
      <c r="B158" s="32">
        <v>41061</v>
      </c>
      <c r="C158" s="33">
        <v>30</v>
      </c>
      <c r="D158" s="33">
        <v>0</v>
      </c>
      <c r="E158" s="33">
        <v>0</v>
      </c>
      <c r="F158" s="33">
        <v>0</v>
      </c>
      <c r="G158" s="33">
        <v>0</v>
      </c>
      <c r="H158" s="21">
        <f t="shared" si="2"/>
        <v>1</v>
      </c>
    </row>
    <row r="159" spans="2:8">
      <c r="B159" s="32">
        <v>41062</v>
      </c>
      <c r="C159" s="33">
        <v>36</v>
      </c>
      <c r="D159" s="33">
        <v>0</v>
      </c>
      <c r="E159" s="33">
        <v>0</v>
      </c>
      <c r="F159" s="33">
        <v>1</v>
      </c>
      <c r="G159" s="33">
        <v>1</v>
      </c>
      <c r="H159" s="21">
        <f t="shared" si="2"/>
        <v>4</v>
      </c>
    </row>
    <row r="160" spans="2:8">
      <c r="B160" s="32">
        <v>41063</v>
      </c>
      <c r="C160" s="33">
        <v>28</v>
      </c>
      <c r="D160" s="33">
        <v>0</v>
      </c>
      <c r="E160" s="33">
        <v>0</v>
      </c>
      <c r="F160" s="33">
        <v>1</v>
      </c>
      <c r="G160" s="33">
        <v>1</v>
      </c>
      <c r="H160" s="21">
        <f t="shared" si="2"/>
        <v>4</v>
      </c>
    </row>
    <row r="161" spans="2:8">
      <c r="B161" s="32">
        <v>41064</v>
      </c>
      <c r="C161" s="33">
        <v>22</v>
      </c>
      <c r="D161" s="33">
        <v>0</v>
      </c>
      <c r="E161" s="33">
        <v>0</v>
      </c>
      <c r="F161" s="33">
        <v>0</v>
      </c>
      <c r="G161" s="33">
        <v>0</v>
      </c>
      <c r="H161" s="21">
        <f t="shared" si="2"/>
        <v>1</v>
      </c>
    </row>
    <row r="162" spans="2:8">
      <c r="B162" s="32">
        <v>41065</v>
      </c>
      <c r="C162" s="33">
        <v>23</v>
      </c>
      <c r="D162" s="33">
        <v>0</v>
      </c>
      <c r="E162" s="33">
        <v>0</v>
      </c>
      <c r="F162" s="33">
        <v>0</v>
      </c>
      <c r="G162" s="33">
        <v>0</v>
      </c>
      <c r="H162" s="21">
        <f t="shared" si="2"/>
        <v>1</v>
      </c>
    </row>
    <row r="163" spans="2:8">
      <c r="B163" s="32">
        <v>41066</v>
      </c>
      <c r="C163" s="33">
        <v>13</v>
      </c>
      <c r="D163" s="33">
        <v>0</v>
      </c>
      <c r="E163" s="33">
        <v>0</v>
      </c>
      <c r="F163" s="33">
        <v>0</v>
      </c>
      <c r="G163" s="33">
        <v>0</v>
      </c>
      <c r="H163" s="21">
        <f t="shared" si="2"/>
        <v>1</v>
      </c>
    </row>
    <row r="164" spans="2:8">
      <c r="B164" s="32">
        <v>41067</v>
      </c>
      <c r="C164" s="33">
        <v>13</v>
      </c>
      <c r="D164" s="33">
        <v>0</v>
      </c>
      <c r="E164" s="33">
        <v>0</v>
      </c>
      <c r="F164" s="33">
        <v>0</v>
      </c>
      <c r="G164" s="33">
        <v>0</v>
      </c>
      <c r="H164" s="21">
        <f t="shared" si="2"/>
        <v>1</v>
      </c>
    </row>
    <row r="165" spans="2:8">
      <c r="B165" s="32">
        <v>41068</v>
      </c>
      <c r="C165" s="33">
        <v>12</v>
      </c>
      <c r="D165" s="33">
        <v>0</v>
      </c>
      <c r="E165" s="33">
        <v>0</v>
      </c>
      <c r="F165" s="33">
        <v>0</v>
      </c>
      <c r="G165" s="33">
        <v>0</v>
      </c>
      <c r="H165" s="21">
        <f t="shared" si="2"/>
        <v>1</v>
      </c>
    </row>
    <row r="166" spans="2:8">
      <c r="B166" s="32">
        <v>41069</v>
      </c>
      <c r="C166" s="33">
        <v>38</v>
      </c>
      <c r="D166" s="33">
        <v>0</v>
      </c>
      <c r="E166" s="33">
        <v>0</v>
      </c>
      <c r="F166" s="33">
        <v>1</v>
      </c>
      <c r="G166" s="33">
        <v>1</v>
      </c>
      <c r="H166" s="21">
        <f t="shared" si="2"/>
        <v>4</v>
      </c>
    </row>
    <row r="167" spans="2:8">
      <c r="B167" s="32">
        <v>41070</v>
      </c>
      <c r="C167" s="33">
        <v>17</v>
      </c>
      <c r="D167" s="33">
        <v>0</v>
      </c>
      <c r="E167" s="33">
        <v>0</v>
      </c>
      <c r="F167" s="33">
        <v>1</v>
      </c>
      <c r="G167" s="33">
        <v>0</v>
      </c>
      <c r="H167" s="21">
        <f t="shared" si="2"/>
        <v>2</v>
      </c>
    </row>
    <row r="168" spans="2:8">
      <c r="B168" s="32">
        <v>41071</v>
      </c>
      <c r="C168" s="33">
        <v>22</v>
      </c>
      <c r="D168" s="33">
        <v>0</v>
      </c>
      <c r="E168" s="33">
        <v>0</v>
      </c>
      <c r="F168" s="33">
        <v>0</v>
      </c>
      <c r="G168" s="33">
        <v>0</v>
      </c>
      <c r="H168" s="21">
        <f t="shared" si="2"/>
        <v>1</v>
      </c>
    </row>
    <row r="169" spans="2:8">
      <c r="B169" s="32">
        <v>41072</v>
      </c>
      <c r="C169" s="33">
        <v>12</v>
      </c>
      <c r="D169" s="33">
        <v>0</v>
      </c>
      <c r="E169" s="33">
        <v>0</v>
      </c>
      <c r="F169" s="33">
        <v>0</v>
      </c>
      <c r="G169" s="33">
        <v>0</v>
      </c>
      <c r="H169" s="21">
        <f t="shared" si="2"/>
        <v>1</v>
      </c>
    </row>
    <row r="170" spans="2:8">
      <c r="B170" s="32">
        <v>41073</v>
      </c>
      <c r="C170" s="33">
        <v>22</v>
      </c>
      <c r="D170" s="33">
        <v>0</v>
      </c>
      <c r="E170" s="33">
        <v>0</v>
      </c>
      <c r="F170" s="33">
        <v>0</v>
      </c>
      <c r="G170" s="33">
        <v>0</v>
      </c>
      <c r="H170" s="21">
        <f t="shared" si="2"/>
        <v>1</v>
      </c>
    </row>
    <row r="171" spans="2:8">
      <c r="B171" s="32">
        <v>41074</v>
      </c>
      <c r="C171" s="33">
        <v>20</v>
      </c>
      <c r="D171" s="33">
        <v>0</v>
      </c>
      <c r="E171" s="33">
        <v>0</v>
      </c>
      <c r="F171" s="33">
        <v>0</v>
      </c>
      <c r="G171" s="33">
        <v>0</v>
      </c>
      <c r="H171" s="21">
        <f t="shared" si="2"/>
        <v>1</v>
      </c>
    </row>
    <row r="172" spans="2:8">
      <c r="B172" s="32">
        <v>41075</v>
      </c>
      <c r="C172" s="33">
        <v>20</v>
      </c>
      <c r="D172" s="33">
        <v>0</v>
      </c>
      <c r="E172" s="33">
        <v>0</v>
      </c>
      <c r="F172" s="33">
        <v>0</v>
      </c>
      <c r="G172" s="33">
        <v>0</v>
      </c>
      <c r="H172" s="21">
        <f t="shared" si="2"/>
        <v>1</v>
      </c>
    </row>
    <row r="173" spans="2:8">
      <c r="B173" s="32">
        <v>41076</v>
      </c>
      <c r="C173" s="33">
        <v>42</v>
      </c>
      <c r="D173" s="33">
        <v>0</v>
      </c>
      <c r="E173" s="33">
        <v>0</v>
      </c>
      <c r="F173" s="33">
        <v>1</v>
      </c>
      <c r="G173" s="33">
        <v>1</v>
      </c>
      <c r="H173" s="21">
        <f t="shared" si="2"/>
        <v>4</v>
      </c>
    </row>
    <row r="174" spans="2:8">
      <c r="B174" s="32">
        <v>41077</v>
      </c>
      <c r="C174" s="33">
        <v>22</v>
      </c>
      <c r="D174" s="33">
        <v>0</v>
      </c>
      <c r="E174" s="33">
        <v>0</v>
      </c>
      <c r="F174" s="33">
        <v>1</v>
      </c>
      <c r="G174" s="33">
        <v>0</v>
      </c>
      <c r="H174" s="21">
        <f t="shared" si="2"/>
        <v>2</v>
      </c>
    </row>
    <row r="175" spans="2:8">
      <c r="B175" s="32">
        <v>41078</v>
      </c>
      <c r="C175" s="33">
        <v>23</v>
      </c>
      <c r="D175" s="33">
        <v>0</v>
      </c>
      <c r="E175" s="33">
        <v>0</v>
      </c>
      <c r="F175" s="33">
        <v>0</v>
      </c>
      <c r="G175" s="33">
        <v>0</v>
      </c>
      <c r="H175" s="21">
        <f t="shared" si="2"/>
        <v>1</v>
      </c>
    </row>
    <row r="176" spans="2:8">
      <c r="B176" s="32">
        <v>41079</v>
      </c>
      <c r="C176" s="33">
        <v>19</v>
      </c>
      <c r="D176" s="33">
        <v>0</v>
      </c>
      <c r="E176" s="33">
        <v>0</v>
      </c>
      <c r="F176" s="33">
        <v>0</v>
      </c>
      <c r="G176" s="33">
        <v>0</v>
      </c>
      <c r="H176" s="21">
        <f t="shared" si="2"/>
        <v>1</v>
      </c>
    </row>
    <row r="177" spans="2:8">
      <c r="B177" s="32">
        <v>41080</v>
      </c>
      <c r="C177" s="33">
        <v>21</v>
      </c>
      <c r="D177" s="33">
        <v>0</v>
      </c>
      <c r="E177" s="33">
        <v>0</v>
      </c>
      <c r="F177" s="33">
        <v>0</v>
      </c>
      <c r="G177" s="33">
        <v>0</v>
      </c>
      <c r="H177" s="21">
        <f t="shared" si="2"/>
        <v>1</v>
      </c>
    </row>
    <row r="178" spans="2:8">
      <c r="B178" s="32">
        <v>41081</v>
      </c>
      <c r="C178" s="33">
        <v>20</v>
      </c>
      <c r="D178" s="33">
        <v>0</v>
      </c>
      <c r="E178" s="33">
        <v>0</v>
      </c>
      <c r="F178" s="33">
        <v>0</v>
      </c>
      <c r="G178" s="33">
        <v>0</v>
      </c>
      <c r="H178" s="21">
        <f t="shared" si="2"/>
        <v>1</v>
      </c>
    </row>
    <row r="179" spans="2:8">
      <c r="B179" s="32">
        <v>41082</v>
      </c>
      <c r="C179" s="33">
        <v>32</v>
      </c>
      <c r="D179" s="33">
        <v>0</v>
      </c>
      <c r="E179" s="33">
        <v>0</v>
      </c>
      <c r="F179" s="33">
        <v>0</v>
      </c>
      <c r="G179" s="33">
        <v>0</v>
      </c>
      <c r="H179" s="21">
        <f t="shared" si="2"/>
        <v>1</v>
      </c>
    </row>
    <row r="180" spans="2:8">
      <c r="B180" s="32">
        <v>41083</v>
      </c>
      <c r="C180" s="33">
        <v>38</v>
      </c>
      <c r="D180" s="33">
        <v>0</v>
      </c>
      <c r="E180" s="33">
        <v>0</v>
      </c>
      <c r="F180" s="33">
        <v>2</v>
      </c>
      <c r="G180" s="33">
        <v>1</v>
      </c>
      <c r="H180" s="21">
        <f t="shared" si="2"/>
        <v>6</v>
      </c>
    </row>
    <row r="181" spans="2:8">
      <c r="B181" s="32">
        <v>41084</v>
      </c>
      <c r="C181" s="33">
        <v>34</v>
      </c>
      <c r="D181" s="33">
        <v>0</v>
      </c>
      <c r="E181" s="33">
        <v>0</v>
      </c>
      <c r="F181" s="33">
        <v>1</v>
      </c>
      <c r="G181" s="33">
        <v>1</v>
      </c>
      <c r="H181" s="21">
        <f t="shared" si="2"/>
        <v>4</v>
      </c>
    </row>
    <row r="182" spans="2:8">
      <c r="B182" s="32">
        <v>41085</v>
      </c>
      <c r="C182" s="33">
        <v>31</v>
      </c>
      <c r="D182" s="33">
        <v>0</v>
      </c>
      <c r="E182" s="33">
        <v>0</v>
      </c>
      <c r="F182" s="33">
        <v>0</v>
      </c>
      <c r="G182" s="33">
        <v>0</v>
      </c>
      <c r="H182" s="21">
        <f t="shared" si="2"/>
        <v>1</v>
      </c>
    </row>
    <row r="183" spans="2:8">
      <c r="B183" s="32">
        <v>41086</v>
      </c>
      <c r="C183" s="33">
        <v>33</v>
      </c>
      <c r="D183" s="33">
        <v>0</v>
      </c>
      <c r="E183" s="33">
        <v>0</v>
      </c>
      <c r="F183" s="33">
        <v>1</v>
      </c>
      <c r="G183" s="33">
        <v>0</v>
      </c>
      <c r="H183" s="21">
        <f t="shared" si="2"/>
        <v>2</v>
      </c>
    </row>
    <row r="184" spans="2:8">
      <c r="B184" s="32">
        <v>41087</v>
      </c>
      <c r="C184" s="33">
        <v>31</v>
      </c>
      <c r="D184" s="33">
        <v>0</v>
      </c>
      <c r="E184" s="33">
        <v>0</v>
      </c>
      <c r="F184" s="33">
        <v>0</v>
      </c>
      <c r="G184" s="33">
        <v>0</v>
      </c>
      <c r="H184" s="21">
        <f t="shared" si="2"/>
        <v>1</v>
      </c>
    </row>
    <row r="185" spans="2:8">
      <c r="B185" s="32">
        <v>41088</v>
      </c>
      <c r="C185" s="33">
        <v>42</v>
      </c>
      <c r="D185" s="33">
        <v>0</v>
      </c>
      <c r="E185" s="33">
        <v>0</v>
      </c>
      <c r="F185" s="33">
        <v>1</v>
      </c>
      <c r="G185" s="33">
        <v>0</v>
      </c>
      <c r="H185" s="21">
        <f t="shared" si="2"/>
        <v>2</v>
      </c>
    </row>
    <row r="186" spans="2:8">
      <c r="B186" s="32">
        <v>41089</v>
      </c>
      <c r="C186" s="33">
        <v>52</v>
      </c>
      <c r="D186" s="33">
        <v>0</v>
      </c>
      <c r="E186" s="33">
        <v>0</v>
      </c>
      <c r="F186" s="33">
        <v>1</v>
      </c>
      <c r="G186" s="33">
        <v>1</v>
      </c>
      <c r="H186" s="21">
        <f t="shared" si="2"/>
        <v>4</v>
      </c>
    </row>
    <row r="187" spans="2:8">
      <c r="B187" s="32">
        <v>41090</v>
      </c>
      <c r="C187" s="33">
        <v>55</v>
      </c>
      <c r="D187" s="33">
        <v>0</v>
      </c>
      <c r="E187" s="33">
        <v>0</v>
      </c>
      <c r="F187" s="33">
        <v>2</v>
      </c>
      <c r="G187" s="33">
        <v>2</v>
      </c>
      <c r="H187" s="21">
        <f t="shared" si="2"/>
        <v>9</v>
      </c>
    </row>
    <row r="188" spans="2:8">
      <c r="B188" s="32">
        <v>41091</v>
      </c>
      <c r="C188" s="33">
        <v>45</v>
      </c>
      <c r="D188" s="33">
        <v>0</v>
      </c>
      <c r="E188" s="33">
        <v>0</v>
      </c>
      <c r="F188" s="33">
        <v>2</v>
      </c>
      <c r="G188" s="33">
        <v>1</v>
      </c>
      <c r="H188" s="21">
        <f t="shared" si="2"/>
        <v>6</v>
      </c>
    </row>
    <row r="189" spans="2:8">
      <c r="B189" s="32">
        <v>41092</v>
      </c>
      <c r="C189" s="33">
        <v>31</v>
      </c>
      <c r="D189" s="33">
        <v>0</v>
      </c>
      <c r="E189" s="33">
        <v>0</v>
      </c>
      <c r="F189" s="33">
        <v>1</v>
      </c>
      <c r="G189" s="33">
        <v>1</v>
      </c>
      <c r="H189" s="21">
        <f t="shared" si="2"/>
        <v>4</v>
      </c>
    </row>
    <row r="190" spans="2:8">
      <c r="B190" s="32">
        <v>41093</v>
      </c>
      <c r="C190" s="33">
        <v>12</v>
      </c>
      <c r="D190" s="33">
        <v>0</v>
      </c>
      <c r="E190" s="33">
        <v>0</v>
      </c>
      <c r="F190" s="33">
        <v>1</v>
      </c>
      <c r="G190" s="33">
        <v>0</v>
      </c>
      <c r="H190" s="21">
        <f t="shared" si="2"/>
        <v>2</v>
      </c>
    </row>
    <row r="191" spans="2:8">
      <c r="B191" s="32">
        <v>41094</v>
      </c>
      <c r="C191" s="33">
        <v>19</v>
      </c>
      <c r="D191" s="33">
        <v>0</v>
      </c>
      <c r="E191" s="33">
        <v>0</v>
      </c>
      <c r="F191" s="33">
        <v>0</v>
      </c>
      <c r="G191" s="33">
        <v>0</v>
      </c>
      <c r="H191" s="21">
        <f t="shared" si="2"/>
        <v>1</v>
      </c>
    </row>
    <row r="192" spans="2:8">
      <c r="B192" s="32">
        <v>41095</v>
      </c>
      <c r="C192" s="33">
        <v>16</v>
      </c>
      <c r="D192" s="33">
        <v>0</v>
      </c>
      <c r="E192" s="33">
        <v>0</v>
      </c>
      <c r="F192" s="33">
        <v>0</v>
      </c>
      <c r="G192" s="33">
        <v>0</v>
      </c>
      <c r="H192" s="21">
        <f t="shared" si="2"/>
        <v>1</v>
      </c>
    </row>
    <row r="193" spans="2:8">
      <c r="B193" s="32">
        <v>41096</v>
      </c>
      <c r="C193" s="33">
        <v>23</v>
      </c>
      <c r="D193" s="33">
        <v>0</v>
      </c>
      <c r="E193" s="33">
        <v>0</v>
      </c>
      <c r="F193" s="33">
        <v>0</v>
      </c>
      <c r="G193" s="33">
        <v>0</v>
      </c>
      <c r="H193" s="21">
        <f t="shared" si="2"/>
        <v>1</v>
      </c>
    </row>
    <row r="194" spans="2:8">
      <c r="B194" s="32">
        <v>41097</v>
      </c>
      <c r="C194" s="33">
        <v>34</v>
      </c>
      <c r="D194" s="33">
        <v>0</v>
      </c>
      <c r="E194" s="33">
        <v>0</v>
      </c>
      <c r="F194" s="33">
        <v>1</v>
      </c>
      <c r="G194" s="33">
        <v>1</v>
      </c>
      <c r="H194" s="21">
        <f t="shared" si="2"/>
        <v>4</v>
      </c>
    </row>
    <row r="195" spans="2:8">
      <c r="B195" s="32">
        <v>41098</v>
      </c>
      <c r="C195" s="33">
        <v>20</v>
      </c>
      <c r="D195" s="33">
        <v>0</v>
      </c>
      <c r="E195" s="33">
        <v>0</v>
      </c>
      <c r="F195" s="33">
        <v>1</v>
      </c>
      <c r="G195" s="33">
        <v>1</v>
      </c>
      <c r="H195" s="21">
        <f t="shared" si="2"/>
        <v>4</v>
      </c>
    </row>
    <row r="196" spans="2:8">
      <c r="B196" s="32">
        <v>41099</v>
      </c>
      <c r="C196" s="33">
        <v>17</v>
      </c>
      <c r="D196" s="33">
        <v>0</v>
      </c>
      <c r="E196" s="33">
        <v>0</v>
      </c>
      <c r="F196" s="33">
        <v>0</v>
      </c>
      <c r="G196" s="33">
        <v>0</v>
      </c>
      <c r="H196" s="21">
        <f t="shared" si="2"/>
        <v>1</v>
      </c>
    </row>
    <row r="197" spans="2:8">
      <c r="B197" s="32">
        <v>41100</v>
      </c>
      <c r="C197" s="33">
        <v>9</v>
      </c>
      <c r="D197" s="33">
        <v>0</v>
      </c>
      <c r="E197" s="33">
        <v>0</v>
      </c>
      <c r="F197" s="33">
        <v>0</v>
      </c>
      <c r="G197" s="33">
        <v>0</v>
      </c>
      <c r="H197" s="21">
        <f t="shared" si="2"/>
        <v>1</v>
      </c>
    </row>
    <row r="198" spans="2:8">
      <c r="B198" s="32">
        <v>41101</v>
      </c>
      <c r="C198" s="33">
        <v>21</v>
      </c>
      <c r="D198" s="33">
        <v>0</v>
      </c>
      <c r="E198" s="33">
        <v>0</v>
      </c>
      <c r="F198" s="33">
        <v>0</v>
      </c>
      <c r="G198" s="33">
        <v>0</v>
      </c>
      <c r="H198" s="21">
        <f t="shared" ref="H198:H261" si="3">(F198+1)*(G198+1)</f>
        <v>1</v>
      </c>
    </row>
    <row r="199" spans="2:8">
      <c r="B199" s="32">
        <v>41102</v>
      </c>
      <c r="C199" s="33">
        <v>21</v>
      </c>
      <c r="D199" s="33">
        <v>0</v>
      </c>
      <c r="E199" s="33">
        <v>0</v>
      </c>
      <c r="F199" s="33">
        <v>0</v>
      </c>
      <c r="G199" s="33">
        <v>0</v>
      </c>
      <c r="H199" s="21">
        <f t="shared" si="3"/>
        <v>1</v>
      </c>
    </row>
    <row r="200" spans="2:8">
      <c r="B200" s="32">
        <v>41103</v>
      </c>
      <c r="C200" s="33">
        <v>23</v>
      </c>
      <c r="D200" s="33">
        <v>0</v>
      </c>
      <c r="E200" s="33">
        <v>0</v>
      </c>
      <c r="F200" s="33">
        <v>0</v>
      </c>
      <c r="G200" s="33">
        <v>0</v>
      </c>
      <c r="H200" s="21">
        <f t="shared" si="3"/>
        <v>1</v>
      </c>
    </row>
    <row r="201" spans="2:8">
      <c r="B201" s="32">
        <v>41104</v>
      </c>
      <c r="C201" s="33">
        <v>38</v>
      </c>
      <c r="D201" s="33">
        <v>0</v>
      </c>
      <c r="E201" s="33">
        <v>0</v>
      </c>
      <c r="F201" s="33">
        <v>2</v>
      </c>
      <c r="G201" s="33">
        <v>1</v>
      </c>
      <c r="H201" s="21">
        <f t="shared" si="3"/>
        <v>6</v>
      </c>
    </row>
    <row r="202" spans="2:8">
      <c r="B202" s="32">
        <v>41105</v>
      </c>
      <c r="C202" s="33">
        <v>38</v>
      </c>
      <c r="D202" s="33">
        <v>0</v>
      </c>
      <c r="E202" s="33">
        <v>0</v>
      </c>
      <c r="F202" s="33">
        <v>2</v>
      </c>
      <c r="G202" s="33">
        <v>1</v>
      </c>
      <c r="H202" s="21">
        <f t="shared" si="3"/>
        <v>6</v>
      </c>
    </row>
    <row r="203" spans="2:8">
      <c r="B203" s="32">
        <v>41106</v>
      </c>
      <c r="C203" s="33">
        <v>25</v>
      </c>
      <c r="D203" s="33">
        <v>0</v>
      </c>
      <c r="E203" s="33">
        <v>0</v>
      </c>
      <c r="F203" s="33">
        <v>1</v>
      </c>
      <c r="G203" s="33">
        <v>0</v>
      </c>
      <c r="H203" s="21">
        <f t="shared" si="3"/>
        <v>2</v>
      </c>
    </row>
    <row r="204" spans="2:8">
      <c r="B204" s="32">
        <v>41107</v>
      </c>
      <c r="C204" s="33">
        <v>24</v>
      </c>
      <c r="D204" s="33">
        <v>0</v>
      </c>
      <c r="E204" s="33">
        <v>0</v>
      </c>
      <c r="F204" s="33">
        <v>0</v>
      </c>
      <c r="G204" s="33">
        <v>0</v>
      </c>
      <c r="H204" s="21">
        <f t="shared" si="3"/>
        <v>1</v>
      </c>
    </row>
    <row r="205" spans="2:8">
      <c r="B205" s="32">
        <v>41108</v>
      </c>
      <c r="C205" s="33">
        <v>11</v>
      </c>
      <c r="D205" s="33">
        <v>0</v>
      </c>
      <c r="E205" s="33">
        <v>0</v>
      </c>
      <c r="F205" s="33">
        <v>0</v>
      </c>
      <c r="G205" s="33">
        <v>0</v>
      </c>
      <c r="H205" s="21">
        <f t="shared" si="3"/>
        <v>1</v>
      </c>
    </row>
    <row r="206" spans="2:8">
      <c r="B206" s="32">
        <v>41109</v>
      </c>
      <c r="C206" s="33">
        <v>19</v>
      </c>
      <c r="D206" s="33">
        <v>0</v>
      </c>
      <c r="E206" s="33">
        <v>0</v>
      </c>
      <c r="F206" s="33">
        <v>0</v>
      </c>
      <c r="G206" s="33">
        <v>0</v>
      </c>
      <c r="H206" s="21">
        <f t="shared" si="3"/>
        <v>1</v>
      </c>
    </row>
    <row r="207" spans="2:8">
      <c r="B207" s="32">
        <v>41110</v>
      </c>
      <c r="C207" s="33">
        <v>24</v>
      </c>
      <c r="D207" s="33">
        <v>0</v>
      </c>
      <c r="E207" s="33">
        <v>0</v>
      </c>
      <c r="F207" s="33">
        <v>0</v>
      </c>
      <c r="G207" s="33">
        <v>0</v>
      </c>
      <c r="H207" s="21">
        <f t="shared" si="3"/>
        <v>1</v>
      </c>
    </row>
    <row r="208" spans="2:8">
      <c r="B208" s="32">
        <v>41111</v>
      </c>
      <c r="C208" s="33">
        <v>37</v>
      </c>
      <c r="D208" s="33">
        <v>0</v>
      </c>
      <c r="E208" s="33">
        <v>0</v>
      </c>
      <c r="F208" s="33">
        <v>1</v>
      </c>
      <c r="G208" s="33">
        <v>1</v>
      </c>
      <c r="H208" s="21">
        <f t="shared" si="3"/>
        <v>4</v>
      </c>
    </row>
    <row r="209" spans="2:8">
      <c r="B209" s="32">
        <v>41112</v>
      </c>
      <c r="C209" s="33">
        <v>23</v>
      </c>
      <c r="D209" s="33">
        <v>0</v>
      </c>
      <c r="E209" s="33">
        <v>0</v>
      </c>
      <c r="F209" s="33">
        <v>1</v>
      </c>
      <c r="G209" s="33">
        <v>1</v>
      </c>
      <c r="H209" s="21">
        <f t="shared" si="3"/>
        <v>4</v>
      </c>
    </row>
    <row r="210" spans="2:8">
      <c r="B210" s="32">
        <v>41113</v>
      </c>
      <c r="C210" s="33">
        <v>27</v>
      </c>
      <c r="D210" s="33">
        <v>0</v>
      </c>
      <c r="E210" s="33">
        <v>0</v>
      </c>
      <c r="F210" s="33">
        <v>0</v>
      </c>
      <c r="G210" s="33">
        <v>0</v>
      </c>
      <c r="H210" s="21">
        <f t="shared" si="3"/>
        <v>1</v>
      </c>
    </row>
    <row r="211" spans="2:8">
      <c r="B211" s="32">
        <v>41114</v>
      </c>
      <c r="C211" s="33">
        <v>31</v>
      </c>
      <c r="D211" s="33">
        <v>0</v>
      </c>
      <c r="E211" s="33">
        <v>0</v>
      </c>
      <c r="F211" s="33">
        <v>1</v>
      </c>
      <c r="G211" s="33">
        <v>0</v>
      </c>
      <c r="H211" s="21">
        <f t="shared" si="3"/>
        <v>2</v>
      </c>
    </row>
    <row r="212" spans="2:8">
      <c r="B212" s="32">
        <v>41115</v>
      </c>
      <c r="C212" s="33">
        <v>17</v>
      </c>
      <c r="D212" s="33">
        <v>0</v>
      </c>
      <c r="E212" s="33">
        <v>0</v>
      </c>
      <c r="F212" s="33">
        <v>0</v>
      </c>
      <c r="G212" s="33">
        <v>0</v>
      </c>
      <c r="H212" s="21">
        <f t="shared" si="3"/>
        <v>1</v>
      </c>
    </row>
    <row r="213" spans="2:8">
      <c r="B213" s="32">
        <v>41116</v>
      </c>
      <c r="C213" s="33">
        <v>22</v>
      </c>
      <c r="D213" s="33">
        <v>0</v>
      </c>
      <c r="E213" s="33">
        <v>0</v>
      </c>
      <c r="F213" s="33">
        <v>0</v>
      </c>
      <c r="G213" s="33">
        <v>0</v>
      </c>
      <c r="H213" s="21">
        <f t="shared" si="3"/>
        <v>1</v>
      </c>
    </row>
    <row r="214" spans="2:8">
      <c r="B214" s="32">
        <v>41117</v>
      </c>
      <c r="C214" s="33">
        <v>25</v>
      </c>
      <c r="D214" s="33">
        <v>0</v>
      </c>
      <c r="E214" s="33">
        <v>0</v>
      </c>
      <c r="F214" s="33">
        <v>1</v>
      </c>
      <c r="G214" s="33">
        <v>1</v>
      </c>
      <c r="H214" s="21">
        <f t="shared" si="3"/>
        <v>4</v>
      </c>
    </row>
    <row r="215" spans="2:8">
      <c r="B215" s="32">
        <v>41118</v>
      </c>
      <c r="C215" s="33">
        <v>48</v>
      </c>
      <c r="D215" s="33">
        <v>0</v>
      </c>
      <c r="E215" s="33">
        <v>0</v>
      </c>
      <c r="F215" s="33">
        <v>3</v>
      </c>
      <c r="G215" s="33">
        <v>2</v>
      </c>
      <c r="H215" s="21">
        <f t="shared" si="3"/>
        <v>12</v>
      </c>
    </row>
    <row r="216" spans="2:8">
      <c r="B216" s="32">
        <v>41119</v>
      </c>
      <c r="C216" s="33">
        <v>43</v>
      </c>
      <c r="D216" s="33">
        <v>0</v>
      </c>
      <c r="E216" s="33">
        <v>0</v>
      </c>
      <c r="F216" s="33">
        <v>2</v>
      </c>
      <c r="G216" s="33">
        <v>1</v>
      </c>
      <c r="H216" s="21">
        <f t="shared" si="3"/>
        <v>6</v>
      </c>
    </row>
    <row r="217" spans="2:8">
      <c r="B217" s="32">
        <v>41120</v>
      </c>
      <c r="C217" s="33">
        <v>31</v>
      </c>
      <c r="D217" s="33">
        <v>0</v>
      </c>
      <c r="E217" s="33">
        <v>0</v>
      </c>
      <c r="F217" s="33">
        <v>1</v>
      </c>
      <c r="G217" s="33">
        <v>1</v>
      </c>
      <c r="H217" s="21">
        <f t="shared" si="3"/>
        <v>4</v>
      </c>
    </row>
    <row r="218" spans="2:8">
      <c r="B218" s="32">
        <v>41121</v>
      </c>
      <c r="C218" s="33">
        <v>42</v>
      </c>
      <c r="D218" s="33">
        <v>0</v>
      </c>
      <c r="E218" s="33">
        <v>0</v>
      </c>
      <c r="F218" s="33">
        <v>1</v>
      </c>
      <c r="G218" s="33">
        <v>1</v>
      </c>
      <c r="H218" s="21">
        <f t="shared" si="3"/>
        <v>4</v>
      </c>
    </row>
    <row r="219" spans="2:8">
      <c r="B219" s="32">
        <v>41122</v>
      </c>
      <c r="C219" s="33">
        <v>41</v>
      </c>
      <c r="D219" s="33">
        <v>0</v>
      </c>
      <c r="E219" s="33">
        <v>0</v>
      </c>
      <c r="F219" s="33">
        <v>0</v>
      </c>
      <c r="G219" s="33">
        <v>0</v>
      </c>
      <c r="H219" s="21">
        <f t="shared" si="3"/>
        <v>1</v>
      </c>
    </row>
    <row r="220" spans="2:8">
      <c r="B220" s="32">
        <v>41123</v>
      </c>
      <c r="C220" s="33">
        <v>30</v>
      </c>
      <c r="D220" s="33">
        <v>0</v>
      </c>
      <c r="E220" s="33">
        <v>0</v>
      </c>
      <c r="F220" s="33">
        <v>0</v>
      </c>
      <c r="G220" s="33">
        <v>0</v>
      </c>
      <c r="H220" s="21">
        <f t="shared" si="3"/>
        <v>1</v>
      </c>
    </row>
    <row r="221" spans="2:8">
      <c r="B221" s="32">
        <v>41124</v>
      </c>
      <c r="C221" s="33">
        <v>29</v>
      </c>
      <c r="D221" s="33">
        <v>0</v>
      </c>
      <c r="E221" s="33">
        <v>0</v>
      </c>
      <c r="F221" s="33">
        <v>0</v>
      </c>
      <c r="G221" s="33">
        <v>0</v>
      </c>
      <c r="H221" s="21">
        <f t="shared" si="3"/>
        <v>1</v>
      </c>
    </row>
    <row r="222" spans="2:8">
      <c r="B222" s="32">
        <v>41125</v>
      </c>
      <c r="C222" s="33">
        <v>31</v>
      </c>
      <c r="D222" s="33">
        <v>0</v>
      </c>
      <c r="E222" s="33">
        <v>0</v>
      </c>
      <c r="F222" s="33">
        <v>1</v>
      </c>
      <c r="G222" s="33">
        <v>1</v>
      </c>
      <c r="H222" s="21">
        <f t="shared" si="3"/>
        <v>4</v>
      </c>
    </row>
    <row r="223" spans="2:8">
      <c r="B223" s="32">
        <v>41126</v>
      </c>
      <c r="C223" s="33">
        <v>34</v>
      </c>
      <c r="D223" s="33">
        <v>0</v>
      </c>
      <c r="E223" s="33">
        <v>0</v>
      </c>
      <c r="F223" s="33">
        <v>1</v>
      </c>
      <c r="G223" s="33">
        <v>1</v>
      </c>
      <c r="H223" s="21">
        <f t="shared" si="3"/>
        <v>4</v>
      </c>
    </row>
    <row r="224" spans="2:8">
      <c r="B224" s="32">
        <v>41127</v>
      </c>
      <c r="C224" s="33">
        <v>21</v>
      </c>
      <c r="D224" s="33">
        <v>0</v>
      </c>
      <c r="E224" s="33">
        <v>0</v>
      </c>
      <c r="F224" s="33">
        <v>0</v>
      </c>
      <c r="G224" s="33">
        <v>0</v>
      </c>
      <c r="H224" s="21">
        <f t="shared" si="3"/>
        <v>1</v>
      </c>
    </row>
    <row r="225" spans="2:8">
      <c r="B225" s="32">
        <v>41128</v>
      </c>
      <c r="C225" s="33">
        <v>21</v>
      </c>
      <c r="D225" s="33">
        <v>0</v>
      </c>
      <c r="E225" s="33">
        <v>0</v>
      </c>
      <c r="F225" s="33">
        <v>0</v>
      </c>
      <c r="G225" s="33">
        <v>0</v>
      </c>
      <c r="H225" s="21">
        <f t="shared" si="3"/>
        <v>1</v>
      </c>
    </row>
    <row r="226" spans="2:8">
      <c r="B226" s="32">
        <v>41129</v>
      </c>
      <c r="C226" s="33">
        <v>22</v>
      </c>
      <c r="D226" s="33">
        <v>0</v>
      </c>
      <c r="E226" s="33">
        <v>0</v>
      </c>
      <c r="F226" s="33">
        <v>0</v>
      </c>
      <c r="G226" s="33">
        <v>0</v>
      </c>
      <c r="H226" s="21">
        <f t="shared" si="3"/>
        <v>1</v>
      </c>
    </row>
    <row r="227" spans="2:8">
      <c r="B227" s="32">
        <v>41130</v>
      </c>
      <c r="C227" s="33">
        <v>12</v>
      </c>
      <c r="D227" s="33">
        <v>0</v>
      </c>
      <c r="E227" s="33">
        <v>0</v>
      </c>
      <c r="F227" s="33">
        <v>0</v>
      </c>
      <c r="G227" s="33">
        <v>0</v>
      </c>
      <c r="H227" s="21">
        <f t="shared" si="3"/>
        <v>1</v>
      </c>
    </row>
    <row r="228" spans="2:8">
      <c r="B228" s="32">
        <v>41131</v>
      </c>
      <c r="C228" s="33">
        <v>25</v>
      </c>
      <c r="D228" s="33">
        <v>0</v>
      </c>
      <c r="E228" s="33">
        <v>0</v>
      </c>
      <c r="F228" s="33">
        <v>0</v>
      </c>
      <c r="G228" s="33">
        <v>0</v>
      </c>
      <c r="H228" s="21">
        <f t="shared" si="3"/>
        <v>1</v>
      </c>
    </row>
    <row r="229" spans="2:8">
      <c r="B229" s="32">
        <v>41132</v>
      </c>
      <c r="C229" s="33">
        <v>29</v>
      </c>
      <c r="D229" s="33">
        <v>0</v>
      </c>
      <c r="E229" s="33">
        <v>0</v>
      </c>
      <c r="F229" s="33">
        <v>1</v>
      </c>
      <c r="G229" s="33">
        <v>1</v>
      </c>
      <c r="H229" s="21">
        <f t="shared" si="3"/>
        <v>4</v>
      </c>
    </row>
    <row r="230" spans="2:8">
      <c r="B230" s="32">
        <v>41133</v>
      </c>
      <c r="C230" s="33">
        <v>14</v>
      </c>
      <c r="D230" s="33">
        <v>0</v>
      </c>
      <c r="E230" s="33">
        <v>0</v>
      </c>
      <c r="F230" s="33">
        <v>0</v>
      </c>
      <c r="G230" s="33">
        <v>0</v>
      </c>
      <c r="H230" s="21">
        <f t="shared" si="3"/>
        <v>1</v>
      </c>
    </row>
    <row r="231" spans="2:8">
      <c r="B231" s="32">
        <v>41134</v>
      </c>
      <c r="C231" s="33">
        <v>29</v>
      </c>
      <c r="D231" s="33">
        <v>0</v>
      </c>
      <c r="E231" s="33">
        <v>0</v>
      </c>
      <c r="F231" s="33">
        <v>0</v>
      </c>
      <c r="G231" s="33">
        <v>0</v>
      </c>
      <c r="H231" s="21">
        <f t="shared" si="3"/>
        <v>1</v>
      </c>
    </row>
    <row r="232" spans="2:8">
      <c r="B232" s="32">
        <v>41135</v>
      </c>
      <c r="C232" s="33">
        <v>23</v>
      </c>
      <c r="D232" s="33">
        <v>0</v>
      </c>
      <c r="E232" s="33">
        <v>0</v>
      </c>
      <c r="F232" s="33">
        <v>0</v>
      </c>
      <c r="G232" s="33">
        <v>0</v>
      </c>
      <c r="H232" s="21">
        <f t="shared" si="3"/>
        <v>1</v>
      </c>
    </row>
    <row r="233" spans="2:8">
      <c r="B233" s="32">
        <v>41136</v>
      </c>
      <c r="C233" s="33">
        <v>19</v>
      </c>
      <c r="D233" s="33">
        <v>0</v>
      </c>
      <c r="E233" s="33">
        <v>0</v>
      </c>
      <c r="F233" s="33">
        <v>0</v>
      </c>
      <c r="G233" s="33">
        <v>0</v>
      </c>
      <c r="H233" s="21">
        <f t="shared" si="3"/>
        <v>1</v>
      </c>
    </row>
    <row r="234" spans="2:8">
      <c r="B234" s="32">
        <v>41137</v>
      </c>
      <c r="C234" s="33">
        <v>16</v>
      </c>
      <c r="D234" s="33">
        <v>0</v>
      </c>
      <c r="E234" s="33">
        <v>0</v>
      </c>
      <c r="F234" s="33">
        <v>0</v>
      </c>
      <c r="G234" s="33">
        <v>0</v>
      </c>
      <c r="H234" s="21">
        <f t="shared" si="3"/>
        <v>1</v>
      </c>
    </row>
    <row r="235" spans="2:8">
      <c r="B235" s="32">
        <v>41138</v>
      </c>
      <c r="C235" s="33">
        <v>29</v>
      </c>
      <c r="D235" s="33">
        <v>0</v>
      </c>
      <c r="E235" s="33">
        <v>0</v>
      </c>
      <c r="F235" s="33">
        <v>0</v>
      </c>
      <c r="G235" s="33">
        <v>0</v>
      </c>
      <c r="H235" s="21">
        <f t="shared" si="3"/>
        <v>1</v>
      </c>
    </row>
    <row r="236" spans="2:8">
      <c r="B236" s="32">
        <v>41139</v>
      </c>
      <c r="C236" s="33">
        <v>22</v>
      </c>
      <c r="D236" s="33">
        <v>0</v>
      </c>
      <c r="E236" s="33">
        <v>0</v>
      </c>
      <c r="F236" s="33">
        <v>1</v>
      </c>
      <c r="G236" s="33">
        <v>1</v>
      </c>
      <c r="H236" s="21">
        <f t="shared" si="3"/>
        <v>4</v>
      </c>
    </row>
    <row r="237" spans="2:8">
      <c r="B237" s="32">
        <v>41140</v>
      </c>
      <c r="C237" s="33">
        <v>23</v>
      </c>
      <c r="D237" s="33">
        <v>0</v>
      </c>
      <c r="E237" s="33">
        <v>0</v>
      </c>
      <c r="F237" s="33">
        <v>1</v>
      </c>
      <c r="G237" s="33">
        <v>0</v>
      </c>
      <c r="H237" s="21">
        <f t="shared" si="3"/>
        <v>2</v>
      </c>
    </row>
    <row r="238" spans="2:8">
      <c r="B238" s="32">
        <v>41141</v>
      </c>
      <c r="C238" s="33">
        <v>25</v>
      </c>
      <c r="D238" s="33">
        <v>0</v>
      </c>
      <c r="E238" s="33">
        <v>0</v>
      </c>
      <c r="F238" s="33">
        <v>0</v>
      </c>
      <c r="G238" s="33">
        <v>0</v>
      </c>
      <c r="H238" s="21">
        <f t="shared" si="3"/>
        <v>1</v>
      </c>
    </row>
    <row r="239" spans="2:8">
      <c r="B239" s="32">
        <v>41142</v>
      </c>
      <c r="C239" s="33">
        <v>19</v>
      </c>
      <c r="D239" s="33">
        <v>0</v>
      </c>
      <c r="E239" s="33">
        <v>0</v>
      </c>
      <c r="F239" s="33">
        <v>0</v>
      </c>
      <c r="G239" s="33">
        <v>0</v>
      </c>
      <c r="H239" s="21">
        <f t="shared" si="3"/>
        <v>1</v>
      </c>
    </row>
    <row r="240" spans="2:8">
      <c r="B240" s="32">
        <v>41143</v>
      </c>
      <c r="C240" s="33">
        <v>21</v>
      </c>
      <c r="D240" s="33">
        <v>0</v>
      </c>
      <c r="E240" s="33">
        <v>0</v>
      </c>
      <c r="F240" s="33">
        <v>0</v>
      </c>
      <c r="G240" s="33">
        <v>0</v>
      </c>
      <c r="H240" s="21">
        <f t="shared" si="3"/>
        <v>1</v>
      </c>
    </row>
    <row r="241" spans="2:8">
      <c r="B241" s="32">
        <v>41144</v>
      </c>
      <c r="C241" s="33">
        <v>26</v>
      </c>
      <c r="D241" s="33">
        <v>0</v>
      </c>
      <c r="E241" s="33">
        <v>0</v>
      </c>
      <c r="F241" s="33">
        <v>0</v>
      </c>
      <c r="G241" s="33">
        <v>0</v>
      </c>
      <c r="H241" s="21">
        <f t="shared" si="3"/>
        <v>1</v>
      </c>
    </row>
    <row r="242" spans="2:8">
      <c r="B242" s="32">
        <v>41145</v>
      </c>
      <c r="C242" s="33">
        <v>23</v>
      </c>
      <c r="D242" s="33">
        <v>0</v>
      </c>
      <c r="E242" s="33">
        <v>0</v>
      </c>
      <c r="F242" s="33">
        <v>1</v>
      </c>
      <c r="G242" s="33">
        <v>0</v>
      </c>
      <c r="H242" s="21">
        <f t="shared" si="3"/>
        <v>2</v>
      </c>
    </row>
    <row r="243" spans="2:8">
      <c r="B243" s="32">
        <v>41146</v>
      </c>
      <c r="C243" s="33">
        <v>31</v>
      </c>
      <c r="D243" s="33">
        <v>0</v>
      </c>
      <c r="E243" s="33">
        <v>0</v>
      </c>
      <c r="F243" s="33">
        <v>2</v>
      </c>
      <c r="G243" s="33">
        <v>1</v>
      </c>
      <c r="H243" s="21">
        <f t="shared" si="3"/>
        <v>6</v>
      </c>
    </row>
    <row r="244" spans="2:8">
      <c r="B244" s="32">
        <v>41147</v>
      </c>
      <c r="C244" s="33">
        <v>37</v>
      </c>
      <c r="D244" s="33">
        <v>0</v>
      </c>
      <c r="E244" s="33">
        <v>0</v>
      </c>
      <c r="F244" s="33">
        <v>1</v>
      </c>
      <c r="G244" s="33">
        <v>1</v>
      </c>
      <c r="H244" s="21">
        <f t="shared" si="3"/>
        <v>4</v>
      </c>
    </row>
    <row r="245" spans="2:8">
      <c r="B245" s="32">
        <v>41148</v>
      </c>
      <c r="C245" s="33">
        <v>36</v>
      </c>
      <c r="D245" s="33">
        <v>0</v>
      </c>
      <c r="E245" s="33">
        <v>0</v>
      </c>
      <c r="F245" s="33">
        <v>0</v>
      </c>
      <c r="G245" s="33">
        <v>0</v>
      </c>
      <c r="H245" s="21">
        <f t="shared" si="3"/>
        <v>1</v>
      </c>
    </row>
    <row r="246" spans="2:8">
      <c r="B246" s="32">
        <v>41149</v>
      </c>
      <c r="C246" s="33">
        <v>27</v>
      </c>
      <c r="D246" s="33">
        <v>0</v>
      </c>
      <c r="E246" s="33">
        <v>0</v>
      </c>
      <c r="F246" s="33">
        <v>1</v>
      </c>
      <c r="G246" s="33">
        <v>1</v>
      </c>
      <c r="H246" s="21">
        <f t="shared" si="3"/>
        <v>4</v>
      </c>
    </row>
    <row r="247" spans="2:8">
      <c r="B247" s="32">
        <v>41150</v>
      </c>
      <c r="C247" s="33">
        <v>30</v>
      </c>
      <c r="D247" s="33">
        <v>0</v>
      </c>
      <c r="E247" s="33">
        <v>0</v>
      </c>
      <c r="F247" s="33">
        <v>0</v>
      </c>
      <c r="G247" s="33">
        <v>0</v>
      </c>
      <c r="H247" s="21">
        <f t="shared" si="3"/>
        <v>1</v>
      </c>
    </row>
    <row r="248" spans="2:8">
      <c r="B248" s="32">
        <v>41151</v>
      </c>
      <c r="C248" s="33">
        <v>38</v>
      </c>
      <c r="D248" s="33">
        <v>0</v>
      </c>
      <c r="E248" s="33">
        <v>0</v>
      </c>
      <c r="F248" s="33">
        <v>1</v>
      </c>
      <c r="G248" s="33">
        <v>0</v>
      </c>
      <c r="H248" s="21">
        <f t="shared" si="3"/>
        <v>2</v>
      </c>
    </row>
    <row r="249" spans="2:8">
      <c r="B249" s="32">
        <v>41152</v>
      </c>
      <c r="C249" s="33">
        <v>28</v>
      </c>
      <c r="D249" s="33">
        <v>0</v>
      </c>
      <c r="E249" s="33">
        <v>0</v>
      </c>
      <c r="F249" s="33">
        <v>1</v>
      </c>
      <c r="G249" s="33">
        <v>1</v>
      </c>
      <c r="H249" s="21">
        <f t="shared" si="3"/>
        <v>4</v>
      </c>
    </row>
    <row r="250" spans="2:8">
      <c r="B250" s="32">
        <v>41153</v>
      </c>
      <c r="C250" s="33">
        <v>44</v>
      </c>
      <c r="D250" s="33">
        <v>0</v>
      </c>
      <c r="E250" s="33">
        <v>0</v>
      </c>
      <c r="F250" s="33">
        <v>2</v>
      </c>
      <c r="G250" s="33">
        <v>1</v>
      </c>
      <c r="H250" s="21">
        <f t="shared" si="3"/>
        <v>6</v>
      </c>
    </row>
    <row r="251" spans="2:8">
      <c r="B251" s="32">
        <v>41154</v>
      </c>
      <c r="C251" s="33">
        <v>40</v>
      </c>
      <c r="D251" s="33">
        <v>0</v>
      </c>
      <c r="E251" s="33">
        <v>0</v>
      </c>
      <c r="F251" s="33">
        <v>1</v>
      </c>
      <c r="G251" s="33">
        <v>1</v>
      </c>
      <c r="H251" s="21">
        <f t="shared" si="3"/>
        <v>4</v>
      </c>
    </row>
    <row r="252" spans="2:8">
      <c r="B252" s="32">
        <v>41155</v>
      </c>
      <c r="C252" s="33">
        <v>35</v>
      </c>
      <c r="D252" s="33">
        <v>0</v>
      </c>
      <c r="E252" s="33">
        <v>0</v>
      </c>
      <c r="F252" s="33">
        <v>1</v>
      </c>
      <c r="G252" s="33">
        <v>0</v>
      </c>
      <c r="H252" s="21">
        <f t="shared" si="3"/>
        <v>2</v>
      </c>
    </row>
    <row r="253" spans="2:8">
      <c r="B253" s="32">
        <v>41156</v>
      </c>
      <c r="C253" s="33">
        <v>13</v>
      </c>
      <c r="D253" s="33">
        <v>0</v>
      </c>
      <c r="E253" s="33">
        <v>0</v>
      </c>
      <c r="F253" s="33">
        <v>0</v>
      </c>
      <c r="G253" s="33">
        <v>0</v>
      </c>
      <c r="H253" s="21">
        <f t="shared" si="3"/>
        <v>1</v>
      </c>
    </row>
    <row r="254" spans="2:8">
      <c r="B254" s="32">
        <v>41157</v>
      </c>
      <c r="C254" s="33">
        <v>15</v>
      </c>
      <c r="D254" s="33">
        <v>0</v>
      </c>
      <c r="E254" s="33">
        <v>0</v>
      </c>
      <c r="F254" s="33">
        <v>0</v>
      </c>
      <c r="G254" s="33">
        <v>0</v>
      </c>
      <c r="H254" s="21">
        <f t="shared" si="3"/>
        <v>1</v>
      </c>
    </row>
    <row r="255" spans="2:8">
      <c r="B255" s="32">
        <v>41158</v>
      </c>
      <c r="C255" s="33">
        <v>19</v>
      </c>
      <c r="D255" s="33">
        <v>0</v>
      </c>
      <c r="E255" s="33">
        <v>0</v>
      </c>
      <c r="F255" s="33">
        <v>0</v>
      </c>
      <c r="G255" s="33">
        <v>0</v>
      </c>
      <c r="H255" s="21">
        <f t="shared" si="3"/>
        <v>1</v>
      </c>
    </row>
    <row r="256" spans="2:8">
      <c r="B256" s="32">
        <v>41159</v>
      </c>
      <c r="C256" s="33">
        <v>23</v>
      </c>
      <c r="D256" s="33">
        <v>0</v>
      </c>
      <c r="E256" s="33">
        <v>0</v>
      </c>
      <c r="F256" s="33">
        <v>0</v>
      </c>
      <c r="G256" s="33">
        <v>0</v>
      </c>
      <c r="H256" s="21">
        <f t="shared" si="3"/>
        <v>1</v>
      </c>
    </row>
    <row r="257" spans="2:8">
      <c r="B257" s="32">
        <v>41160</v>
      </c>
      <c r="C257" s="33">
        <v>18</v>
      </c>
      <c r="D257" s="33">
        <v>0</v>
      </c>
      <c r="E257" s="33">
        <v>0</v>
      </c>
      <c r="F257" s="33">
        <v>1</v>
      </c>
      <c r="G257" s="33">
        <v>1</v>
      </c>
      <c r="H257" s="21">
        <f t="shared" si="3"/>
        <v>4</v>
      </c>
    </row>
    <row r="258" spans="2:8">
      <c r="B258" s="32">
        <v>41161</v>
      </c>
      <c r="C258" s="33">
        <v>33</v>
      </c>
      <c r="D258" s="33">
        <v>0</v>
      </c>
      <c r="E258" s="33">
        <v>0</v>
      </c>
      <c r="F258" s="33">
        <v>1</v>
      </c>
      <c r="G258" s="33">
        <v>1</v>
      </c>
      <c r="H258" s="21">
        <f t="shared" si="3"/>
        <v>4</v>
      </c>
    </row>
    <row r="259" spans="2:8">
      <c r="B259" s="32">
        <v>41162</v>
      </c>
      <c r="C259" s="33">
        <v>28</v>
      </c>
      <c r="D259" s="33">
        <v>0</v>
      </c>
      <c r="E259" s="33">
        <v>0</v>
      </c>
      <c r="F259" s="33">
        <v>0</v>
      </c>
      <c r="G259" s="33">
        <v>0</v>
      </c>
      <c r="H259" s="21">
        <f t="shared" si="3"/>
        <v>1</v>
      </c>
    </row>
    <row r="260" spans="2:8">
      <c r="B260" s="32">
        <v>41163</v>
      </c>
      <c r="C260" s="33">
        <v>22</v>
      </c>
      <c r="D260" s="33">
        <v>0</v>
      </c>
      <c r="E260" s="33">
        <v>0</v>
      </c>
      <c r="F260" s="33">
        <v>0</v>
      </c>
      <c r="G260" s="33">
        <v>0</v>
      </c>
      <c r="H260" s="21">
        <f t="shared" si="3"/>
        <v>1</v>
      </c>
    </row>
    <row r="261" spans="2:8">
      <c r="B261" s="32">
        <v>41164</v>
      </c>
      <c r="C261" s="33">
        <v>26</v>
      </c>
      <c r="D261" s="33">
        <v>0</v>
      </c>
      <c r="E261" s="33">
        <v>0</v>
      </c>
      <c r="F261" s="33">
        <v>0</v>
      </c>
      <c r="G261" s="33">
        <v>0</v>
      </c>
      <c r="H261" s="21">
        <f t="shared" si="3"/>
        <v>1</v>
      </c>
    </row>
    <row r="262" spans="2:8">
      <c r="B262" s="32">
        <v>41165</v>
      </c>
      <c r="C262" s="33">
        <v>26</v>
      </c>
      <c r="D262" s="33">
        <v>0</v>
      </c>
      <c r="E262" s="33">
        <v>0</v>
      </c>
      <c r="F262" s="33">
        <v>0</v>
      </c>
      <c r="G262" s="33">
        <v>0</v>
      </c>
      <c r="H262" s="21">
        <f t="shared" ref="H262:H325" si="4">(F262+1)*(G262+1)</f>
        <v>1</v>
      </c>
    </row>
    <row r="263" spans="2:8">
      <c r="B263" s="32">
        <v>41166</v>
      </c>
      <c r="C263" s="33">
        <v>25</v>
      </c>
      <c r="D263" s="33">
        <v>0</v>
      </c>
      <c r="E263" s="33">
        <v>0</v>
      </c>
      <c r="F263" s="33">
        <v>0</v>
      </c>
      <c r="G263" s="33">
        <v>0</v>
      </c>
      <c r="H263" s="21">
        <f t="shared" si="4"/>
        <v>1</v>
      </c>
    </row>
    <row r="264" spans="2:8">
      <c r="B264" s="32">
        <v>41167</v>
      </c>
      <c r="C264" s="33">
        <v>36</v>
      </c>
      <c r="D264" s="33">
        <v>0</v>
      </c>
      <c r="E264" s="33">
        <v>0</v>
      </c>
      <c r="F264" s="33">
        <v>2</v>
      </c>
      <c r="G264" s="33">
        <v>1</v>
      </c>
      <c r="H264" s="21">
        <f t="shared" si="4"/>
        <v>6</v>
      </c>
    </row>
    <row r="265" spans="2:8">
      <c r="B265" s="32">
        <v>41168</v>
      </c>
      <c r="C265" s="33">
        <v>45</v>
      </c>
      <c r="D265" s="33">
        <v>0</v>
      </c>
      <c r="E265" s="33">
        <v>0</v>
      </c>
      <c r="F265" s="33">
        <v>2</v>
      </c>
      <c r="G265" s="33">
        <v>2</v>
      </c>
      <c r="H265" s="21">
        <f t="shared" si="4"/>
        <v>9</v>
      </c>
    </row>
    <row r="266" spans="2:8">
      <c r="B266" s="32">
        <v>41169</v>
      </c>
      <c r="C266" s="33">
        <v>26</v>
      </c>
      <c r="D266" s="33">
        <v>0</v>
      </c>
      <c r="E266" s="33">
        <v>0</v>
      </c>
      <c r="F266" s="33">
        <v>1</v>
      </c>
      <c r="G266" s="33">
        <v>0</v>
      </c>
      <c r="H266" s="21">
        <f t="shared" si="4"/>
        <v>2</v>
      </c>
    </row>
    <row r="267" spans="2:8">
      <c r="B267" s="32">
        <v>41170</v>
      </c>
      <c r="C267" s="33">
        <v>34</v>
      </c>
      <c r="D267" s="33">
        <v>0</v>
      </c>
      <c r="E267" s="33">
        <v>0</v>
      </c>
      <c r="F267" s="33">
        <v>1</v>
      </c>
      <c r="G267" s="33">
        <v>0</v>
      </c>
      <c r="H267" s="21">
        <f t="shared" si="4"/>
        <v>2</v>
      </c>
    </row>
    <row r="268" spans="2:8">
      <c r="B268" s="32">
        <v>41171</v>
      </c>
      <c r="C268" s="33">
        <v>24</v>
      </c>
      <c r="D268" s="33">
        <v>0</v>
      </c>
      <c r="E268" s="33">
        <v>0</v>
      </c>
      <c r="F268" s="33">
        <v>1</v>
      </c>
      <c r="G268" s="33">
        <v>0</v>
      </c>
      <c r="H268" s="21">
        <f t="shared" si="4"/>
        <v>2</v>
      </c>
    </row>
    <row r="269" spans="2:8">
      <c r="B269" s="32">
        <v>41172</v>
      </c>
      <c r="C269" s="33">
        <v>28</v>
      </c>
      <c r="D269" s="33">
        <v>0</v>
      </c>
      <c r="E269" s="33">
        <v>0</v>
      </c>
      <c r="F269" s="33">
        <v>1</v>
      </c>
      <c r="G269" s="33">
        <v>0</v>
      </c>
      <c r="H269" s="21">
        <f t="shared" si="4"/>
        <v>2</v>
      </c>
    </row>
    <row r="270" spans="2:8">
      <c r="B270" s="32">
        <v>41173</v>
      </c>
      <c r="C270" s="33">
        <v>36</v>
      </c>
      <c r="D270" s="33">
        <v>0</v>
      </c>
      <c r="E270" s="33">
        <v>0</v>
      </c>
      <c r="F270" s="33">
        <v>1</v>
      </c>
      <c r="G270" s="33">
        <v>0</v>
      </c>
      <c r="H270" s="21">
        <f t="shared" si="4"/>
        <v>2</v>
      </c>
    </row>
    <row r="271" spans="2:8">
      <c r="B271" s="32">
        <v>41174</v>
      </c>
      <c r="C271" s="33">
        <v>49</v>
      </c>
      <c r="D271" s="33">
        <v>0</v>
      </c>
      <c r="E271" s="33">
        <v>0</v>
      </c>
      <c r="F271" s="33">
        <v>2</v>
      </c>
      <c r="G271" s="33">
        <v>1</v>
      </c>
      <c r="H271" s="21">
        <f t="shared" si="4"/>
        <v>6</v>
      </c>
    </row>
    <row r="272" spans="2:8">
      <c r="B272" s="32">
        <v>41175</v>
      </c>
      <c r="C272" s="33">
        <v>51</v>
      </c>
      <c r="D272" s="33">
        <v>0</v>
      </c>
      <c r="E272" s="33">
        <v>0</v>
      </c>
      <c r="F272" s="33">
        <v>1</v>
      </c>
      <c r="G272" s="33">
        <v>1</v>
      </c>
      <c r="H272" s="21">
        <f t="shared" si="4"/>
        <v>4</v>
      </c>
    </row>
    <row r="273" spans="2:8">
      <c r="B273" s="32">
        <v>41176</v>
      </c>
      <c r="C273" s="33">
        <v>69</v>
      </c>
      <c r="D273" s="33">
        <v>0</v>
      </c>
      <c r="E273" s="33">
        <v>0</v>
      </c>
      <c r="F273" s="33">
        <v>1</v>
      </c>
      <c r="G273" s="33">
        <v>0</v>
      </c>
      <c r="H273" s="21">
        <f t="shared" si="4"/>
        <v>2</v>
      </c>
    </row>
    <row r="274" spans="2:8">
      <c r="B274" s="32">
        <v>41177</v>
      </c>
      <c r="C274" s="33">
        <v>32</v>
      </c>
      <c r="D274" s="33">
        <v>0</v>
      </c>
      <c r="E274" s="33">
        <v>0</v>
      </c>
      <c r="F274" s="33">
        <v>1</v>
      </c>
      <c r="G274" s="33">
        <v>1</v>
      </c>
      <c r="H274" s="21">
        <f t="shared" si="4"/>
        <v>4</v>
      </c>
    </row>
    <row r="275" spans="2:8">
      <c r="B275" s="32">
        <v>41178</v>
      </c>
      <c r="C275" s="33">
        <v>45</v>
      </c>
      <c r="D275" s="33">
        <v>0</v>
      </c>
      <c r="E275" s="33">
        <v>0</v>
      </c>
      <c r="F275" s="33">
        <v>0</v>
      </c>
      <c r="G275" s="33">
        <v>0</v>
      </c>
      <c r="H275" s="21">
        <f t="shared" si="4"/>
        <v>1</v>
      </c>
    </row>
    <row r="276" spans="2:8">
      <c r="B276" s="32">
        <v>41179</v>
      </c>
      <c r="C276" s="33">
        <v>40</v>
      </c>
      <c r="D276" s="33">
        <v>0</v>
      </c>
      <c r="E276" s="33">
        <v>0</v>
      </c>
      <c r="F276" s="33">
        <v>1</v>
      </c>
      <c r="G276" s="33">
        <v>0</v>
      </c>
      <c r="H276" s="21">
        <f t="shared" si="4"/>
        <v>2</v>
      </c>
    </row>
    <row r="277" spans="2:8">
      <c r="B277" s="32">
        <v>41180</v>
      </c>
      <c r="C277" s="33">
        <v>49</v>
      </c>
      <c r="D277" s="33">
        <v>0</v>
      </c>
      <c r="E277" s="33">
        <v>0</v>
      </c>
      <c r="F277" s="33">
        <v>1</v>
      </c>
      <c r="G277" s="33">
        <v>1</v>
      </c>
      <c r="H277" s="21">
        <f t="shared" si="4"/>
        <v>4</v>
      </c>
    </row>
    <row r="278" spans="2:8">
      <c r="B278" s="32">
        <v>41181</v>
      </c>
      <c r="C278" s="33">
        <v>53</v>
      </c>
      <c r="D278" s="33">
        <v>0</v>
      </c>
      <c r="E278" s="33">
        <v>0</v>
      </c>
      <c r="F278" s="33">
        <v>3</v>
      </c>
      <c r="G278" s="33">
        <v>2</v>
      </c>
      <c r="H278" s="21">
        <f t="shared" si="4"/>
        <v>12</v>
      </c>
    </row>
    <row r="279" spans="2:8">
      <c r="B279" s="32">
        <v>41182</v>
      </c>
      <c r="C279" s="33">
        <v>52</v>
      </c>
      <c r="D279" s="33">
        <v>0</v>
      </c>
      <c r="E279" s="33">
        <v>0</v>
      </c>
      <c r="F279" s="33">
        <v>2</v>
      </c>
      <c r="G279" s="33">
        <v>2</v>
      </c>
      <c r="H279" s="21">
        <f t="shared" si="4"/>
        <v>9</v>
      </c>
    </row>
    <row r="280" spans="2:8">
      <c r="B280" s="32">
        <v>41183</v>
      </c>
      <c r="C280" s="33">
        <v>56</v>
      </c>
      <c r="D280" s="33">
        <v>0</v>
      </c>
      <c r="E280" s="33">
        <v>0</v>
      </c>
      <c r="F280" s="33">
        <v>1</v>
      </c>
      <c r="G280" s="33">
        <v>1</v>
      </c>
      <c r="H280" s="21">
        <f t="shared" si="4"/>
        <v>4</v>
      </c>
    </row>
    <row r="281" spans="2:8">
      <c r="B281" s="32">
        <v>41184</v>
      </c>
      <c r="C281" s="33">
        <v>33</v>
      </c>
      <c r="D281" s="33">
        <v>0</v>
      </c>
      <c r="E281" s="33">
        <v>0</v>
      </c>
      <c r="F281" s="33">
        <v>1</v>
      </c>
      <c r="G281" s="33">
        <v>0</v>
      </c>
      <c r="H281" s="21">
        <f t="shared" si="4"/>
        <v>2</v>
      </c>
    </row>
    <row r="282" spans="2:8">
      <c r="B282" s="32">
        <v>41185</v>
      </c>
      <c r="C282" s="33">
        <v>22</v>
      </c>
      <c r="D282" s="33">
        <v>0</v>
      </c>
      <c r="E282" s="33">
        <v>0</v>
      </c>
      <c r="F282" s="33">
        <v>0</v>
      </c>
      <c r="G282" s="33">
        <v>0</v>
      </c>
      <c r="H282" s="21">
        <f t="shared" si="4"/>
        <v>1</v>
      </c>
    </row>
    <row r="283" spans="2:8">
      <c r="B283" s="32">
        <v>41186</v>
      </c>
      <c r="C283" s="33">
        <v>26</v>
      </c>
      <c r="D283" s="33">
        <v>0</v>
      </c>
      <c r="E283" s="33">
        <v>0</v>
      </c>
      <c r="F283" s="33">
        <v>0</v>
      </c>
      <c r="G283" s="33">
        <v>0</v>
      </c>
      <c r="H283" s="21">
        <f t="shared" si="4"/>
        <v>1</v>
      </c>
    </row>
    <row r="284" spans="2:8">
      <c r="B284" s="32">
        <v>41187</v>
      </c>
      <c r="C284" s="33">
        <v>37</v>
      </c>
      <c r="D284" s="33">
        <v>0</v>
      </c>
      <c r="E284" s="33">
        <v>0</v>
      </c>
      <c r="F284" s="33">
        <v>0</v>
      </c>
      <c r="G284" s="33">
        <v>0</v>
      </c>
      <c r="H284" s="21">
        <f t="shared" si="4"/>
        <v>1</v>
      </c>
    </row>
    <row r="285" spans="2:8">
      <c r="B285" s="32">
        <v>41188</v>
      </c>
      <c r="C285" s="33">
        <v>35</v>
      </c>
      <c r="D285" s="33">
        <v>0</v>
      </c>
      <c r="E285" s="33">
        <v>0</v>
      </c>
      <c r="F285" s="33">
        <v>2</v>
      </c>
      <c r="G285" s="33">
        <v>1</v>
      </c>
      <c r="H285" s="21">
        <f t="shared" si="4"/>
        <v>6</v>
      </c>
    </row>
    <row r="286" spans="2:8">
      <c r="B286" s="32">
        <v>41189</v>
      </c>
      <c r="C286" s="33">
        <v>39</v>
      </c>
      <c r="D286" s="33">
        <v>0</v>
      </c>
      <c r="E286" s="33">
        <v>0</v>
      </c>
      <c r="F286" s="33">
        <v>2</v>
      </c>
      <c r="G286" s="33">
        <v>2</v>
      </c>
      <c r="H286" s="21">
        <f t="shared" si="4"/>
        <v>9</v>
      </c>
    </row>
    <row r="287" spans="2:8">
      <c r="B287" s="32">
        <v>41190</v>
      </c>
      <c r="C287" s="33">
        <v>29</v>
      </c>
      <c r="D287" s="33">
        <v>0</v>
      </c>
      <c r="E287" s="33">
        <v>0</v>
      </c>
      <c r="F287" s="33">
        <v>1</v>
      </c>
      <c r="G287" s="33">
        <v>0</v>
      </c>
      <c r="H287" s="21">
        <f t="shared" si="4"/>
        <v>2</v>
      </c>
    </row>
    <row r="288" spans="2:8">
      <c r="B288" s="32">
        <v>41191</v>
      </c>
      <c r="C288" s="33">
        <v>25</v>
      </c>
      <c r="D288" s="33">
        <v>0</v>
      </c>
      <c r="E288" s="33">
        <v>0</v>
      </c>
      <c r="F288" s="33">
        <v>0</v>
      </c>
      <c r="G288" s="33">
        <v>0</v>
      </c>
      <c r="H288" s="21">
        <f t="shared" si="4"/>
        <v>1</v>
      </c>
    </row>
    <row r="289" spans="2:8">
      <c r="B289" s="32">
        <v>41192</v>
      </c>
      <c r="C289" s="33">
        <v>19</v>
      </c>
      <c r="D289" s="33">
        <v>0</v>
      </c>
      <c r="E289" s="33">
        <v>0</v>
      </c>
      <c r="F289" s="33">
        <v>0</v>
      </c>
      <c r="G289" s="33">
        <v>0</v>
      </c>
      <c r="H289" s="21">
        <f t="shared" si="4"/>
        <v>1</v>
      </c>
    </row>
    <row r="290" spans="2:8">
      <c r="B290" s="32">
        <v>41193</v>
      </c>
      <c r="C290" s="33">
        <v>16</v>
      </c>
      <c r="D290" s="33">
        <v>0</v>
      </c>
      <c r="E290" s="33">
        <v>0</v>
      </c>
      <c r="F290" s="33">
        <v>0</v>
      </c>
      <c r="G290" s="33">
        <v>0</v>
      </c>
      <c r="H290" s="21">
        <f t="shared" si="4"/>
        <v>1</v>
      </c>
    </row>
    <row r="291" spans="2:8">
      <c r="B291" s="32">
        <v>41194</v>
      </c>
      <c r="C291" s="33">
        <v>28</v>
      </c>
      <c r="D291" s="33">
        <v>0</v>
      </c>
      <c r="E291" s="33">
        <v>0</v>
      </c>
      <c r="F291" s="33">
        <v>0</v>
      </c>
      <c r="G291" s="33">
        <v>0</v>
      </c>
      <c r="H291" s="21">
        <f t="shared" si="4"/>
        <v>1</v>
      </c>
    </row>
    <row r="292" spans="2:8">
      <c r="B292" s="32">
        <v>41195</v>
      </c>
      <c r="C292" s="33">
        <v>40</v>
      </c>
      <c r="D292" s="33">
        <v>0</v>
      </c>
      <c r="E292" s="33">
        <v>0</v>
      </c>
      <c r="F292" s="33">
        <v>1</v>
      </c>
      <c r="G292" s="33">
        <v>1</v>
      </c>
      <c r="H292" s="21">
        <f t="shared" si="4"/>
        <v>4</v>
      </c>
    </row>
    <row r="293" spans="2:8">
      <c r="B293" s="32">
        <v>41196</v>
      </c>
      <c r="C293" s="33">
        <v>35</v>
      </c>
      <c r="D293" s="33">
        <v>0</v>
      </c>
      <c r="E293" s="33">
        <v>0</v>
      </c>
      <c r="F293" s="33">
        <v>1</v>
      </c>
      <c r="G293" s="33">
        <v>0</v>
      </c>
      <c r="H293" s="21">
        <f t="shared" si="4"/>
        <v>2</v>
      </c>
    </row>
    <row r="294" spans="2:8">
      <c r="B294" s="32">
        <v>41197</v>
      </c>
      <c r="C294" s="33">
        <v>22</v>
      </c>
      <c r="D294" s="33">
        <v>0</v>
      </c>
      <c r="E294" s="33">
        <v>0</v>
      </c>
      <c r="F294" s="33">
        <v>0</v>
      </c>
      <c r="G294" s="33">
        <v>0</v>
      </c>
      <c r="H294" s="21">
        <f t="shared" si="4"/>
        <v>1</v>
      </c>
    </row>
    <row r="295" spans="2:8">
      <c r="B295" s="32">
        <v>41198</v>
      </c>
      <c r="C295" s="33">
        <v>14</v>
      </c>
      <c r="D295" s="33">
        <v>0</v>
      </c>
      <c r="E295" s="33">
        <v>0</v>
      </c>
      <c r="F295" s="33">
        <v>0</v>
      </c>
      <c r="G295" s="33">
        <v>0</v>
      </c>
      <c r="H295" s="21">
        <f t="shared" si="4"/>
        <v>1</v>
      </c>
    </row>
    <row r="296" spans="2:8">
      <c r="B296" s="32">
        <v>41199</v>
      </c>
      <c r="C296" s="33">
        <v>21</v>
      </c>
      <c r="D296" s="33">
        <v>0</v>
      </c>
      <c r="E296" s="33">
        <v>0</v>
      </c>
      <c r="F296" s="33">
        <v>0</v>
      </c>
      <c r="G296" s="33">
        <v>0</v>
      </c>
      <c r="H296" s="21">
        <f t="shared" si="4"/>
        <v>1</v>
      </c>
    </row>
    <row r="297" spans="2:8">
      <c r="B297" s="32">
        <v>41200</v>
      </c>
      <c r="C297" s="33">
        <v>16</v>
      </c>
      <c r="D297" s="33">
        <v>0</v>
      </c>
      <c r="E297" s="33">
        <v>0</v>
      </c>
      <c r="F297" s="33">
        <v>0</v>
      </c>
      <c r="G297" s="33">
        <v>0</v>
      </c>
      <c r="H297" s="21">
        <f t="shared" si="4"/>
        <v>1</v>
      </c>
    </row>
    <row r="298" spans="2:8">
      <c r="B298" s="32">
        <v>41201</v>
      </c>
      <c r="C298" s="33">
        <v>35</v>
      </c>
      <c r="D298" s="33">
        <v>0</v>
      </c>
      <c r="E298" s="33">
        <v>0</v>
      </c>
      <c r="F298" s="33">
        <v>0</v>
      </c>
      <c r="G298" s="33">
        <v>0</v>
      </c>
      <c r="H298" s="21">
        <f t="shared" si="4"/>
        <v>1</v>
      </c>
    </row>
    <row r="299" spans="2:8">
      <c r="B299" s="32">
        <v>41202</v>
      </c>
      <c r="C299" s="33">
        <v>46</v>
      </c>
      <c r="D299" s="33">
        <v>0</v>
      </c>
      <c r="E299" s="33">
        <v>0</v>
      </c>
      <c r="F299" s="33">
        <v>1</v>
      </c>
      <c r="G299" s="33">
        <v>1</v>
      </c>
      <c r="H299" s="21">
        <f t="shared" si="4"/>
        <v>4</v>
      </c>
    </row>
    <row r="300" spans="2:8">
      <c r="B300" s="32">
        <v>41203</v>
      </c>
      <c r="C300" s="33">
        <v>29</v>
      </c>
      <c r="D300" s="33">
        <v>0</v>
      </c>
      <c r="E300" s="33">
        <v>0</v>
      </c>
      <c r="F300" s="33">
        <v>1</v>
      </c>
      <c r="G300" s="33">
        <v>0</v>
      </c>
      <c r="H300" s="21">
        <f t="shared" si="4"/>
        <v>2</v>
      </c>
    </row>
    <row r="301" spans="2:8">
      <c r="B301" s="32">
        <v>41204</v>
      </c>
      <c r="C301" s="33">
        <v>27</v>
      </c>
      <c r="D301" s="33">
        <v>0</v>
      </c>
      <c r="E301" s="33">
        <v>0</v>
      </c>
      <c r="F301" s="33">
        <v>0</v>
      </c>
      <c r="G301" s="33">
        <v>0</v>
      </c>
      <c r="H301" s="21">
        <f t="shared" si="4"/>
        <v>1</v>
      </c>
    </row>
    <row r="302" spans="2:8">
      <c r="B302" s="32">
        <v>41205</v>
      </c>
      <c r="C302" s="33">
        <v>20</v>
      </c>
      <c r="D302" s="33">
        <v>0</v>
      </c>
      <c r="E302" s="33">
        <v>0</v>
      </c>
      <c r="F302" s="33">
        <v>0</v>
      </c>
      <c r="G302" s="33">
        <v>0</v>
      </c>
      <c r="H302" s="21">
        <f t="shared" si="4"/>
        <v>1</v>
      </c>
    </row>
    <row r="303" spans="2:8">
      <c r="B303" s="32">
        <v>41206</v>
      </c>
      <c r="C303" s="33">
        <v>33</v>
      </c>
      <c r="D303" s="33">
        <v>0</v>
      </c>
      <c r="E303" s="33">
        <v>0</v>
      </c>
      <c r="F303" s="33">
        <v>0</v>
      </c>
      <c r="G303" s="33">
        <v>0</v>
      </c>
      <c r="H303" s="21">
        <f t="shared" si="4"/>
        <v>1</v>
      </c>
    </row>
    <row r="304" spans="2:8">
      <c r="B304" s="32">
        <v>41207</v>
      </c>
      <c r="C304" s="33">
        <v>31</v>
      </c>
      <c r="D304" s="33">
        <v>0</v>
      </c>
      <c r="E304" s="33">
        <v>0</v>
      </c>
      <c r="F304" s="33">
        <v>0</v>
      </c>
      <c r="G304" s="33">
        <v>0</v>
      </c>
      <c r="H304" s="21">
        <f t="shared" si="4"/>
        <v>1</v>
      </c>
    </row>
    <row r="305" spans="2:8">
      <c r="B305" s="32">
        <v>41208</v>
      </c>
      <c r="C305" s="33">
        <v>38</v>
      </c>
      <c r="D305" s="33">
        <v>0</v>
      </c>
      <c r="E305" s="33">
        <v>0</v>
      </c>
      <c r="F305" s="33">
        <v>1</v>
      </c>
      <c r="G305" s="33">
        <v>0</v>
      </c>
      <c r="H305" s="21">
        <f t="shared" si="4"/>
        <v>2</v>
      </c>
    </row>
    <row r="306" spans="2:8">
      <c r="B306" s="32">
        <v>41209</v>
      </c>
      <c r="C306" s="33">
        <v>58</v>
      </c>
      <c r="D306" s="33">
        <v>0</v>
      </c>
      <c r="E306" s="33">
        <v>0</v>
      </c>
      <c r="F306" s="33">
        <v>2</v>
      </c>
      <c r="G306" s="33">
        <v>1</v>
      </c>
      <c r="H306" s="21">
        <f t="shared" si="4"/>
        <v>6</v>
      </c>
    </row>
    <row r="307" spans="2:8">
      <c r="B307" s="32">
        <v>41210</v>
      </c>
      <c r="C307" s="33">
        <v>50</v>
      </c>
      <c r="D307" s="33">
        <v>0</v>
      </c>
      <c r="E307" s="33">
        <v>0</v>
      </c>
      <c r="F307" s="33">
        <v>1</v>
      </c>
      <c r="G307" s="33">
        <v>1</v>
      </c>
      <c r="H307" s="21">
        <f t="shared" si="4"/>
        <v>4</v>
      </c>
    </row>
    <row r="308" spans="2:8">
      <c r="B308" s="32">
        <v>41211</v>
      </c>
      <c r="C308" s="33">
        <v>50</v>
      </c>
      <c r="D308" s="33">
        <v>0</v>
      </c>
      <c r="E308" s="33">
        <v>0</v>
      </c>
      <c r="F308" s="33">
        <v>1</v>
      </c>
      <c r="G308" s="33">
        <v>1</v>
      </c>
      <c r="H308" s="21">
        <f t="shared" si="4"/>
        <v>4</v>
      </c>
    </row>
    <row r="309" spans="2:8">
      <c r="B309" s="32">
        <v>41212</v>
      </c>
      <c r="C309" s="33">
        <v>51</v>
      </c>
      <c r="D309" s="33">
        <v>0</v>
      </c>
      <c r="E309" s="33">
        <v>0</v>
      </c>
      <c r="F309" s="33">
        <v>0</v>
      </c>
      <c r="G309" s="33">
        <v>0</v>
      </c>
      <c r="H309" s="21">
        <f t="shared" si="4"/>
        <v>1</v>
      </c>
    </row>
    <row r="310" spans="2:8">
      <c r="B310" s="32">
        <v>41213</v>
      </c>
      <c r="C310" s="33">
        <v>49</v>
      </c>
      <c r="D310" s="33">
        <v>0</v>
      </c>
      <c r="E310" s="33">
        <v>0</v>
      </c>
      <c r="F310" s="33">
        <v>1</v>
      </c>
      <c r="G310" s="33">
        <v>1</v>
      </c>
      <c r="H310" s="21">
        <f t="shared" si="4"/>
        <v>4</v>
      </c>
    </row>
    <row r="311" spans="2:8">
      <c r="B311" s="32">
        <v>41214</v>
      </c>
      <c r="C311" s="33">
        <v>34</v>
      </c>
      <c r="D311" s="33">
        <v>0</v>
      </c>
      <c r="E311" s="33">
        <v>0</v>
      </c>
      <c r="F311" s="33">
        <v>0</v>
      </c>
      <c r="G311" s="33">
        <v>0</v>
      </c>
      <c r="H311" s="21">
        <f t="shared" si="4"/>
        <v>1</v>
      </c>
    </row>
    <row r="312" spans="2:8">
      <c r="B312" s="32">
        <v>41215</v>
      </c>
      <c r="C312" s="33">
        <v>27</v>
      </c>
      <c r="D312" s="33">
        <v>0</v>
      </c>
      <c r="E312" s="33">
        <v>0</v>
      </c>
      <c r="F312" s="33">
        <v>0</v>
      </c>
      <c r="G312" s="33">
        <v>0</v>
      </c>
      <c r="H312" s="21">
        <f t="shared" si="4"/>
        <v>1</v>
      </c>
    </row>
    <row r="313" spans="2:8">
      <c r="B313" s="32">
        <v>41216</v>
      </c>
      <c r="C313" s="33">
        <v>43</v>
      </c>
      <c r="D313" s="33">
        <v>0</v>
      </c>
      <c r="E313" s="33">
        <v>0</v>
      </c>
      <c r="F313" s="33">
        <v>2</v>
      </c>
      <c r="G313" s="33">
        <v>1</v>
      </c>
      <c r="H313" s="21">
        <f t="shared" si="4"/>
        <v>6</v>
      </c>
    </row>
    <row r="314" spans="2:8">
      <c r="B314" s="32">
        <v>41217</v>
      </c>
      <c r="C314" s="33">
        <v>35</v>
      </c>
      <c r="D314" s="33">
        <v>0</v>
      </c>
      <c r="E314" s="33">
        <v>0</v>
      </c>
      <c r="F314" s="33">
        <v>1</v>
      </c>
      <c r="G314" s="33">
        <v>1</v>
      </c>
      <c r="H314" s="21">
        <f t="shared" si="4"/>
        <v>4</v>
      </c>
    </row>
    <row r="315" spans="2:8">
      <c r="B315" s="32">
        <v>41218</v>
      </c>
      <c r="C315" s="33">
        <v>25</v>
      </c>
      <c r="D315" s="33">
        <v>0</v>
      </c>
      <c r="E315" s="33">
        <v>0</v>
      </c>
      <c r="F315" s="33">
        <v>0</v>
      </c>
      <c r="G315" s="33">
        <v>0</v>
      </c>
      <c r="H315" s="21">
        <f t="shared" si="4"/>
        <v>1</v>
      </c>
    </row>
    <row r="316" spans="2:8">
      <c r="B316" s="32">
        <v>41219</v>
      </c>
      <c r="C316" s="33">
        <v>26</v>
      </c>
      <c r="D316" s="33">
        <v>0</v>
      </c>
      <c r="E316" s="33">
        <v>0</v>
      </c>
      <c r="F316" s="33">
        <v>0</v>
      </c>
      <c r="G316" s="33">
        <v>0</v>
      </c>
      <c r="H316" s="21">
        <f t="shared" si="4"/>
        <v>1</v>
      </c>
    </row>
    <row r="317" spans="2:8">
      <c r="B317" s="32">
        <v>41220</v>
      </c>
      <c r="C317" s="33">
        <v>21</v>
      </c>
      <c r="D317" s="33">
        <v>0</v>
      </c>
      <c r="E317" s="33">
        <v>0</v>
      </c>
      <c r="F317" s="33">
        <v>0</v>
      </c>
      <c r="G317" s="33">
        <v>0</v>
      </c>
      <c r="H317" s="21">
        <f t="shared" si="4"/>
        <v>1</v>
      </c>
    </row>
    <row r="318" spans="2:8">
      <c r="B318" s="32">
        <v>41221</v>
      </c>
      <c r="C318" s="33">
        <v>14</v>
      </c>
      <c r="D318" s="33">
        <v>0</v>
      </c>
      <c r="E318" s="33">
        <v>0</v>
      </c>
      <c r="F318" s="33">
        <v>0</v>
      </c>
      <c r="G318" s="33">
        <v>0</v>
      </c>
      <c r="H318" s="21">
        <f t="shared" si="4"/>
        <v>1</v>
      </c>
    </row>
    <row r="319" spans="2:8">
      <c r="B319" s="32">
        <v>41222</v>
      </c>
      <c r="C319" s="33">
        <v>27</v>
      </c>
      <c r="D319" s="33">
        <v>0</v>
      </c>
      <c r="E319" s="33">
        <v>0</v>
      </c>
      <c r="F319" s="33">
        <v>0</v>
      </c>
      <c r="G319" s="33">
        <v>0</v>
      </c>
      <c r="H319" s="21">
        <f t="shared" si="4"/>
        <v>1</v>
      </c>
    </row>
    <row r="320" spans="2:8">
      <c r="B320" s="32">
        <v>41223</v>
      </c>
      <c r="C320" s="33">
        <v>37</v>
      </c>
      <c r="D320" s="33">
        <v>0</v>
      </c>
      <c r="E320" s="33">
        <v>0</v>
      </c>
      <c r="F320" s="33">
        <v>1</v>
      </c>
      <c r="G320" s="33">
        <v>1</v>
      </c>
      <c r="H320" s="21">
        <f t="shared" si="4"/>
        <v>4</v>
      </c>
    </row>
    <row r="321" spans="2:8">
      <c r="B321" s="32">
        <v>41224</v>
      </c>
      <c r="C321" s="33">
        <v>26</v>
      </c>
      <c r="D321" s="33">
        <v>0</v>
      </c>
      <c r="E321" s="33">
        <v>0</v>
      </c>
      <c r="F321" s="33">
        <v>0</v>
      </c>
      <c r="G321" s="33">
        <v>0</v>
      </c>
      <c r="H321" s="21">
        <f t="shared" si="4"/>
        <v>1</v>
      </c>
    </row>
    <row r="322" spans="2:8">
      <c r="B322" s="32">
        <v>41225</v>
      </c>
      <c r="C322" s="33">
        <v>21</v>
      </c>
      <c r="D322" s="33">
        <v>0</v>
      </c>
      <c r="E322" s="33">
        <v>0</v>
      </c>
      <c r="F322" s="33">
        <v>0</v>
      </c>
      <c r="G322" s="33">
        <v>0</v>
      </c>
      <c r="H322" s="21">
        <f t="shared" si="4"/>
        <v>1</v>
      </c>
    </row>
    <row r="323" spans="2:8">
      <c r="B323" s="32">
        <v>41226</v>
      </c>
      <c r="C323" s="33">
        <v>22</v>
      </c>
      <c r="D323" s="33">
        <v>0</v>
      </c>
      <c r="E323" s="33">
        <v>0</v>
      </c>
      <c r="F323" s="33">
        <v>0</v>
      </c>
      <c r="G323" s="33">
        <v>0</v>
      </c>
      <c r="H323" s="21">
        <f t="shared" si="4"/>
        <v>1</v>
      </c>
    </row>
    <row r="324" spans="2:8">
      <c r="B324" s="32">
        <v>41227</v>
      </c>
      <c r="C324" s="33">
        <v>12</v>
      </c>
      <c r="D324" s="33">
        <v>0</v>
      </c>
      <c r="E324" s="33">
        <v>0</v>
      </c>
      <c r="F324" s="33">
        <v>0</v>
      </c>
      <c r="G324" s="33">
        <v>0</v>
      </c>
      <c r="H324" s="21">
        <f t="shared" si="4"/>
        <v>1</v>
      </c>
    </row>
    <row r="325" spans="2:8">
      <c r="B325" s="32">
        <v>41228</v>
      </c>
      <c r="C325" s="33">
        <v>33</v>
      </c>
      <c r="D325" s="33">
        <v>0</v>
      </c>
      <c r="E325" s="33">
        <v>0</v>
      </c>
      <c r="F325" s="33">
        <v>0</v>
      </c>
      <c r="G325" s="33">
        <v>0</v>
      </c>
      <c r="H325" s="21">
        <f t="shared" si="4"/>
        <v>1</v>
      </c>
    </row>
    <row r="326" spans="2:8">
      <c r="B326" s="32">
        <v>41229</v>
      </c>
      <c r="C326" s="33">
        <v>26</v>
      </c>
      <c r="D326" s="33">
        <v>0</v>
      </c>
      <c r="E326" s="33">
        <v>0</v>
      </c>
      <c r="F326" s="33">
        <v>0</v>
      </c>
      <c r="G326" s="33">
        <v>0</v>
      </c>
      <c r="H326" s="21">
        <f t="shared" ref="H326:H371" si="5">(F326+1)*(G326+1)</f>
        <v>1</v>
      </c>
    </row>
    <row r="327" spans="2:8">
      <c r="B327" s="32">
        <v>41230</v>
      </c>
      <c r="C327" s="33">
        <v>38</v>
      </c>
      <c r="D327" s="33">
        <v>0</v>
      </c>
      <c r="E327" s="33">
        <v>0</v>
      </c>
      <c r="F327" s="33">
        <v>1</v>
      </c>
      <c r="G327" s="33">
        <v>1</v>
      </c>
      <c r="H327" s="21">
        <f t="shared" si="5"/>
        <v>4</v>
      </c>
    </row>
    <row r="328" spans="2:8">
      <c r="B328" s="32">
        <v>41231</v>
      </c>
      <c r="C328" s="33">
        <v>39</v>
      </c>
      <c r="D328" s="33">
        <v>0</v>
      </c>
      <c r="E328" s="33">
        <v>0</v>
      </c>
      <c r="F328" s="33">
        <v>1</v>
      </c>
      <c r="G328" s="33">
        <v>0</v>
      </c>
      <c r="H328" s="21">
        <f t="shared" si="5"/>
        <v>2</v>
      </c>
    </row>
    <row r="329" spans="2:8">
      <c r="B329" s="32">
        <v>41232</v>
      </c>
      <c r="C329" s="33">
        <v>25</v>
      </c>
      <c r="D329" s="33">
        <v>0</v>
      </c>
      <c r="E329" s="33">
        <v>0</v>
      </c>
      <c r="F329" s="33">
        <v>0</v>
      </c>
      <c r="G329" s="33">
        <v>0</v>
      </c>
      <c r="H329" s="21">
        <f t="shared" si="5"/>
        <v>1</v>
      </c>
    </row>
    <row r="330" spans="2:8">
      <c r="B330" s="32">
        <v>41233</v>
      </c>
      <c r="C330" s="33">
        <v>28</v>
      </c>
      <c r="D330" s="33">
        <v>0</v>
      </c>
      <c r="E330" s="33">
        <v>0</v>
      </c>
      <c r="F330" s="33">
        <v>0</v>
      </c>
      <c r="G330" s="33">
        <v>0</v>
      </c>
      <c r="H330" s="21">
        <f t="shared" si="5"/>
        <v>1</v>
      </c>
    </row>
    <row r="331" spans="2:8">
      <c r="B331" s="32">
        <v>41234</v>
      </c>
      <c r="C331" s="33">
        <v>38</v>
      </c>
      <c r="D331" s="33">
        <v>0</v>
      </c>
      <c r="E331" s="33">
        <v>0</v>
      </c>
      <c r="F331" s="33">
        <v>0</v>
      </c>
      <c r="G331" s="33">
        <v>0</v>
      </c>
      <c r="H331" s="21">
        <f t="shared" si="5"/>
        <v>1</v>
      </c>
    </row>
    <row r="332" spans="2:8">
      <c r="B332" s="32">
        <v>41235</v>
      </c>
      <c r="C332" s="33">
        <v>45</v>
      </c>
      <c r="D332" s="33">
        <v>0</v>
      </c>
      <c r="E332" s="33">
        <v>0</v>
      </c>
      <c r="F332" s="33">
        <v>0</v>
      </c>
      <c r="G332" s="33">
        <v>0</v>
      </c>
      <c r="H332" s="21">
        <f t="shared" si="5"/>
        <v>1</v>
      </c>
    </row>
    <row r="333" spans="2:8">
      <c r="B333" s="32">
        <v>41236</v>
      </c>
      <c r="C333" s="33">
        <v>49</v>
      </c>
      <c r="D333" s="33">
        <v>0</v>
      </c>
      <c r="E333" s="33">
        <v>0</v>
      </c>
      <c r="F333" s="33">
        <v>2</v>
      </c>
      <c r="G333" s="33">
        <v>1</v>
      </c>
      <c r="H333" s="21">
        <f t="shared" si="5"/>
        <v>6</v>
      </c>
    </row>
    <row r="334" spans="2:8">
      <c r="B334" s="32">
        <v>41237</v>
      </c>
      <c r="C334" s="33">
        <v>42</v>
      </c>
      <c r="D334" s="33">
        <v>0</v>
      </c>
      <c r="E334" s="33">
        <v>0</v>
      </c>
      <c r="F334" s="33">
        <v>2</v>
      </c>
      <c r="G334" s="33">
        <v>1</v>
      </c>
      <c r="H334" s="21">
        <f t="shared" si="5"/>
        <v>6</v>
      </c>
    </row>
    <row r="335" spans="2:8">
      <c r="B335" s="32">
        <v>41238</v>
      </c>
      <c r="C335" s="33">
        <v>46</v>
      </c>
      <c r="D335" s="33">
        <v>0</v>
      </c>
      <c r="E335" s="33">
        <v>0</v>
      </c>
      <c r="F335" s="33">
        <v>1</v>
      </c>
      <c r="G335" s="33">
        <v>1</v>
      </c>
      <c r="H335" s="21">
        <f t="shared" si="5"/>
        <v>4</v>
      </c>
    </row>
    <row r="336" spans="2:8">
      <c r="B336" s="32">
        <v>41239</v>
      </c>
      <c r="C336" s="33">
        <v>40</v>
      </c>
      <c r="D336" s="33">
        <v>0</v>
      </c>
      <c r="E336" s="33">
        <v>0</v>
      </c>
      <c r="F336" s="33">
        <v>0</v>
      </c>
      <c r="G336" s="33">
        <v>0</v>
      </c>
      <c r="H336" s="21">
        <f t="shared" si="5"/>
        <v>1</v>
      </c>
    </row>
    <row r="337" spans="2:8">
      <c r="B337" s="32">
        <v>41240</v>
      </c>
      <c r="C337" s="33">
        <v>32</v>
      </c>
      <c r="D337" s="33">
        <v>0</v>
      </c>
      <c r="E337" s="33">
        <v>0</v>
      </c>
      <c r="F337" s="33">
        <v>1</v>
      </c>
      <c r="G337" s="33">
        <v>0</v>
      </c>
      <c r="H337" s="21">
        <f t="shared" si="5"/>
        <v>2</v>
      </c>
    </row>
    <row r="338" spans="2:8">
      <c r="B338" s="32">
        <v>41241</v>
      </c>
      <c r="C338" s="33">
        <v>43</v>
      </c>
      <c r="D338" s="33">
        <v>0</v>
      </c>
      <c r="E338" s="33">
        <v>0</v>
      </c>
      <c r="F338" s="33">
        <v>0</v>
      </c>
      <c r="G338" s="33">
        <v>0</v>
      </c>
      <c r="H338" s="21">
        <f t="shared" si="5"/>
        <v>1</v>
      </c>
    </row>
    <row r="339" spans="2:8">
      <c r="B339" s="32">
        <v>41242</v>
      </c>
      <c r="C339" s="33">
        <v>44</v>
      </c>
      <c r="D339" s="33">
        <v>0</v>
      </c>
      <c r="E339" s="33">
        <v>0</v>
      </c>
      <c r="F339" s="33">
        <v>0</v>
      </c>
      <c r="G339" s="33">
        <v>0</v>
      </c>
      <c r="H339" s="21">
        <f t="shared" si="5"/>
        <v>1</v>
      </c>
    </row>
    <row r="340" spans="2:8">
      <c r="B340" s="32">
        <v>41243</v>
      </c>
      <c r="C340" s="33">
        <v>49</v>
      </c>
      <c r="D340" s="33">
        <v>0</v>
      </c>
      <c r="E340" s="33">
        <v>0</v>
      </c>
      <c r="F340" s="33">
        <v>1</v>
      </c>
      <c r="G340" s="33">
        <v>1</v>
      </c>
      <c r="H340" s="21">
        <f t="shared" si="5"/>
        <v>4</v>
      </c>
    </row>
    <row r="341" spans="2:8">
      <c r="B341" s="32">
        <v>41244</v>
      </c>
      <c r="C341" s="33">
        <v>45</v>
      </c>
      <c r="D341" s="33">
        <v>0</v>
      </c>
      <c r="E341" s="33">
        <v>0</v>
      </c>
      <c r="F341" s="33">
        <v>2</v>
      </c>
      <c r="G341" s="33">
        <v>1</v>
      </c>
      <c r="H341" s="21">
        <f t="shared" si="5"/>
        <v>6</v>
      </c>
    </row>
    <row r="342" spans="2:8">
      <c r="B342" s="32">
        <v>41245</v>
      </c>
      <c r="C342" s="33">
        <v>37</v>
      </c>
      <c r="D342" s="33">
        <v>0</v>
      </c>
      <c r="E342" s="33">
        <v>0</v>
      </c>
      <c r="F342" s="33">
        <v>1</v>
      </c>
      <c r="G342" s="33">
        <v>1</v>
      </c>
      <c r="H342" s="21">
        <f t="shared" si="5"/>
        <v>4</v>
      </c>
    </row>
    <row r="343" spans="2:8">
      <c r="B343" s="32">
        <v>41246</v>
      </c>
      <c r="C343" s="33">
        <v>40</v>
      </c>
      <c r="D343" s="33">
        <v>0</v>
      </c>
      <c r="E343" s="33">
        <v>0</v>
      </c>
      <c r="F343" s="33">
        <v>0</v>
      </c>
      <c r="G343" s="33">
        <v>0</v>
      </c>
      <c r="H343" s="21">
        <f t="shared" si="5"/>
        <v>1</v>
      </c>
    </row>
    <row r="344" spans="2:8">
      <c r="B344" s="32">
        <v>41247</v>
      </c>
      <c r="C344" s="33">
        <v>17</v>
      </c>
      <c r="D344" s="33">
        <v>0</v>
      </c>
      <c r="E344" s="33">
        <v>0</v>
      </c>
      <c r="F344" s="33">
        <v>0</v>
      </c>
      <c r="G344" s="33">
        <v>0</v>
      </c>
      <c r="H344" s="21">
        <f t="shared" si="5"/>
        <v>1</v>
      </c>
    </row>
    <row r="345" spans="2:8">
      <c r="B345" s="32">
        <v>41248</v>
      </c>
      <c r="C345" s="33">
        <v>26</v>
      </c>
      <c r="D345" s="33">
        <v>0</v>
      </c>
      <c r="E345" s="33">
        <v>0</v>
      </c>
      <c r="F345" s="33">
        <v>0</v>
      </c>
      <c r="G345" s="33">
        <v>0</v>
      </c>
      <c r="H345" s="21">
        <f t="shared" si="5"/>
        <v>1</v>
      </c>
    </row>
    <row r="346" spans="2:8">
      <c r="B346" s="32">
        <v>41249</v>
      </c>
      <c r="C346" s="33">
        <v>16</v>
      </c>
      <c r="D346" s="33">
        <v>0</v>
      </c>
      <c r="E346" s="33">
        <v>0</v>
      </c>
      <c r="F346" s="33">
        <v>0</v>
      </c>
      <c r="G346" s="33">
        <v>0</v>
      </c>
      <c r="H346" s="21">
        <f t="shared" si="5"/>
        <v>1</v>
      </c>
    </row>
    <row r="347" spans="2:8">
      <c r="B347" s="32">
        <v>41250</v>
      </c>
      <c r="C347" s="33">
        <v>19</v>
      </c>
      <c r="D347" s="33">
        <v>0</v>
      </c>
      <c r="E347" s="33">
        <v>0</v>
      </c>
      <c r="F347" s="33">
        <v>0</v>
      </c>
      <c r="G347" s="33">
        <v>0</v>
      </c>
      <c r="H347" s="21">
        <f t="shared" si="5"/>
        <v>1</v>
      </c>
    </row>
    <row r="348" spans="2:8">
      <c r="B348" s="32">
        <v>41251</v>
      </c>
      <c r="C348" s="33">
        <v>44</v>
      </c>
      <c r="D348" s="33">
        <v>0</v>
      </c>
      <c r="E348" s="33">
        <v>0</v>
      </c>
      <c r="F348" s="33">
        <v>1</v>
      </c>
      <c r="G348" s="33">
        <v>1</v>
      </c>
      <c r="H348" s="21">
        <f t="shared" si="5"/>
        <v>4</v>
      </c>
    </row>
    <row r="349" spans="2:8">
      <c r="B349" s="32">
        <v>41252</v>
      </c>
      <c r="C349" s="33">
        <v>35</v>
      </c>
      <c r="D349" s="33">
        <v>0</v>
      </c>
      <c r="E349" s="33">
        <v>0</v>
      </c>
      <c r="F349" s="33">
        <v>1</v>
      </c>
      <c r="G349" s="33">
        <v>0</v>
      </c>
      <c r="H349" s="21">
        <f t="shared" si="5"/>
        <v>2</v>
      </c>
    </row>
    <row r="350" spans="2:8">
      <c r="B350" s="32">
        <v>41253</v>
      </c>
      <c r="C350" s="33">
        <v>39</v>
      </c>
      <c r="D350" s="33">
        <v>0</v>
      </c>
      <c r="E350" s="33">
        <v>0</v>
      </c>
      <c r="F350" s="33">
        <v>0</v>
      </c>
      <c r="G350" s="33">
        <v>0</v>
      </c>
      <c r="H350" s="21">
        <f t="shared" si="5"/>
        <v>1</v>
      </c>
    </row>
    <row r="351" spans="2:8">
      <c r="B351" s="32">
        <v>41254</v>
      </c>
      <c r="C351" s="33">
        <v>22</v>
      </c>
      <c r="D351" s="33">
        <v>0</v>
      </c>
      <c r="E351" s="33">
        <v>0</v>
      </c>
      <c r="F351" s="33">
        <v>0</v>
      </c>
      <c r="G351" s="33">
        <v>0</v>
      </c>
      <c r="H351" s="21">
        <f t="shared" si="5"/>
        <v>1</v>
      </c>
    </row>
    <row r="352" spans="2:8">
      <c r="B352" s="32">
        <v>41255</v>
      </c>
      <c r="C352" s="33">
        <v>27</v>
      </c>
      <c r="D352" s="33">
        <v>0</v>
      </c>
      <c r="E352" s="33">
        <v>0</v>
      </c>
      <c r="F352" s="33">
        <v>0</v>
      </c>
      <c r="G352" s="33">
        <v>0</v>
      </c>
      <c r="H352" s="21">
        <f t="shared" si="5"/>
        <v>1</v>
      </c>
    </row>
    <row r="353" spans="2:8">
      <c r="B353" s="32">
        <v>41256</v>
      </c>
      <c r="C353" s="33">
        <v>34</v>
      </c>
      <c r="D353" s="33">
        <v>0</v>
      </c>
      <c r="E353" s="33">
        <v>0</v>
      </c>
      <c r="F353" s="33">
        <v>0</v>
      </c>
      <c r="G353" s="33">
        <v>0</v>
      </c>
      <c r="H353" s="21">
        <f t="shared" si="5"/>
        <v>1</v>
      </c>
    </row>
    <row r="354" spans="2:8">
      <c r="B354" s="32">
        <v>41257</v>
      </c>
      <c r="C354" s="33">
        <v>37</v>
      </c>
      <c r="D354" s="33">
        <v>0</v>
      </c>
      <c r="E354" s="33">
        <v>0</v>
      </c>
      <c r="F354" s="33">
        <v>0</v>
      </c>
      <c r="G354" s="33">
        <v>0</v>
      </c>
      <c r="H354" s="21">
        <f t="shared" si="5"/>
        <v>1</v>
      </c>
    </row>
    <row r="355" spans="2:8">
      <c r="B355" s="32">
        <v>41258</v>
      </c>
      <c r="C355" s="33">
        <v>50</v>
      </c>
      <c r="D355" s="33">
        <v>0</v>
      </c>
      <c r="E355" s="33">
        <v>0</v>
      </c>
      <c r="F355" s="33">
        <v>1</v>
      </c>
      <c r="G355" s="33">
        <v>1</v>
      </c>
      <c r="H355" s="21">
        <f t="shared" si="5"/>
        <v>4</v>
      </c>
    </row>
    <row r="356" spans="2:8">
      <c r="B356" s="32">
        <v>41259</v>
      </c>
      <c r="C356" s="33">
        <v>49</v>
      </c>
      <c r="D356" s="33">
        <v>0</v>
      </c>
      <c r="E356" s="33">
        <v>0</v>
      </c>
      <c r="F356" s="33">
        <v>1</v>
      </c>
      <c r="G356" s="33">
        <v>0</v>
      </c>
      <c r="H356" s="21">
        <f t="shared" si="5"/>
        <v>2</v>
      </c>
    </row>
    <row r="357" spans="2:8">
      <c r="B357" s="32">
        <v>41260</v>
      </c>
      <c r="C357" s="33">
        <v>43</v>
      </c>
      <c r="D357" s="33">
        <v>0</v>
      </c>
      <c r="E357" s="33">
        <v>0</v>
      </c>
      <c r="F357" s="33">
        <v>0</v>
      </c>
      <c r="G357" s="33">
        <v>0</v>
      </c>
      <c r="H357" s="21">
        <f t="shared" si="5"/>
        <v>1</v>
      </c>
    </row>
    <row r="358" spans="2:8">
      <c r="B358" s="32">
        <v>41261</v>
      </c>
      <c r="C358" s="33">
        <v>41</v>
      </c>
      <c r="D358" s="33">
        <v>0</v>
      </c>
      <c r="E358" s="33">
        <v>0</v>
      </c>
      <c r="F358" s="33">
        <v>0</v>
      </c>
      <c r="G358" s="33">
        <v>0</v>
      </c>
      <c r="H358" s="21">
        <f t="shared" si="5"/>
        <v>1</v>
      </c>
    </row>
    <row r="359" spans="2:8">
      <c r="B359" s="32">
        <v>41262</v>
      </c>
      <c r="C359" s="33">
        <v>39</v>
      </c>
      <c r="D359" s="33">
        <v>0</v>
      </c>
      <c r="E359" s="33">
        <v>0</v>
      </c>
      <c r="F359" s="33">
        <v>0</v>
      </c>
      <c r="G359" s="33">
        <v>0</v>
      </c>
      <c r="H359" s="21">
        <f t="shared" si="5"/>
        <v>1</v>
      </c>
    </row>
    <row r="360" spans="2:8">
      <c r="B360" s="32">
        <v>41263</v>
      </c>
      <c r="C360" s="33">
        <v>50</v>
      </c>
      <c r="D360" s="33">
        <v>0</v>
      </c>
      <c r="E360" s="33">
        <v>0</v>
      </c>
      <c r="F360" s="33">
        <v>0</v>
      </c>
      <c r="G360" s="33">
        <v>0</v>
      </c>
      <c r="H360" s="21">
        <f t="shared" si="5"/>
        <v>1</v>
      </c>
    </row>
    <row r="361" spans="2:8">
      <c r="B361" s="32">
        <v>41264</v>
      </c>
      <c r="C361" s="33">
        <v>45</v>
      </c>
      <c r="D361" s="33">
        <v>0</v>
      </c>
      <c r="E361" s="33">
        <v>0</v>
      </c>
      <c r="F361" s="33">
        <v>0</v>
      </c>
      <c r="G361" s="33">
        <v>0</v>
      </c>
      <c r="H361" s="21">
        <f t="shared" si="5"/>
        <v>1</v>
      </c>
    </row>
    <row r="362" spans="2:8">
      <c r="B362" s="32">
        <v>41265</v>
      </c>
      <c r="C362" s="33">
        <v>49</v>
      </c>
      <c r="D362" s="33">
        <v>0</v>
      </c>
      <c r="E362" s="33">
        <v>0</v>
      </c>
      <c r="F362" s="33">
        <v>2</v>
      </c>
      <c r="G362" s="33">
        <v>1</v>
      </c>
      <c r="H362" s="21">
        <f t="shared" si="5"/>
        <v>6</v>
      </c>
    </row>
    <row r="363" spans="2:8">
      <c r="B363" s="32">
        <v>41266</v>
      </c>
      <c r="C363" s="33">
        <v>46</v>
      </c>
      <c r="D363" s="33">
        <v>0</v>
      </c>
      <c r="E363" s="33">
        <v>0</v>
      </c>
      <c r="F363" s="33">
        <v>2</v>
      </c>
      <c r="G363" s="33">
        <v>3</v>
      </c>
      <c r="H363" s="21">
        <f t="shared" si="5"/>
        <v>12</v>
      </c>
    </row>
    <row r="364" spans="2:8">
      <c r="B364" s="32">
        <v>41267</v>
      </c>
      <c r="C364" s="33">
        <v>44</v>
      </c>
      <c r="D364" s="33">
        <v>0</v>
      </c>
      <c r="E364" s="33">
        <v>0</v>
      </c>
      <c r="F364" s="33">
        <v>1</v>
      </c>
      <c r="G364" s="33">
        <v>0</v>
      </c>
      <c r="H364" s="21">
        <f t="shared" si="5"/>
        <v>2</v>
      </c>
    </row>
    <row r="365" spans="2:8">
      <c r="B365" s="32">
        <v>41268</v>
      </c>
      <c r="C365" s="33">
        <v>43</v>
      </c>
      <c r="D365" s="33">
        <v>0</v>
      </c>
      <c r="E365" s="33">
        <v>0</v>
      </c>
      <c r="F365" s="33">
        <v>1</v>
      </c>
      <c r="G365" s="33">
        <v>1</v>
      </c>
      <c r="H365" s="21">
        <f t="shared" si="5"/>
        <v>4</v>
      </c>
    </row>
    <row r="366" spans="2:8">
      <c r="B366" s="32">
        <v>41269</v>
      </c>
      <c r="C366" s="33">
        <v>55</v>
      </c>
      <c r="D366" s="33">
        <v>0</v>
      </c>
      <c r="E366" s="33">
        <v>0</v>
      </c>
      <c r="F366" s="33">
        <v>0</v>
      </c>
      <c r="G366" s="33">
        <v>0</v>
      </c>
      <c r="H366" s="21">
        <f t="shared" si="5"/>
        <v>1</v>
      </c>
    </row>
    <row r="367" spans="2:8">
      <c r="B367" s="32">
        <v>41270</v>
      </c>
      <c r="C367" s="33">
        <v>48</v>
      </c>
      <c r="D367" s="33">
        <v>0</v>
      </c>
      <c r="E367" s="33">
        <v>0</v>
      </c>
      <c r="F367" s="33">
        <v>1</v>
      </c>
      <c r="G367" s="33">
        <v>0</v>
      </c>
      <c r="H367" s="21">
        <f t="shared" si="5"/>
        <v>2</v>
      </c>
    </row>
    <row r="368" spans="2:8">
      <c r="B368" s="32">
        <v>41271</v>
      </c>
      <c r="C368" s="33">
        <v>41</v>
      </c>
      <c r="D368" s="33">
        <v>0</v>
      </c>
      <c r="E368" s="33">
        <v>0</v>
      </c>
      <c r="F368" s="33">
        <v>1</v>
      </c>
      <c r="G368" s="33">
        <v>1</v>
      </c>
      <c r="H368" s="21">
        <f t="shared" si="5"/>
        <v>4</v>
      </c>
    </row>
    <row r="369" spans="2:8">
      <c r="B369" s="32">
        <v>41272</v>
      </c>
      <c r="C369" s="33">
        <v>33</v>
      </c>
      <c r="D369" s="33">
        <v>0</v>
      </c>
      <c r="E369" s="33">
        <v>0</v>
      </c>
      <c r="F369" s="33">
        <v>2</v>
      </c>
      <c r="G369" s="33">
        <v>2</v>
      </c>
      <c r="H369" s="21">
        <f t="shared" si="5"/>
        <v>9</v>
      </c>
    </row>
    <row r="370" spans="2:8">
      <c r="B370" s="32">
        <v>41273</v>
      </c>
      <c r="C370" s="33">
        <v>23</v>
      </c>
      <c r="D370" s="33">
        <v>0</v>
      </c>
      <c r="E370" s="33">
        <v>0</v>
      </c>
      <c r="F370" s="33">
        <v>1</v>
      </c>
      <c r="G370" s="33">
        <v>2</v>
      </c>
      <c r="H370" s="21">
        <f t="shared" si="5"/>
        <v>6</v>
      </c>
    </row>
    <row r="371" spans="2:8" ht="21" thickBot="1">
      <c r="B371" s="34">
        <v>41274</v>
      </c>
      <c r="C371" s="35">
        <v>0</v>
      </c>
      <c r="D371" s="35">
        <v>0</v>
      </c>
      <c r="E371" s="35">
        <v>1</v>
      </c>
      <c r="F371" s="35">
        <v>-1</v>
      </c>
      <c r="G371" s="35">
        <v>-1</v>
      </c>
      <c r="H371" s="23">
        <f t="shared" si="5"/>
        <v>0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837E-E40C-3A42-AC19-141615F712D5}">
  <dimension ref="A1:K94"/>
  <sheetViews>
    <sheetView workbookViewId="0"/>
  </sheetViews>
  <sheetFormatPr baseColWidth="10" defaultRowHeight="20"/>
  <cols>
    <col min="10" max="11" width="13" bestFit="1" customWidth="1"/>
  </cols>
  <sheetData>
    <row r="1" spans="1:11" ht="21" thickBot="1"/>
    <row r="2" spans="1:11" ht="21" thickBot="1">
      <c r="K2" s="49" t="s">
        <v>41</v>
      </c>
    </row>
    <row r="3" spans="1:11" ht="21" thickBot="1">
      <c r="A3" s="24" t="s">
        <v>36</v>
      </c>
    </row>
    <row r="4" spans="1:11" ht="21" thickBot="1">
      <c r="B4" s="29" t="s">
        <v>0</v>
      </c>
      <c r="C4" s="36" t="s">
        <v>7</v>
      </c>
      <c r="D4" s="30" t="s">
        <v>2</v>
      </c>
      <c r="E4" s="30" t="s">
        <v>3</v>
      </c>
      <c r="F4" s="30" t="s">
        <v>4</v>
      </c>
      <c r="G4" s="30" t="s">
        <v>5</v>
      </c>
      <c r="H4" s="31" t="s">
        <v>35</v>
      </c>
      <c r="I4" s="49" t="s">
        <v>8</v>
      </c>
    </row>
    <row r="5" spans="1:11">
      <c r="B5" s="37">
        <v>41275</v>
      </c>
      <c r="C5" s="38">
        <v>0</v>
      </c>
      <c r="D5" s="39">
        <v>0</v>
      </c>
      <c r="E5" s="39">
        <v>1</v>
      </c>
      <c r="F5" s="39">
        <v>-1</v>
      </c>
      <c r="G5" s="39">
        <v>-1</v>
      </c>
      <c r="H5" s="40">
        <v>0</v>
      </c>
    </row>
    <row r="6" spans="1:11">
      <c r="B6" s="41">
        <v>41276</v>
      </c>
      <c r="C6" s="42">
        <v>0</v>
      </c>
      <c r="D6" s="43">
        <v>0</v>
      </c>
      <c r="E6" s="43">
        <v>1</v>
      </c>
      <c r="F6" s="43">
        <v>-1</v>
      </c>
      <c r="G6" s="43">
        <v>-1</v>
      </c>
      <c r="H6" s="44">
        <v>0</v>
      </c>
    </row>
    <row r="7" spans="1:11">
      <c r="B7" s="41">
        <v>41277</v>
      </c>
      <c r="C7" s="42">
        <v>0</v>
      </c>
      <c r="D7" s="43">
        <v>0</v>
      </c>
      <c r="E7" s="43">
        <v>1</v>
      </c>
      <c r="F7" s="43">
        <v>-1</v>
      </c>
      <c r="G7" s="43">
        <v>-1</v>
      </c>
      <c r="H7" s="44">
        <v>0</v>
      </c>
    </row>
    <row r="8" spans="1:11">
      <c r="B8" s="41">
        <v>41278</v>
      </c>
      <c r="C8" s="42">
        <v>38</v>
      </c>
      <c r="D8" s="43">
        <v>0</v>
      </c>
      <c r="E8" s="43">
        <v>0</v>
      </c>
      <c r="F8" s="43">
        <v>0</v>
      </c>
      <c r="G8" s="43">
        <v>0</v>
      </c>
      <c r="H8" s="44">
        <v>1</v>
      </c>
    </row>
    <row r="9" spans="1:11">
      <c r="B9" s="41">
        <v>41279</v>
      </c>
      <c r="C9" s="42">
        <v>26</v>
      </c>
      <c r="D9" s="43">
        <v>0</v>
      </c>
      <c r="E9" s="43">
        <v>0</v>
      </c>
      <c r="F9" s="43">
        <v>0</v>
      </c>
      <c r="G9" s="43">
        <v>0</v>
      </c>
      <c r="H9" s="44">
        <v>1</v>
      </c>
    </row>
    <row r="10" spans="1:11">
      <c r="B10" s="41">
        <v>41280</v>
      </c>
      <c r="C10" s="42">
        <v>24</v>
      </c>
      <c r="D10" s="43">
        <v>0</v>
      </c>
      <c r="E10" s="43">
        <v>0</v>
      </c>
      <c r="F10" s="43">
        <v>0</v>
      </c>
      <c r="G10" s="43">
        <v>0</v>
      </c>
      <c r="H10" s="44">
        <v>1</v>
      </c>
    </row>
    <row r="11" spans="1:11">
      <c r="B11" s="41">
        <v>41281</v>
      </c>
      <c r="C11" s="42">
        <v>22</v>
      </c>
      <c r="D11" s="43">
        <v>0</v>
      </c>
      <c r="E11" s="43">
        <v>0</v>
      </c>
      <c r="F11" s="43">
        <v>0</v>
      </c>
      <c r="G11" s="43">
        <v>0</v>
      </c>
      <c r="H11" s="44">
        <v>1</v>
      </c>
    </row>
    <row r="12" spans="1:11">
      <c r="B12" s="41">
        <v>41282</v>
      </c>
      <c r="C12" s="42">
        <v>12</v>
      </c>
      <c r="D12" s="43">
        <v>0</v>
      </c>
      <c r="E12" s="43">
        <v>0</v>
      </c>
      <c r="F12" s="43">
        <v>0</v>
      </c>
      <c r="G12" s="43">
        <v>0</v>
      </c>
      <c r="H12" s="44">
        <v>1</v>
      </c>
    </row>
    <row r="13" spans="1:11">
      <c r="B13" s="41">
        <v>41283</v>
      </c>
      <c r="C13" s="42">
        <v>18</v>
      </c>
      <c r="D13" s="43">
        <v>0</v>
      </c>
      <c r="E13" s="43">
        <v>0</v>
      </c>
      <c r="F13" s="43">
        <v>0</v>
      </c>
      <c r="G13" s="43">
        <v>0</v>
      </c>
      <c r="H13" s="44">
        <v>1</v>
      </c>
    </row>
    <row r="14" spans="1:11">
      <c r="B14" s="41">
        <v>41284</v>
      </c>
      <c r="C14" s="42">
        <v>19</v>
      </c>
      <c r="D14" s="43">
        <v>0</v>
      </c>
      <c r="E14" s="43">
        <v>0</v>
      </c>
      <c r="F14" s="43">
        <v>0</v>
      </c>
      <c r="G14" s="43">
        <v>0</v>
      </c>
      <c r="H14" s="44">
        <v>1</v>
      </c>
    </row>
    <row r="15" spans="1:11">
      <c r="B15" s="41">
        <v>41285</v>
      </c>
      <c r="C15" s="42">
        <v>27</v>
      </c>
      <c r="D15" s="43">
        <v>0</v>
      </c>
      <c r="E15" s="43">
        <v>0</v>
      </c>
      <c r="F15" s="43">
        <v>0</v>
      </c>
      <c r="G15" s="43">
        <v>0</v>
      </c>
      <c r="H15" s="44">
        <v>1</v>
      </c>
    </row>
    <row r="16" spans="1:11">
      <c r="B16" s="41">
        <v>41286</v>
      </c>
      <c r="C16" s="42">
        <v>39</v>
      </c>
      <c r="D16" s="43">
        <v>0</v>
      </c>
      <c r="E16" s="43">
        <v>0</v>
      </c>
      <c r="F16" s="43">
        <v>1</v>
      </c>
      <c r="G16" s="43">
        <v>0</v>
      </c>
      <c r="H16" s="44">
        <v>2</v>
      </c>
    </row>
    <row r="17" spans="2:8">
      <c r="B17" s="41">
        <v>41287</v>
      </c>
      <c r="C17" s="42">
        <v>50</v>
      </c>
      <c r="D17" s="43">
        <v>0</v>
      </c>
      <c r="E17" s="43">
        <v>0</v>
      </c>
      <c r="F17" s="43">
        <v>0</v>
      </c>
      <c r="G17" s="43">
        <v>0</v>
      </c>
      <c r="H17" s="44">
        <v>1</v>
      </c>
    </row>
    <row r="18" spans="2:8">
      <c r="B18" s="41">
        <v>41288</v>
      </c>
      <c r="C18" s="42">
        <v>16</v>
      </c>
      <c r="D18" s="43">
        <v>0</v>
      </c>
      <c r="E18" s="43">
        <v>0</v>
      </c>
      <c r="F18" s="43">
        <v>0</v>
      </c>
      <c r="G18" s="43">
        <v>0</v>
      </c>
      <c r="H18" s="44">
        <v>1</v>
      </c>
    </row>
    <row r="19" spans="2:8">
      <c r="B19" s="41">
        <v>41289</v>
      </c>
      <c r="C19" s="42">
        <v>31</v>
      </c>
      <c r="D19" s="43">
        <v>0</v>
      </c>
      <c r="E19" s="43">
        <v>0</v>
      </c>
      <c r="F19" s="43">
        <v>0</v>
      </c>
      <c r="G19" s="43">
        <v>0</v>
      </c>
      <c r="H19" s="44">
        <v>1</v>
      </c>
    </row>
    <row r="20" spans="2:8">
      <c r="B20" s="41">
        <v>41290</v>
      </c>
      <c r="C20" s="42">
        <v>33</v>
      </c>
      <c r="D20" s="43">
        <v>0</v>
      </c>
      <c r="E20" s="43">
        <v>0</v>
      </c>
      <c r="F20" s="43">
        <v>0</v>
      </c>
      <c r="G20" s="43">
        <v>0</v>
      </c>
      <c r="H20" s="44">
        <v>1</v>
      </c>
    </row>
    <row r="21" spans="2:8">
      <c r="B21" s="41">
        <v>41291</v>
      </c>
      <c r="C21" s="42">
        <v>27</v>
      </c>
      <c r="D21" s="43">
        <v>0</v>
      </c>
      <c r="E21" s="43">
        <v>0</v>
      </c>
      <c r="F21" s="43">
        <v>0</v>
      </c>
      <c r="G21" s="43">
        <v>0</v>
      </c>
      <c r="H21" s="44">
        <v>1</v>
      </c>
    </row>
    <row r="22" spans="2:8">
      <c r="B22" s="41">
        <v>41292</v>
      </c>
      <c r="C22" s="42">
        <v>26</v>
      </c>
      <c r="D22" s="43">
        <v>0</v>
      </c>
      <c r="E22" s="43">
        <v>0</v>
      </c>
      <c r="F22" s="43">
        <v>0</v>
      </c>
      <c r="G22" s="43">
        <v>0</v>
      </c>
      <c r="H22" s="44">
        <v>1</v>
      </c>
    </row>
    <row r="23" spans="2:8">
      <c r="B23" s="41">
        <v>41293</v>
      </c>
      <c r="C23" s="42">
        <v>56</v>
      </c>
      <c r="D23" s="43">
        <v>0</v>
      </c>
      <c r="E23" s="43">
        <v>0</v>
      </c>
      <c r="F23" s="43">
        <v>1</v>
      </c>
      <c r="G23" s="43">
        <v>1</v>
      </c>
      <c r="H23" s="44">
        <v>4</v>
      </c>
    </row>
    <row r="24" spans="2:8">
      <c r="B24" s="41">
        <v>41294</v>
      </c>
      <c r="C24" s="42">
        <v>43</v>
      </c>
      <c r="D24" s="43">
        <v>0</v>
      </c>
      <c r="E24" s="43">
        <v>0</v>
      </c>
      <c r="F24" s="43">
        <v>1</v>
      </c>
      <c r="G24" s="43">
        <v>0</v>
      </c>
      <c r="H24" s="44">
        <v>2</v>
      </c>
    </row>
    <row r="25" spans="2:8">
      <c r="B25" s="41">
        <v>41295</v>
      </c>
      <c r="C25" s="42">
        <v>38</v>
      </c>
      <c r="D25" s="43">
        <v>0</v>
      </c>
      <c r="E25" s="43">
        <v>0</v>
      </c>
      <c r="F25" s="43">
        <v>0</v>
      </c>
      <c r="G25" s="43">
        <v>0</v>
      </c>
      <c r="H25" s="44">
        <v>1</v>
      </c>
    </row>
    <row r="26" spans="2:8">
      <c r="B26" s="41">
        <v>41296</v>
      </c>
      <c r="C26" s="42">
        <v>21</v>
      </c>
      <c r="D26" s="43">
        <v>0</v>
      </c>
      <c r="E26" s="43">
        <v>0</v>
      </c>
      <c r="F26" s="43">
        <v>0</v>
      </c>
      <c r="G26" s="43">
        <v>0</v>
      </c>
      <c r="H26" s="44">
        <v>1</v>
      </c>
    </row>
    <row r="27" spans="2:8">
      <c r="B27" s="41">
        <v>41297</v>
      </c>
      <c r="C27" s="42">
        <v>37</v>
      </c>
      <c r="D27" s="43">
        <v>0</v>
      </c>
      <c r="E27" s="43">
        <v>0</v>
      </c>
      <c r="F27" s="43">
        <v>0</v>
      </c>
      <c r="G27" s="43">
        <v>0</v>
      </c>
      <c r="H27" s="44">
        <v>1</v>
      </c>
    </row>
    <row r="28" spans="2:8">
      <c r="B28" s="41">
        <v>41298</v>
      </c>
      <c r="C28" s="42">
        <v>29</v>
      </c>
      <c r="D28" s="43">
        <v>0</v>
      </c>
      <c r="E28" s="43">
        <v>0</v>
      </c>
      <c r="F28" s="43">
        <v>0</v>
      </c>
      <c r="G28" s="43">
        <v>0</v>
      </c>
      <c r="H28" s="44">
        <v>1</v>
      </c>
    </row>
    <row r="29" spans="2:8">
      <c r="B29" s="41">
        <v>41299</v>
      </c>
      <c r="C29" s="42">
        <v>43</v>
      </c>
      <c r="D29" s="43">
        <v>0</v>
      </c>
      <c r="E29" s="43">
        <v>0</v>
      </c>
      <c r="F29" s="43">
        <v>1</v>
      </c>
      <c r="G29" s="43">
        <v>0</v>
      </c>
      <c r="H29" s="44">
        <v>2</v>
      </c>
    </row>
    <row r="30" spans="2:8">
      <c r="B30" s="41">
        <v>41300</v>
      </c>
      <c r="C30" s="42">
        <v>56</v>
      </c>
      <c r="D30" s="43">
        <v>0</v>
      </c>
      <c r="E30" s="43">
        <v>0</v>
      </c>
      <c r="F30" s="43">
        <v>2</v>
      </c>
      <c r="G30" s="43">
        <v>1</v>
      </c>
      <c r="H30" s="44">
        <v>6</v>
      </c>
    </row>
    <row r="31" spans="2:8">
      <c r="B31" s="41">
        <v>41301</v>
      </c>
      <c r="C31" s="42">
        <v>50</v>
      </c>
      <c r="D31" s="43">
        <v>0</v>
      </c>
      <c r="E31" s="43">
        <v>0</v>
      </c>
      <c r="F31" s="43">
        <v>1</v>
      </c>
      <c r="G31" s="43">
        <v>1</v>
      </c>
      <c r="H31" s="44">
        <v>4</v>
      </c>
    </row>
    <row r="32" spans="2:8">
      <c r="B32" s="41">
        <v>41302</v>
      </c>
      <c r="C32" s="42">
        <v>42</v>
      </c>
      <c r="D32" s="43">
        <v>0</v>
      </c>
      <c r="E32" s="43">
        <v>0</v>
      </c>
      <c r="F32" s="43">
        <v>1</v>
      </c>
      <c r="G32" s="43">
        <v>0</v>
      </c>
      <c r="H32" s="44">
        <v>2</v>
      </c>
    </row>
    <row r="33" spans="2:8">
      <c r="B33" s="41">
        <v>41303</v>
      </c>
      <c r="C33" s="42">
        <v>42</v>
      </c>
      <c r="D33" s="43">
        <v>0</v>
      </c>
      <c r="E33" s="43">
        <v>0</v>
      </c>
      <c r="F33" s="43">
        <v>1</v>
      </c>
      <c r="G33" s="43">
        <v>0</v>
      </c>
      <c r="H33" s="44">
        <v>2</v>
      </c>
    </row>
    <row r="34" spans="2:8">
      <c r="B34" s="41">
        <v>41304</v>
      </c>
      <c r="C34" s="42">
        <v>45</v>
      </c>
      <c r="D34" s="43">
        <v>0</v>
      </c>
      <c r="E34" s="43">
        <v>0</v>
      </c>
      <c r="F34" s="43">
        <v>1</v>
      </c>
      <c r="G34" s="43">
        <v>0</v>
      </c>
      <c r="H34" s="44">
        <v>2</v>
      </c>
    </row>
    <row r="35" spans="2:8">
      <c r="B35" s="41">
        <v>41305</v>
      </c>
      <c r="C35" s="42">
        <v>39</v>
      </c>
      <c r="D35" s="43">
        <v>0</v>
      </c>
      <c r="E35" s="43">
        <v>0</v>
      </c>
      <c r="F35" s="43">
        <v>2</v>
      </c>
      <c r="G35" s="43">
        <v>1</v>
      </c>
      <c r="H35" s="44">
        <v>6</v>
      </c>
    </row>
    <row r="36" spans="2:8">
      <c r="B36" s="41">
        <v>41306</v>
      </c>
      <c r="C36" s="42">
        <v>48</v>
      </c>
      <c r="D36" s="43">
        <v>0</v>
      </c>
      <c r="E36" s="43">
        <v>0</v>
      </c>
      <c r="F36" s="43">
        <v>1</v>
      </c>
      <c r="G36" s="43">
        <v>1</v>
      </c>
      <c r="H36" s="44">
        <v>4</v>
      </c>
    </row>
    <row r="37" spans="2:8">
      <c r="B37" s="41">
        <v>41307</v>
      </c>
      <c r="C37" s="42">
        <v>48</v>
      </c>
      <c r="D37" s="43">
        <v>0</v>
      </c>
      <c r="E37" s="43">
        <v>0</v>
      </c>
      <c r="F37" s="43">
        <v>2</v>
      </c>
      <c r="G37" s="43">
        <v>1</v>
      </c>
      <c r="H37" s="44">
        <v>6</v>
      </c>
    </row>
    <row r="38" spans="2:8">
      <c r="B38" s="41">
        <v>41308</v>
      </c>
      <c r="C38" s="42">
        <v>41</v>
      </c>
      <c r="D38" s="43">
        <v>0</v>
      </c>
      <c r="E38" s="43">
        <v>0</v>
      </c>
      <c r="F38" s="43">
        <v>1</v>
      </c>
      <c r="G38" s="43">
        <v>1</v>
      </c>
      <c r="H38" s="44">
        <v>4</v>
      </c>
    </row>
    <row r="39" spans="2:8">
      <c r="B39" s="41">
        <v>41309</v>
      </c>
      <c r="C39" s="42">
        <v>30</v>
      </c>
      <c r="D39" s="43">
        <v>0</v>
      </c>
      <c r="E39" s="43">
        <v>0</v>
      </c>
      <c r="F39" s="43">
        <v>1</v>
      </c>
      <c r="G39" s="43">
        <v>0</v>
      </c>
      <c r="H39" s="44">
        <v>2</v>
      </c>
    </row>
    <row r="40" spans="2:8">
      <c r="B40" s="41">
        <v>41310</v>
      </c>
      <c r="C40" s="42">
        <v>29</v>
      </c>
      <c r="D40" s="43">
        <v>0</v>
      </c>
      <c r="E40" s="43">
        <v>0</v>
      </c>
      <c r="F40" s="43">
        <v>1</v>
      </c>
      <c r="G40" s="43">
        <v>0</v>
      </c>
      <c r="H40" s="44">
        <v>2</v>
      </c>
    </row>
    <row r="41" spans="2:8">
      <c r="B41" s="41">
        <v>41311</v>
      </c>
      <c r="C41" s="42">
        <v>21</v>
      </c>
      <c r="D41" s="43">
        <v>0</v>
      </c>
      <c r="E41" s="43">
        <v>0</v>
      </c>
      <c r="F41" s="43">
        <v>0</v>
      </c>
      <c r="G41" s="43">
        <v>0</v>
      </c>
      <c r="H41" s="44">
        <v>1</v>
      </c>
    </row>
    <row r="42" spans="2:8">
      <c r="B42" s="41">
        <v>41312</v>
      </c>
      <c r="C42" s="42">
        <v>25</v>
      </c>
      <c r="D42" s="43">
        <v>0</v>
      </c>
      <c r="E42" s="43">
        <v>0</v>
      </c>
      <c r="F42" s="43">
        <v>0</v>
      </c>
      <c r="G42" s="43">
        <v>0</v>
      </c>
      <c r="H42" s="44">
        <v>1</v>
      </c>
    </row>
    <row r="43" spans="2:8">
      <c r="B43" s="41">
        <v>41313</v>
      </c>
      <c r="C43" s="42">
        <v>40</v>
      </c>
      <c r="D43" s="43">
        <v>0</v>
      </c>
      <c r="E43" s="43">
        <v>0</v>
      </c>
      <c r="F43" s="43">
        <v>1</v>
      </c>
      <c r="G43" s="43">
        <v>0</v>
      </c>
      <c r="H43" s="44">
        <v>2</v>
      </c>
    </row>
    <row r="44" spans="2:8">
      <c r="B44" s="41">
        <v>41314</v>
      </c>
      <c r="C44" s="42">
        <v>36</v>
      </c>
      <c r="D44" s="43">
        <v>0</v>
      </c>
      <c r="E44" s="43">
        <v>0</v>
      </c>
      <c r="F44" s="43">
        <v>2</v>
      </c>
      <c r="G44" s="43">
        <v>1</v>
      </c>
      <c r="H44" s="44">
        <v>6</v>
      </c>
    </row>
    <row r="45" spans="2:8">
      <c r="B45" s="41">
        <v>41315</v>
      </c>
      <c r="C45" s="42">
        <v>44</v>
      </c>
      <c r="D45" s="43">
        <v>0</v>
      </c>
      <c r="E45" s="43">
        <v>0</v>
      </c>
      <c r="F45" s="43">
        <v>2</v>
      </c>
      <c r="G45" s="43">
        <v>2</v>
      </c>
      <c r="H45" s="44">
        <v>9</v>
      </c>
    </row>
    <row r="46" spans="2:8">
      <c r="B46" s="41">
        <v>41316</v>
      </c>
      <c r="C46" s="42">
        <v>38</v>
      </c>
      <c r="D46" s="43">
        <v>0</v>
      </c>
      <c r="E46" s="43">
        <v>0</v>
      </c>
      <c r="F46" s="43">
        <v>0</v>
      </c>
      <c r="G46" s="43">
        <v>0</v>
      </c>
      <c r="H46" s="44">
        <v>1</v>
      </c>
    </row>
    <row r="47" spans="2:8">
      <c r="B47" s="41">
        <v>41317</v>
      </c>
      <c r="C47" s="42">
        <v>43</v>
      </c>
      <c r="D47" s="43">
        <v>0</v>
      </c>
      <c r="E47" s="43">
        <v>0</v>
      </c>
      <c r="F47" s="43">
        <v>0</v>
      </c>
      <c r="G47" s="43">
        <v>0</v>
      </c>
      <c r="H47" s="44">
        <v>1</v>
      </c>
    </row>
    <row r="48" spans="2:8">
      <c r="B48" s="41">
        <v>41318</v>
      </c>
      <c r="C48" s="42">
        <v>39</v>
      </c>
      <c r="D48" s="43">
        <v>0</v>
      </c>
      <c r="E48" s="43">
        <v>0</v>
      </c>
      <c r="F48" s="43">
        <v>0</v>
      </c>
      <c r="G48" s="43">
        <v>0</v>
      </c>
      <c r="H48" s="44">
        <v>1</v>
      </c>
    </row>
    <row r="49" spans="2:8">
      <c r="B49" s="41">
        <v>41319</v>
      </c>
      <c r="C49" s="42">
        <v>43</v>
      </c>
      <c r="D49" s="43">
        <v>0</v>
      </c>
      <c r="E49" s="43">
        <v>0</v>
      </c>
      <c r="F49" s="43">
        <v>0</v>
      </c>
      <c r="G49" s="43">
        <v>0</v>
      </c>
      <c r="H49" s="44">
        <v>1</v>
      </c>
    </row>
    <row r="50" spans="2:8">
      <c r="B50" s="41">
        <v>41320</v>
      </c>
      <c r="C50" s="42">
        <v>46</v>
      </c>
      <c r="D50" s="43">
        <v>0</v>
      </c>
      <c r="E50" s="43">
        <v>0</v>
      </c>
      <c r="F50" s="43">
        <v>0</v>
      </c>
      <c r="G50" s="43">
        <v>0</v>
      </c>
      <c r="H50" s="44">
        <v>1</v>
      </c>
    </row>
    <row r="51" spans="2:8">
      <c r="B51" s="41">
        <v>41321</v>
      </c>
      <c r="C51" s="42">
        <v>52</v>
      </c>
      <c r="D51" s="43">
        <v>0</v>
      </c>
      <c r="E51" s="43">
        <v>0</v>
      </c>
      <c r="F51" s="43">
        <v>1</v>
      </c>
      <c r="G51" s="43">
        <v>1</v>
      </c>
      <c r="H51" s="44">
        <v>4</v>
      </c>
    </row>
    <row r="52" spans="2:8">
      <c r="B52" s="41">
        <v>41322</v>
      </c>
      <c r="C52" s="42">
        <v>47</v>
      </c>
      <c r="D52" s="43">
        <v>0</v>
      </c>
      <c r="E52" s="43">
        <v>0</v>
      </c>
      <c r="F52" s="43">
        <v>1</v>
      </c>
      <c r="G52" s="43">
        <v>0</v>
      </c>
      <c r="H52" s="44">
        <v>2</v>
      </c>
    </row>
    <row r="53" spans="2:8">
      <c r="B53" s="41">
        <v>41323</v>
      </c>
      <c r="C53" s="42">
        <v>41</v>
      </c>
      <c r="D53" s="43">
        <v>0</v>
      </c>
      <c r="E53" s="43">
        <v>0</v>
      </c>
      <c r="F53" s="43">
        <v>0</v>
      </c>
      <c r="G53" s="43">
        <v>0</v>
      </c>
      <c r="H53" s="44">
        <v>1</v>
      </c>
    </row>
    <row r="54" spans="2:8">
      <c r="B54" s="41">
        <v>41324</v>
      </c>
      <c r="C54" s="42">
        <v>36</v>
      </c>
      <c r="D54" s="43">
        <v>0</v>
      </c>
      <c r="E54" s="43">
        <v>0</v>
      </c>
      <c r="F54" s="43">
        <v>0</v>
      </c>
      <c r="G54" s="43">
        <v>0</v>
      </c>
      <c r="H54" s="44">
        <v>1</v>
      </c>
    </row>
    <row r="55" spans="2:8">
      <c r="B55" s="41">
        <v>41325</v>
      </c>
      <c r="C55" s="42">
        <v>43</v>
      </c>
      <c r="D55" s="43">
        <v>0</v>
      </c>
      <c r="E55" s="43">
        <v>0</v>
      </c>
      <c r="F55" s="43">
        <v>0</v>
      </c>
      <c r="G55" s="43">
        <v>0</v>
      </c>
      <c r="H55" s="44">
        <v>1</v>
      </c>
    </row>
    <row r="56" spans="2:8">
      <c r="B56" s="41">
        <v>41326</v>
      </c>
      <c r="C56" s="42">
        <v>37</v>
      </c>
      <c r="D56" s="43">
        <v>0</v>
      </c>
      <c r="E56" s="43">
        <v>0</v>
      </c>
      <c r="F56" s="43">
        <v>0</v>
      </c>
      <c r="G56" s="43">
        <v>0</v>
      </c>
      <c r="H56" s="44">
        <v>1</v>
      </c>
    </row>
    <row r="57" spans="2:8">
      <c r="B57" s="41">
        <v>41327</v>
      </c>
      <c r="C57" s="42">
        <v>52</v>
      </c>
      <c r="D57" s="43">
        <v>0</v>
      </c>
      <c r="E57" s="43">
        <v>0</v>
      </c>
      <c r="F57" s="43">
        <v>1</v>
      </c>
      <c r="G57" s="43">
        <v>1</v>
      </c>
      <c r="H57" s="44">
        <v>4</v>
      </c>
    </row>
    <row r="58" spans="2:8">
      <c r="B58" s="41">
        <v>41328</v>
      </c>
      <c r="C58" s="42">
        <v>56</v>
      </c>
      <c r="D58" s="43">
        <v>0</v>
      </c>
      <c r="E58" s="43">
        <v>0</v>
      </c>
      <c r="F58" s="43">
        <v>3</v>
      </c>
      <c r="G58" s="43">
        <v>2</v>
      </c>
      <c r="H58" s="44">
        <v>12</v>
      </c>
    </row>
    <row r="59" spans="2:8">
      <c r="B59" s="41">
        <v>41329</v>
      </c>
      <c r="C59" s="42">
        <v>58</v>
      </c>
      <c r="D59" s="43">
        <v>0</v>
      </c>
      <c r="E59" s="43">
        <v>0</v>
      </c>
      <c r="F59" s="43">
        <v>2</v>
      </c>
      <c r="G59" s="43">
        <v>1</v>
      </c>
      <c r="H59" s="44">
        <v>6</v>
      </c>
    </row>
    <row r="60" spans="2:8">
      <c r="B60" s="41">
        <v>41330</v>
      </c>
      <c r="C60" s="42">
        <v>66</v>
      </c>
      <c r="D60" s="43">
        <v>0</v>
      </c>
      <c r="E60" s="43">
        <v>0</v>
      </c>
      <c r="F60" s="43">
        <v>1</v>
      </c>
      <c r="G60" s="43">
        <v>1</v>
      </c>
      <c r="H60" s="44">
        <v>4</v>
      </c>
    </row>
    <row r="61" spans="2:8">
      <c r="B61" s="41">
        <v>41331</v>
      </c>
      <c r="C61" s="42">
        <v>61</v>
      </c>
      <c r="D61" s="43">
        <v>0</v>
      </c>
      <c r="E61" s="43">
        <v>0</v>
      </c>
      <c r="F61" s="43">
        <v>1</v>
      </c>
      <c r="G61" s="43">
        <v>1</v>
      </c>
      <c r="H61" s="44">
        <v>4</v>
      </c>
    </row>
    <row r="62" spans="2:8">
      <c r="B62" s="41">
        <v>41332</v>
      </c>
      <c r="C62" s="42">
        <v>60</v>
      </c>
      <c r="D62" s="43">
        <v>0</v>
      </c>
      <c r="E62" s="43">
        <v>0</v>
      </c>
      <c r="F62" s="43">
        <v>1</v>
      </c>
      <c r="G62" s="43">
        <v>1</v>
      </c>
      <c r="H62" s="44">
        <v>4</v>
      </c>
    </row>
    <row r="63" spans="2:8">
      <c r="B63" s="41">
        <v>41333</v>
      </c>
      <c r="C63" s="42">
        <v>66</v>
      </c>
      <c r="D63" s="43">
        <v>0</v>
      </c>
      <c r="E63" s="43">
        <v>0</v>
      </c>
      <c r="F63" s="43">
        <v>2</v>
      </c>
      <c r="G63" s="43">
        <v>1</v>
      </c>
      <c r="H63" s="44">
        <v>6</v>
      </c>
    </row>
    <row r="64" spans="2:8">
      <c r="B64" s="41">
        <v>41334</v>
      </c>
      <c r="C64" s="42">
        <v>55</v>
      </c>
      <c r="D64" s="43">
        <v>0</v>
      </c>
      <c r="E64" s="43">
        <v>0</v>
      </c>
      <c r="F64" s="43">
        <v>1</v>
      </c>
      <c r="G64" s="43">
        <v>1</v>
      </c>
      <c r="H64" s="44">
        <v>4</v>
      </c>
    </row>
    <row r="65" spans="2:8">
      <c r="B65" s="41">
        <v>41335</v>
      </c>
      <c r="C65" s="42">
        <v>58</v>
      </c>
      <c r="D65" s="43">
        <v>0</v>
      </c>
      <c r="E65" s="43">
        <v>0</v>
      </c>
      <c r="F65" s="43">
        <v>2</v>
      </c>
      <c r="G65" s="43">
        <v>1</v>
      </c>
      <c r="H65" s="44">
        <v>6</v>
      </c>
    </row>
    <row r="66" spans="2:8">
      <c r="B66" s="41">
        <v>41336</v>
      </c>
      <c r="C66" s="42">
        <v>46</v>
      </c>
      <c r="D66" s="43">
        <v>0</v>
      </c>
      <c r="E66" s="43">
        <v>0</v>
      </c>
      <c r="F66" s="43">
        <v>1</v>
      </c>
      <c r="G66" s="43">
        <v>1</v>
      </c>
      <c r="H66" s="44">
        <v>4</v>
      </c>
    </row>
    <row r="67" spans="2:8">
      <c r="B67" s="41">
        <v>41337</v>
      </c>
      <c r="C67" s="42">
        <v>50</v>
      </c>
      <c r="D67" s="43">
        <v>0</v>
      </c>
      <c r="E67" s="43">
        <v>0</v>
      </c>
      <c r="F67" s="43">
        <v>0</v>
      </c>
      <c r="G67" s="43">
        <v>0</v>
      </c>
      <c r="H67" s="44">
        <v>1</v>
      </c>
    </row>
    <row r="68" spans="2:8">
      <c r="B68" s="41">
        <v>41338</v>
      </c>
      <c r="C68" s="42">
        <v>43</v>
      </c>
      <c r="D68" s="43">
        <v>0</v>
      </c>
      <c r="E68" s="43">
        <v>0</v>
      </c>
      <c r="F68" s="43">
        <v>0</v>
      </c>
      <c r="G68" s="43">
        <v>0</v>
      </c>
      <c r="H68" s="44">
        <v>1</v>
      </c>
    </row>
    <row r="69" spans="2:8">
      <c r="B69" s="41">
        <v>41339</v>
      </c>
      <c r="C69" s="42">
        <v>34</v>
      </c>
      <c r="D69" s="43">
        <v>0</v>
      </c>
      <c r="E69" s="43">
        <v>0</v>
      </c>
      <c r="F69" s="43">
        <v>0</v>
      </c>
      <c r="G69" s="43">
        <v>0</v>
      </c>
      <c r="H69" s="44">
        <v>1</v>
      </c>
    </row>
    <row r="70" spans="2:8">
      <c r="B70" s="41">
        <v>41340</v>
      </c>
      <c r="C70" s="42">
        <v>40</v>
      </c>
      <c r="D70" s="43">
        <v>0</v>
      </c>
      <c r="E70" s="43">
        <v>0</v>
      </c>
      <c r="F70" s="43">
        <v>0</v>
      </c>
      <c r="G70" s="43">
        <v>0</v>
      </c>
      <c r="H70" s="44">
        <v>1</v>
      </c>
    </row>
    <row r="71" spans="2:8">
      <c r="B71" s="41">
        <v>41341</v>
      </c>
      <c r="C71" s="42">
        <v>46</v>
      </c>
      <c r="D71" s="43">
        <v>0</v>
      </c>
      <c r="E71" s="43">
        <v>0</v>
      </c>
      <c r="F71" s="43">
        <v>0</v>
      </c>
      <c r="G71" s="43">
        <v>0</v>
      </c>
      <c r="H71" s="44">
        <v>1</v>
      </c>
    </row>
    <row r="72" spans="2:8">
      <c r="B72" s="41">
        <v>41342</v>
      </c>
      <c r="C72" s="42">
        <v>45</v>
      </c>
      <c r="D72" s="43">
        <v>0</v>
      </c>
      <c r="E72" s="43">
        <v>0</v>
      </c>
      <c r="F72" s="43">
        <v>1</v>
      </c>
      <c r="G72" s="43">
        <v>1</v>
      </c>
      <c r="H72" s="44">
        <v>4</v>
      </c>
    </row>
    <row r="73" spans="2:8">
      <c r="B73" s="41">
        <v>41343</v>
      </c>
      <c r="C73" s="42">
        <v>50</v>
      </c>
      <c r="D73" s="43">
        <v>0</v>
      </c>
      <c r="E73" s="43">
        <v>0</v>
      </c>
      <c r="F73" s="43">
        <v>1</v>
      </c>
      <c r="G73" s="43">
        <v>1</v>
      </c>
      <c r="H73" s="44">
        <v>4</v>
      </c>
    </row>
    <row r="74" spans="2:8">
      <c r="B74" s="41">
        <v>41344</v>
      </c>
      <c r="C74" s="42">
        <v>50</v>
      </c>
      <c r="D74" s="43">
        <v>0</v>
      </c>
      <c r="E74" s="43">
        <v>0</v>
      </c>
      <c r="F74" s="43">
        <v>0</v>
      </c>
      <c r="G74" s="43">
        <v>0</v>
      </c>
      <c r="H74" s="44">
        <v>1</v>
      </c>
    </row>
    <row r="75" spans="2:8">
      <c r="B75" s="41">
        <v>41345</v>
      </c>
      <c r="C75" s="42">
        <v>53</v>
      </c>
      <c r="D75" s="43">
        <v>0</v>
      </c>
      <c r="E75" s="43">
        <v>0</v>
      </c>
      <c r="F75" s="43">
        <v>0</v>
      </c>
      <c r="G75" s="43">
        <v>0</v>
      </c>
      <c r="H75" s="44">
        <v>1</v>
      </c>
    </row>
    <row r="76" spans="2:8">
      <c r="B76" s="41">
        <v>41346</v>
      </c>
      <c r="C76" s="42">
        <v>49</v>
      </c>
      <c r="D76" s="43">
        <v>0</v>
      </c>
      <c r="E76" s="43">
        <v>0</v>
      </c>
      <c r="F76" s="43">
        <v>0</v>
      </c>
      <c r="G76" s="43">
        <v>0</v>
      </c>
      <c r="H76" s="44">
        <v>1</v>
      </c>
    </row>
    <row r="77" spans="2:8">
      <c r="B77" s="41">
        <v>41347</v>
      </c>
      <c r="C77" s="42">
        <v>43</v>
      </c>
      <c r="D77" s="43">
        <v>0</v>
      </c>
      <c r="E77" s="43">
        <v>0</v>
      </c>
      <c r="F77" s="43">
        <v>0</v>
      </c>
      <c r="G77" s="43">
        <v>0</v>
      </c>
      <c r="H77" s="44">
        <v>1</v>
      </c>
    </row>
    <row r="78" spans="2:8">
      <c r="B78" s="41">
        <v>41348</v>
      </c>
      <c r="C78" s="42">
        <v>73</v>
      </c>
      <c r="D78" s="43">
        <v>0</v>
      </c>
      <c r="E78" s="43">
        <v>0</v>
      </c>
      <c r="F78" s="43">
        <v>2</v>
      </c>
      <c r="G78" s="43">
        <v>1</v>
      </c>
      <c r="H78" s="44">
        <v>6</v>
      </c>
    </row>
    <row r="79" spans="2:8">
      <c r="B79" s="41">
        <v>41349</v>
      </c>
      <c r="C79" s="42">
        <v>66</v>
      </c>
      <c r="D79" s="43">
        <v>0</v>
      </c>
      <c r="E79" s="43">
        <v>0</v>
      </c>
      <c r="F79" s="43">
        <v>3</v>
      </c>
      <c r="G79" s="43">
        <v>2</v>
      </c>
      <c r="H79" s="44">
        <v>12</v>
      </c>
    </row>
    <row r="80" spans="2:8">
      <c r="B80" s="41">
        <v>41350</v>
      </c>
      <c r="C80" s="42">
        <v>59</v>
      </c>
      <c r="D80" s="43">
        <v>0</v>
      </c>
      <c r="E80" s="43">
        <v>0</v>
      </c>
      <c r="F80" s="43">
        <v>2</v>
      </c>
      <c r="G80" s="43">
        <v>2</v>
      </c>
      <c r="H80" s="44">
        <v>9</v>
      </c>
    </row>
    <row r="81" spans="2:8">
      <c r="B81" s="41">
        <v>41351</v>
      </c>
      <c r="C81" s="42">
        <v>73</v>
      </c>
      <c r="D81" s="43">
        <v>0</v>
      </c>
      <c r="E81" s="43">
        <v>0</v>
      </c>
      <c r="F81" s="43">
        <v>2</v>
      </c>
      <c r="G81" s="43">
        <v>2</v>
      </c>
      <c r="H81" s="44">
        <v>9</v>
      </c>
    </row>
    <row r="82" spans="2:8">
      <c r="B82" s="41">
        <v>41352</v>
      </c>
      <c r="C82" s="42">
        <v>68</v>
      </c>
      <c r="D82" s="43">
        <v>0</v>
      </c>
      <c r="E82" s="43">
        <v>0</v>
      </c>
      <c r="F82" s="43">
        <v>2</v>
      </c>
      <c r="G82" s="43">
        <v>2</v>
      </c>
      <c r="H82" s="44">
        <v>9</v>
      </c>
    </row>
    <row r="83" spans="2:8">
      <c r="B83" s="41">
        <v>41353</v>
      </c>
      <c r="C83" s="42">
        <v>74</v>
      </c>
      <c r="D83" s="43">
        <v>0</v>
      </c>
      <c r="E83" s="43">
        <v>0</v>
      </c>
      <c r="F83" s="43">
        <v>5</v>
      </c>
      <c r="G83" s="43">
        <v>4</v>
      </c>
      <c r="H83" s="44">
        <v>30</v>
      </c>
    </row>
    <row r="84" spans="2:8">
      <c r="B84" s="41">
        <v>41354</v>
      </c>
      <c r="C84" s="42">
        <v>71</v>
      </c>
      <c r="D84" s="43">
        <v>0</v>
      </c>
      <c r="E84" s="43">
        <v>0</v>
      </c>
      <c r="F84" s="43">
        <v>5</v>
      </c>
      <c r="G84" s="43">
        <v>4</v>
      </c>
      <c r="H84" s="44">
        <v>30</v>
      </c>
    </row>
    <row r="85" spans="2:8">
      <c r="B85" s="41">
        <v>41355</v>
      </c>
      <c r="C85" s="42">
        <v>65</v>
      </c>
      <c r="D85" s="43">
        <v>0</v>
      </c>
      <c r="E85" s="43">
        <v>0</v>
      </c>
      <c r="F85" s="43">
        <v>4</v>
      </c>
      <c r="G85" s="43">
        <v>3</v>
      </c>
      <c r="H85" s="44">
        <v>20</v>
      </c>
    </row>
    <row r="86" spans="2:8">
      <c r="B86" s="41">
        <v>41356</v>
      </c>
      <c r="C86" s="42">
        <v>60</v>
      </c>
      <c r="D86" s="43">
        <v>0</v>
      </c>
      <c r="E86" s="43">
        <v>0</v>
      </c>
      <c r="F86" s="43">
        <v>5</v>
      </c>
      <c r="G86" s="43">
        <v>4</v>
      </c>
      <c r="H86" s="44">
        <v>30</v>
      </c>
    </row>
    <row r="87" spans="2:8">
      <c r="B87" s="41">
        <v>41357</v>
      </c>
      <c r="C87" s="42">
        <v>66</v>
      </c>
      <c r="D87" s="43">
        <v>0</v>
      </c>
      <c r="E87" s="43">
        <v>0</v>
      </c>
      <c r="F87" s="43">
        <v>4</v>
      </c>
      <c r="G87" s="43">
        <v>3</v>
      </c>
      <c r="H87" s="44">
        <v>20</v>
      </c>
    </row>
    <row r="88" spans="2:8">
      <c r="B88" s="41">
        <v>41358</v>
      </c>
      <c r="C88" s="42">
        <v>76</v>
      </c>
      <c r="D88" s="43">
        <v>0</v>
      </c>
      <c r="E88" s="43">
        <v>0</v>
      </c>
      <c r="F88" s="43">
        <v>3</v>
      </c>
      <c r="G88" s="43">
        <v>3</v>
      </c>
      <c r="H88" s="44">
        <v>16</v>
      </c>
    </row>
    <row r="89" spans="2:8">
      <c r="B89" s="41">
        <v>41359</v>
      </c>
      <c r="C89" s="42">
        <v>81</v>
      </c>
      <c r="D89" s="43">
        <v>0</v>
      </c>
      <c r="E89" s="43">
        <v>0</v>
      </c>
      <c r="F89" s="43">
        <v>3</v>
      </c>
      <c r="G89" s="43">
        <v>3</v>
      </c>
      <c r="H89" s="44">
        <v>16</v>
      </c>
    </row>
    <row r="90" spans="2:8">
      <c r="B90" s="41">
        <v>41360</v>
      </c>
      <c r="C90" s="42">
        <v>74</v>
      </c>
      <c r="D90" s="43">
        <v>0</v>
      </c>
      <c r="E90" s="43">
        <v>0</v>
      </c>
      <c r="F90" s="43">
        <v>4</v>
      </c>
      <c r="G90" s="43">
        <v>3</v>
      </c>
      <c r="H90" s="44">
        <v>20</v>
      </c>
    </row>
    <row r="91" spans="2:8">
      <c r="B91" s="41">
        <v>41361</v>
      </c>
      <c r="C91" s="42">
        <v>83</v>
      </c>
      <c r="D91" s="43">
        <v>0</v>
      </c>
      <c r="E91" s="43">
        <v>0</v>
      </c>
      <c r="F91" s="43">
        <v>4</v>
      </c>
      <c r="G91" s="43">
        <v>4</v>
      </c>
      <c r="H91" s="44">
        <v>25</v>
      </c>
    </row>
    <row r="92" spans="2:8">
      <c r="B92" s="41">
        <v>41362</v>
      </c>
      <c r="C92" s="42">
        <v>71</v>
      </c>
      <c r="D92" s="43">
        <v>0</v>
      </c>
      <c r="E92" s="43">
        <v>0</v>
      </c>
      <c r="F92" s="43">
        <v>4</v>
      </c>
      <c r="G92" s="43">
        <v>4</v>
      </c>
      <c r="H92" s="44">
        <v>25</v>
      </c>
    </row>
    <row r="93" spans="2:8">
      <c r="B93" s="41">
        <v>41363</v>
      </c>
      <c r="C93" s="42">
        <v>84</v>
      </c>
      <c r="D93" s="43">
        <v>0</v>
      </c>
      <c r="E93" s="43">
        <v>0</v>
      </c>
      <c r="F93" s="43">
        <v>5</v>
      </c>
      <c r="G93" s="43">
        <v>5</v>
      </c>
      <c r="H93" s="44">
        <v>36</v>
      </c>
    </row>
    <row r="94" spans="2:8" ht="21" thickBot="1">
      <c r="B94" s="45">
        <v>41364</v>
      </c>
      <c r="C94" s="46">
        <v>69</v>
      </c>
      <c r="D94" s="47">
        <v>0</v>
      </c>
      <c r="E94" s="47">
        <v>0</v>
      </c>
      <c r="F94" s="47">
        <v>5</v>
      </c>
      <c r="G94" s="47">
        <v>4</v>
      </c>
      <c r="H94" s="48">
        <v>30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26714-E1C0-424D-9052-2AAF159931CD}">
  <dimension ref="A1:N94"/>
  <sheetViews>
    <sheetView workbookViewId="0">
      <selection activeCell="N3" sqref="N3"/>
    </sheetView>
  </sheetViews>
  <sheetFormatPr baseColWidth="10" defaultRowHeight="20"/>
  <cols>
    <col min="9" max="9" width="13.85546875" bestFit="1" customWidth="1"/>
    <col min="10" max="10" width="13" bestFit="1" customWidth="1"/>
    <col min="14" max="15" width="13" bestFit="1" customWidth="1"/>
  </cols>
  <sheetData>
    <row r="1" spans="1:14" ht="21" thickBot="1"/>
    <row r="2" spans="1:14" ht="21" thickBot="1">
      <c r="N2" s="49" t="s">
        <v>41</v>
      </c>
    </row>
    <row r="3" spans="1:14" ht="21" thickBot="1">
      <c r="A3" s="24" t="s">
        <v>36</v>
      </c>
      <c r="D3" cm="1">
        <f t="array" ref="D3:H3">TRANSPOSE(L6:L10)</f>
        <v>0</v>
      </c>
      <c r="E3">
        <v>-9.8770189025300592</v>
      </c>
      <c r="F3">
        <v>8.8928395031186245</v>
      </c>
      <c r="G3">
        <v>6.681921175785142</v>
      </c>
      <c r="H3">
        <v>-1.3446152862579166</v>
      </c>
      <c r="N3">
        <f>SQRT(SUM(J5:J94))</f>
        <v>151.69556964264794</v>
      </c>
    </row>
    <row r="4" spans="1:14" ht="21" thickBot="1">
      <c r="B4" s="29" t="s">
        <v>0</v>
      </c>
      <c r="C4" s="36" t="s">
        <v>7</v>
      </c>
      <c r="D4" s="30" t="s">
        <v>2</v>
      </c>
      <c r="E4" s="30" t="s">
        <v>3</v>
      </c>
      <c r="F4" s="30" t="s">
        <v>4</v>
      </c>
      <c r="G4" s="30" t="s">
        <v>5</v>
      </c>
      <c r="H4" s="31" t="s">
        <v>35</v>
      </c>
      <c r="I4" s="49" t="s">
        <v>8</v>
      </c>
      <c r="K4" s="27"/>
      <c r="L4" s="27" t="s">
        <v>28</v>
      </c>
    </row>
    <row r="5" spans="1:14">
      <c r="B5" s="37">
        <v>41275</v>
      </c>
      <c r="C5" s="38">
        <v>0</v>
      </c>
      <c r="D5" s="39">
        <v>0</v>
      </c>
      <c r="E5" s="39">
        <v>1</v>
      </c>
      <c r="F5" s="39">
        <v>-1</v>
      </c>
      <c r="G5" s="39">
        <v>-1</v>
      </c>
      <c r="H5" s="40">
        <v>0</v>
      </c>
      <c r="I5">
        <f>$L$5+SUMPRODUCT(_xlfn.ANCHORARRAY($D$3),D5:H5)</f>
        <v>-5.2580162446247414E-13</v>
      </c>
      <c r="J5">
        <f>(C5-I5)^2</f>
        <v>2.7646734828737668E-25</v>
      </c>
      <c r="K5" s="25" t="s">
        <v>22</v>
      </c>
      <c r="L5" s="25">
        <v>25.4517795814333</v>
      </c>
    </row>
    <row r="6" spans="1:14">
      <c r="B6" s="41">
        <v>41276</v>
      </c>
      <c r="C6" s="42">
        <v>0</v>
      </c>
      <c r="D6" s="43">
        <v>0</v>
      </c>
      <c r="E6" s="43">
        <v>1</v>
      </c>
      <c r="F6" s="43">
        <v>-1</v>
      </c>
      <c r="G6" s="43">
        <v>-1</v>
      </c>
      <c r="H6" s="44">
        <v>0</v>
      </c>
      <c r="I6">
        <f>$L$5+SUMPRODUCT(_xlfn.ANCHORARRAY($D$3),D6:H6)</f>
        <v>-5.2580162446247414E-13</v>
      </c>
      <c r="J6">
        <f t="shared" ref="J6:J69" si="0">(C6-I6)^2</f>
        <v>2.7646734828737668E-25</v>
      </c>
      <c r="K6" s="25" t="s">
        <v>2</v>
      </c>
      <c r="L6" s="25">
        <v>0</v>
      </c>
    </row>
    <row r="7" spans="1:14">
      <c r="B7" s="41">
        <v>41277</v>
      </c>
      <c r="C7" s="42">
        <v>0</v>
      </c>
      <c r="D7" s="43">
        <v>0</v>
      </c>
      <c r="E7" s="43">
        <v>1</v>
      </c>
      <c r="F7" s="43">
        <v>-1</v>
      </c>
      <c r="G7" s="43">
        <v>-1</v>
      </c>
      <c r="H7" s="44">
        <v>0</v>
      </c>
      <c r="I7">
        <f>$L$5+SUMPRODUCT(_xlfn.ANCHORARRAY($D$3),D7:H7)</f>
        <v>-5.2580162446247414E-13</v>
      </c>
      <c r="J7">
        <f t="shared" si="0"/>
        <v>2.7646734828737668E-25</v>
      </c>
      <c r="K7" s="25" t="s">
        <v>3</v>
      </c>
      <c r="L7" s="25">
        <v>-9.8770189025300592</v>
      </c>
    </row>
    <row r="8" spans="1:14">
      <c r="B8" s="41">
        <v>41278</v>
      </c>
      <c r="C8" s="42">
        <v>38</v>
      </c>
      <c r="D8" s="43">
        <v>0</v>
      </c>
      <c r="E8" s="43">
        <v>0</v>
      </c>
      <c r="F8" s="43">
        <v>0</v>
      </c>
      <c r="G8" s="43">
        <v>0</v>
      </c>
      <c r="H8" s="44">
        <v>1</v>
      </c>
      <c r="I8">
        <f t="shared" ref="I8:I71" si="1">$L$5+SUMPRODUCT(_xlfn.ANCHORARRAY($D$3),D8:H8)</f>
        <v>24.107164295175384</v>
      </c>
      <c r="J8">
        <f t="shared" si="0"/>
        <v>193.0108839212497</v>
      </c>
      <c r="K8" s="25" t="s">
        <v>4</v>
      </c>
      <c r="L8" s="25">
        <v>8.8928395031186245</v>
      </c>
    </row>
    <row r="9" spans="1:14">
      <c r="B9" s="41">
        <v>41279</v>
      </c>
      <c r="C9" s="42">
        <v>26</v>
      </c>
      <c r="D9" s="43">
        <v>0</v>
      </c>
      <c r="E9" s="43">
        <v>0</v>
      </c>
      <c r="F9" s="43">
        <v>0</v>
      </c>
      <c r="G9" s="43">
        <v>0</v>
      </c>
      <c r="H9" s="44">
        <v>1</v>
      </c>
      <c r="I9">
        <f t="shared" si="1"/>
        <v>24.107164295175384</v>
      </c>
      <c r="J9">
        <f t="shared" si="0"/>
        <v>3.5828270054589018</v>
      </c>
      <c r="K9" s="25" t="s">
        <v>5</v>
      </c>
      <c r="L9" s="25">
        <v>6.681921175785142</v>
      </c>
    </row>
    <row r="10" spans="1:14" ht="21" thickBot="1">
      <c r="B10" s="41">
        <v>41280</v>
      </c>
      <c r="C10" s="42">
        <v>24</v>
      </c>
      <c r="D10" s="43">
        <v>0</v>
      </c>
      <c r="E10" s="43">
        <v>0</v>
      </c>
      <c r="F10" s="43">
        <v>0</v>
      </c>
      <c r="G10" s="43">
        <v>0</v>
      </c>
      <c r="H10" s="44">
        <v>1</v>
      </c>
      <c r="I10">
        <f t="shared" si="1"/>
        <v>24.107164295175384</v>
      </c>
      <c r="J10">
        <f t="shared" si="0"/>
        <v>1.1484186160436772E-2</v>
      </c>
      <c r="K10" s="26" t="s">
        <v>6</v>
      </c>
      <c r="L10" s="26">
        <v>-1.3446152862579166</v>
      </c>
    </row>
    <row r="11" spans="1:14">
      <c r="B11" s="41">
        <v>41281</v>
      </c>
      <c r="C11" s="42">
        <v>22</v>
      </c>
      <c r="D11" s="43">
        <v>0</v>
      </c>
      <c r="E11" s="43">
        <v>0</v>
      </c>
      <c r="F11" s="43">
        <v>0</v>
      </c>
      <c r="G11" s="43">
        <v>0</v>
      </c>
      <c r="H11" s="44">
        <v>1</v>
      </c>
      <c r="I11">
        <f t="shared" si="1"/>
        <v>24.107164295175384</v>
      </c>
      <c r="J11">
        <f t="shared" si="0"/>
        <v>4.4401413668619716</v>
      </c>
    </row>
    <row r="12" spans="1:14">
      <c r="B12" s="41">
        <v>41282</v>
      </c>
      <c r="C12" s="42">
        <v>12</v>
      </c>
      <c r="D12" s="43">
        <v>0</v>
      </c>
      <c r="E12" s="43">
        <v>0</v>
      </c>
      <c r="F12" s="43">
        <v>0</v>
      </c>
      <c r="G12" s="43">
        <v>0</v>
      </c>
      <c r="H12" s="44">
        <v>1</v>
      </c>
      <c r="I12">
        <f t="shared" si="1"/>
        <v>24.107164295175384</v>
      </c>
      <c r="J12">
        <f t="shared" si="0"/>
        <v>146.58342727036964</v>
      </c>
    </row>
    <row r="13" spans="1:14">
      <c r="B13" s="41">
        <v>41283</v>
      </c>
      <c r="C13" s="42">
        <v>18</v>
      </c>
      <c r="D13" s="43">
        <v>0</v>
      </c>
      <c r="E13" s="43">
        <v>0</v>
      </c>
      <c r="F13" s="43">
        <v>0</v>
      </c>
      <c r="G13" s="43">
        <v>0</v>
      </c>
      <c r="H13" s="44">
        <v>1</v>
      </c>
      <c r="I13">
        <f t="shared" si="1"/>
        <v>24.107164295175384</v>
      </c>
      <c r="J13">
        <f t="shared" si="0"/>
        <v>37.297455728265042</v>
      </c>
    </row>
    <row r="14" spans="1:14">
      <c r="B14" s="41">
        <v>41284</v>
      </c>
      <c r="C14" s="42">
        <v>19</v>
      </c>
      <c r="D14" s="43">
        <v>0</v>
      </c>
      <c r="E14" s="43">
        <v>0</v>
      </c>
      <c r="F14" s="43">
        <v>0</v>
      </c>
      <c r="G14" s="43">
        <v>0</v>
      </c>
      <c r="H14" s="44">
        <v>1</v>
      </c>
      <c r="I14">
        <f t="shared" si="1"/>
        <v>24.107164295175384</v>
      </c>
      <c r="J14">
        <f t="shared" si="0"/>
        <v>26.083127137914275</v>
      </c>
    </row>
    <row r="15" spans="1:14">
      <c r="B15" s="41">
        <v>41285</v>
      </c>
      <c r="C15" s="42">
        <v>27</v>
      </c>
      <c r="D15" s="43">
        <v>0</v>
      </c>
      <c r="E15" s="43">
        <v>0</v>
      </c>
      <c r="F15" s="43">
        <v>0</v>
      </c>
      <c r="G15" s="43">
        <v>0</v>
      </c>
      <c r="H15" s="44">
        <v>1</v>
      </c>
      <c r="I15">
        <f t="shared" si="1"/>
        <v>24.107164295175384</v>
      </c>
      <c r="J15">
        <f t="shared" si="0"/>
        <v>8.3684984151081352</v>
      </c>
    </row>
    <row r="16" spans="1:14">
      <c r="B16" s="41">
        <v>41286</v>
      </c>
      <c r="C16" s="42">
        <v>39</v>
      </c>
      <c r="D16" s="43">
        <v>0</v>
      </c>
      <c r="E16" s="43">
        <v>0</v>
      </c>
      <c r="F16" s="43">
        <v>1</v>
      </c>
      <c r="G16" s="43">
        <v>0</v>
      </c>
      <c r="H16" s="44">
        <v>2</v>
      </c>
      <c r="I16">
        <f>$L$5+SUMPRODUCT(_xlfn.ANCHORARRAY($D$3),D16:H16)</f>
        <v>31.65538851203609</v>
      </c>
      <c r="J16">
        <f t="shared" si="0"/>
        <v>53.943317909131437</v>
      </c>
    </row>
    <row r="17" spans="2:10">
      <c r="B17" s="41">
        <v>41287</v>
      </c>
      <c r="C17" s="42">
        <v>50</v>
      </c>
      <c r="D17" s="43">
        <v>0</v>
      </c>
      <c r="E17" s="43">
        <v>0</v>
      </c>
      <c r="F17" s="43">
        <v>0</v>
      </c>
      <c r="G17" s="43">
        <v>0</v>
      </c>
      <c r="H17" s="44">
        <v>1</v>
      </c>
      <c r="I17">
        <f t="shared" si="1"/>
        <v>24.107164295175384</v>
      </c>
      <c r="J17">
        <f t="shared" si="0"/>
        <v>670.43894083704049</v>
      </c>
    </row>
    <row r="18" spans="2:10">
      <c r="B18" s="41">
        <v>41288</v>
      </c>
      <c r="C18" s="42">
        <v>16</v>
      </c>
      <c r="D18" s="43">
        <v>0</v>
      </c>
      <c r="E18" s="43">
        <v>0</v>
      </c>
      <c r="F18" s="43">
        <v>0</v>
      </c>
      <c r="G18" s="43">
        <v>0</v>
      </c>
      <c r="H18" s="44">
        <v>1</v>
      </c>
      <c r="I18">
        <f t="shared" si="1"/>
        <v>24.107164295175384</v>
      </c>
      <c r="J18">
        <f t="shared" si="0"/>
        <v>65.72611290896657</v>
      </c>
    </row>
    <row r="19" spans="2:10">
      <c r="B19" s="41">
        <v>41289</v>
      </c>
      <c r="C19" s="42">
        <v>31</v>
      </c>
      <c r="D19" s="43">
        <v>0</v>
      </c>
      <c r="E19" s="43">
        <v>0</v>
      </c>
      <c r="F19" s="43">
        <v>0</v>
      </c>
      <c r="G19" s="43">
        <v>0</v>
      </c>
      <c r="H19" s="44">
        <v>1</v>
      </c>
      <c r="I19">
        <f t="shared" si="1"/>
        <v>24.107164295175384</v>
      </c>
      <c r="J19">
        <f t="shared" si="0"/>
        <v>47.511184053705065</v>
      </c>
    </row>
    <row r="20" spans="2:10">
      <c r="B20" s="41">
        <v>41290</v>
      </c>
      <c r="C20" s="42">
        <v>33</v>
      </c>
      <c r="D20" s="43">
        <v>0</v>
      </c>
      <c r="E20" s="43">
        <v>0</v>
      </c>
      <c r="F20" s="43">
        <v>0</v>
      </c>
      <c r="G20" s="43">
        <v>0</v>
      </c>
      <c r="H20" s="44">
        <v>1</v>
      </c>
      <c r="I20">
        <f t="shared" si="1"/>
        <v>24.107164295175384</v>
      </c>
      <c r="J20">
        <f t="shared" si="0"/>
        <v>79.08252687300353</v>
      </c>
    </row>
    <row r="21" spans="2:10">
      <c r="B21" s="41">
        <v>41291</v>
      </c>
      <c r="C21" s="42">
        <v>27</v>
      </c>
      <c r="D21" s="43">
        <v>0</v>
      </c>
      <c r="E21" s="43">
        <v>0</v>
      </c>
      <c r="F21" s="43">
        <v>0</v>
      </c>
      <c r="G21" s="43">
        <v>0</v>
      </c>
      <c r="H21" s="44">
        <v>1</v>
      </c>
      <c r="I21">
        <f t="shared" si="1"/>
        <v>24.107164295175384</v>
      </c>
      <c r="J21">
        <f t="shared" si="0"/>
        <v>8.3684984151081352</v>
      </c>
    </row>
    <row r="22" spans="2:10">
      <c r="B22" s="41">
        <v>41292</v>
      </c>
      <c r="C22" s="42">
        <v>26</v>
      </c>
      <c r="D22" s="43">
        <v>0</v>
      </c>
      <c r="E22" s="43">
        <v>0</v>
      </c>
      <c r="F22" s="43">
        <v>0</v>
      </c>
      <c r="G22" s="43">
        <v>0</v>
      </c>
      <c r="H22" s="44">
        <v>1</v>
      </c>
      <c r="I22">
        <f t="shared" si="1"/>
        <v>24.107164295175384</v>
      </c>
      <c r="J22">
        <f t="shared" si="0"/>
        <v>3.5828270054589018</v>
      </c>
    </row>
    <row r="23" spans="2:10">
      <c r="B23" s="41">
        <v>41293</v>
      </c>
      <c r="C23" s="42">
        <v>56</v>
      </c>
      <c r="D23" s="43">
        <v>0</v>
      </c>
      <c r="E23" s="43">
        <v>0</v>
      </c>
      <c r="F23" s="43">
        <v>1</v>
      </c>
      <c r="G23" s="43">
        <v>1</v>
      </c>
      <c r="H23" s="44">
        <v>4</v>
      </c>
      <c r="I23">
        <f t="shared" si="1"/>
        <v>35.6480791153054</v>
      </c>
      <c r="J23">
        <f t="shared" si="0"/>
        <v>414.20068369686823</v>
      </c>
    </row>
    <row r="24" spans="2:10">
      <c r="B24" s="41">
        <v>41294</v>
      </c>
      <c r="C24" s="42">
        <v>43</v>
      </c>
      <c r="D24" s="43">
        <v>0</v>
      </c>
      <c r="E24" s="43">
        <v>0</v>
      </c>
      <c r="F24" s="43">
        <v>1</v>
      </c>
      <c r="G24" s="43">
        <v>0</v>
      </c>
      <c r="H24" s="44">
        <v>2</v>
      </c>
      <c r="I24">
        <f t="shared" si="1"/>
        <v>31.65538851203609</v>
      </c>
      <c r="J24">
        <f t="shared" si="0"/>
        <v>128.7002098128427</v>
      </c>
    </row>
    <row r="25" spans="2:10">
      <c r="B25" s="41">
        <v>41295</v>
      </c>
      <c r="C25" s="42">
        <v>38</v>
      </c>
      <c r="D25" s="43">
        <v>0</v>
      </c>
      <c r="E25" s="43">
        <v>0</v>
      </c>
      <c r="F25" s="43">
        <v>0</v>
      </c>
      <c r="G25" s="43">
        <v>0</v>
      </c>
      <c r="H25" s="44">
        <v>1</v>
      </c>
      <c r="I25">
        <f t="shared" si="1"/>
        <v>24.107164295175384</v>
      </c>
      <c r="J25">
        <f t="shared" si="0"/>
        <v>193.0108839212497</v>
      </c>
    </row>
    <row r="26" spans="2:10">
      <c r="B26" s="41">
        <v>41296</v>
      </c>
      <c r="C26" s="42">
        <v>21</v>
      </c>
      <c r="D26" s="43">
        <v>0</v>
      </c>
      <c r="E26" s="43">
        <v>0</v>
      </c>
      <c r="F26" s="43">
        <v>0</v>
      </c>
      <c r="G26" s="43">
        <v>0</v>
      </c>
      <c r="H26" s="44">
        <v>1</v>
      </c>
      <c r="I26">
        <f t="shared" si="1"/>
        <v>24.107164295175384</v>
      </c>
      <c r="J26">
        <f t="shared" si="0"/>
        <v>9.6544699572127399</v>
      </c>
    </row>
    <row r="27" spans="2:10">
      <c r="B27" s="41">
        <v>41297</v>
      </c>
      <c r="C27" s="42">
        <v>37</v>
      </c>
      <c r="D27" s="43">
        <v>0</v>
      </c>
      <c r="E27" s="43">
        <v>0</v>
      </c>
      <c r="F27" s="43">
        <v>0</v>
      </c>
      <c r="G27" s="43">
        <v>0</v>
      </c>
      <c r="H27" s="44">
        <v>1</v>
      </c>
      <c r="I27">
        <f t="shared" si="1"/>
        <v>24.107164295175384</v>
      </c>
      <c r="J27">
        <f t="shared" si="0"/>
        <v>166.22521251160046</v>
      </c>
    </row>
    <row r="28" spans="2:10">
      <c r="B28" s="41">
        <v>41298</v>
      </c>
      <c r="C28" s="42">
        <v>29</v>
      </c>
      <c r="D28" s="43">
        <v>0</v>
      </c>
      <c r="E28" s="43">
        <v>0</v>
      </c>
      <c r="F28" s="43">
        <v>0</v>
      </c>
      <c r="G28" s="43">
        <v>0</v>
      </c>
      <c r="H28" s="44">
        <v>1</v>
      </c>
      <c r="I28">
        <f t="shared" si="1"/>
        <v>24.107164295175384</v>
      </c>
      <c r="J28">
        <f t="shared" si="0"/>
        <v>23.9398412344066</v>
      </c>
    </row>
    <row r="29" spans="2:10">
      <c r="B29" s="41">
        <v>41299</v>
      </c>
      <c r="C29" s="42">
        <v>43</v>
      </c>
      <c r="D29" s="43">
        <v>0</v>
      </c>
      <c r="E29" s="43">
        <v>0</v>
      </c>
      <c r="F29" s="43">
        <v>1</v>
      </c>
      <c r="G29" s="43">
        <v>0</v>
      </c>
      <c r="H29" s="44">
        <v>2</v>
      </c>
      <c r="I29">
        <f t="shared" si="1"/>
        <v>31.65538851203609</v>
      </c>
      <c r="J29">
        <f t="shared" si="0"/>
        <v>128.7002098128427</v>
      </c>
    </row>
    <row r="30" spans="2:10">
      <c r="B30" s="41">
        <v>41300</v>
      </c>
      <c r="C30" s="42">
        <v>56</v>
      </c>
      <c r="D30" s="43">
        <v>0</v>
      </c>
      <c r="E30" s="43">
        <v>0</v>
      </c>
      <c r="F30" s="43">
        <v>2</v>
      </c>
      <c r="G30" s="43">
        <v>1</v>
      </c>
      <c r="H30" s="44">
        <v>6</v>
      </c>
      <c r="I30">
        <f t="shared" si="1"/>
        <v>41.85168804590819</v>
      </c>
      <c r="J30">
        <f t="shared" si="0"/>
        <v>200.17473115029719</v>
      </c>
    </row>
    <row r="31" spans="2:10">
      <c r="B31" s="41">
        <v>41301</v>
      </c>
      <c r="C31" s="42">
        <v>50</v>
      </c>
      <c r="D31" s="43">
        <v>0</v>
      </c>
      <c r="E31" s="43">
        <v>0</v>
      </c>
      <c r="F31" s="43">
        <v>1</v>
      </c>
      <c r="G31" s="43">
        <v>1</v>
      </c>
      <c r="H31" s="44">
        <v>4</v>
      </c>
      <c r="I31">
        <f t="shared" si="1"/>
        <v>35.6480791153054</v>
      </c>
      <c r="J31">
        <f t="shared" si="0"/>
        <v>205.97763308053302</v>
      </c>
    </row>
    <row r="32" spans="2:10">
      <c r="B32" s="41">
        <v>41302</v>
      </c>
      <c r="C32" s="42">
        <v>42</v>
      </c>
      <c r="D32" s="43">
        <v>0</v>
      </c>
      <c r="E32" s="43">
        <v>0</v>
      </c>
      <c r="F32" s="43">
        <v>1</v>
      </c>
      <c r="G32" s="43">
        <v>0</v>
      </c>
      <c r="H32" s="44">
        <v>2</v>
      </c>
      <c r="I32">
        <f t="shared" si="1"/>
        <v>31.65538851203609</v>
      </c>
      <c r="J32">
        <f t="shared" si="0"/>
        <v>107.0109868369149</v>
      </c>
    </row>
    <row r="33" spans="2:10">
      <c r="B33" s="41">
        <v>41303</v>
      </c>
      <c r="C33" s="42">
        <v>42</v>
      </c>
      <c r="D33" s="43">
        <v>0</v>
      </c>
      <c r="E33" s="43">
        <v>0</v>
      </c>
      <c r="F33" s="43">
        <v>1</v>
      </c>
      <c r="G33" s="43">
        <v>0</v>
      </c>
      <c r="H33" s="44">
        <v>2</v>
      </c>
      <c r="I33">
        <f t="shared" si="1"/>
        <v>31.65538851203609</v>
      </c>
      <c r="J33">
        <f t="shared" si="0"/>
        <v>107.0109868369149</v>
      </c>
    </row>
    <row r="34" spans="2:10">
      <c r="B34" s="41">
        <v>41304</v>
      </c>
      <c r="C34" s="42">
        <v>45</v>
      </c>
      <c r="D34" s="43">
        <v>0</v>
      </c>
      <c r="E34" s="43">
        <v>0</v>
      </c>
      <c r="F34" s="43">
        <v>1</v>
      </c>
      <c r="G34" s="43">
        <v>0</v>
      </c>
      <c r="H34" s="44">
        <v>2</v>
      </c>
      <c r="I34">
        <f t="shared" si="1"/>
        <v>31.65538851203609</v>
      </c>
      <c r="J34">
        <f t="shared" si="0"/>
        <v>178.07865576469834</v>
      </c>
    </row>
    <row r="35" spans="2:10">
      <c r="B35" s="41">
        <v>41305</v>
      </c>
      <c r="C35" s="42">
        <v>39</v>
      </c>
      <c r="D35" s="43">
        <v>0</v>
      </c>
      <c r="E35" s="43">
        <v>0</v>
      </c>
      <c r="F35" s="43">
        <v>2</v>
      </c>
      <c r="G35" s="43">
        <v>1</v>
      </c>
      <c r="H35" s="44">
        <v>6</v>
      </c>
      <c r="I35">
        <f t="shared" si="1"/>
        <v>41.85168804590819</v>
      </c>
      <c r="J35">
        <f t="shared" si="0"/>
        <v>8.132124711175674</v>
      </c>
    </row>
    <row r="36" spans="2:10">
      <c r="B36" s="41">
        <v>41306</v>
      </c>
      <c r="C36" s="42">
        <v>48</v>
      </c>
      <c r="D36" s="43">
        <v>0</v>
      </c>
      <c r="E36" s="43">
        <v>0</v>
      </c>
      <c r="F36" s="43">
        <v>1</v>
      </c>
      <c r="G36" s="43">
        <v>1</v>
      </c>
      <c r="H36" s="44">
        <v>4</v>
      </c>
      <c r="I36">
        <f t="shared" si="1"/>
        <v>35.6480791153054</v>
      </c>
      <c r="J36">
        <f t="shared" si="0"/>
        <v>152.56994954175462</v>
      </c>
    </row>
    <row r="37" spans="2:10">
      <c r="B37" s="41">
        <v>41307</v>
      </c>
      <c r="C37" s="42">
        <v>48</v>
      </c>
      <c r="D37" s="43">
        <v>0</v>
      </c>
      <c r="E37" s="43">
        <v>0</v>
      </c>
      <c r="F37" s="43">
        <v>2</v>
      </c>
      <c r="G37" s="43">
        <v>1</v>
      </c>
      <c r="H37" s="44">
        <v>6</v>
      </c>
      <c r="I37">
        <f t="shared" si="1"/>
        <v>41.85168804590819</v>
      </c>
      <c r="J37">
        <f t="shared" si="0"/>
        <v>37.801739884828244</v>
      </c>
    </row>
    <row r="38" spans="2:10">
      <c r="B38" s="41">
        <v>41308</v>
      </c>
      <c r="C38" s="42">
        <v>41</v>
      </c>
      <c r="D38" s="43">
        <v>0</v>
      </c>
      <c r="E38" s="43">
        <v>0</v>
      </c>
      <c r="F38" s="43">
        <v>1</v>
      </c>
      <c r="G38" s="43">
        <v>1</v>
      </c>
      <c r="H38" s="44">
        <v>4</v>
      </c>
      <c r="I38">
        <f t="shared" si="1"/>
        <v>35.6480791153054</v>
      </c>
      <c r="J38">
        <f t="shared" si="0"/>
        <v>28.643057156030231</v>
      </c>
    </row>
    <row r="39" spans="2:10">
      <c r="B39" s="41">
        <v>41309</v>
      </c>
      <c r="C39" s="42">
        <v>30</v>
      </c>
      <c r="D39" s="43">
        <v>0</v>
      </c>
      <c r="E39" s="43">
        <v>0</v>
      </c>
      <c r="F39" s="43">
        <v>1</v>
      </c>
      <c r="G39" s="43">
        <v>0</v>
      </c>
      <c r="H39" s="44">
        <v>2</v>
      </c>
      <c r="I39">
        <f t="shared" si="1"/>
        <v>31.65538851203609</v>
      </c>
      <c r="J39">
        <f t="shared" si="0"/>
        <v>2.7403111257810608</v>
      </c>
    </row>
    <row r="40" spans="2:10">
      <c r="B40" s="41">
        <v>41310</v>
      </c>
      <c r="C40" s="42">
        <v>29</v>
      </c>
      <c r="D40" s="43">
        <v>0</v>
      </c>
      <c r="E40" s="43">
        <v>0</v>
      </c>
      <c r="F40" s="43">
        <v>1</v>
      </c>
      <c r="G40" s="43">
        <v>0</v>
      </c>
      <c r="H40" s="44">
        <v>2</v>
      </c>
      <c r="I40">
        <f t="shared" si="1"/>
        <v>31.65538851203609</v>
      </c>
      <c r="J40">
        <f t="shared" si="0"/>
        <v>7.0510881498532418</v>
      </c>
    </row>
    <row r="41" spans="2:10">
      <c r="B41" s="41">
        <v>41311</v>
      </c>
      <c r="C41" s="42">
        <v>21</v>
      </c>
      <c r="D41" s="43">
        <v>0</v>
      </c>
      <c r="E41" s="43">
        <v>0</v>
      </c>
      <c r="F41" s="43">
        <v>0</v>
      </c>
      <c r="G41" s="43">
        <v>0</v>
      </c>
      <c r="H41" s="44">
        <v>1</v>
      </c>
      <c r="I41">
        <f t="shared" si="1"/>
        <v>24.107164295175384</v>
      </c>
      <c r="J41">
        <f t="shared" si="0"/>
        <v>9.6544699572127399</v>
      </c>
    </row>
    <row r="42" spans="2:10">
      <c r="B42" s="41">
        <v>41312</v>
      </c>
      <c r="C42" s="42">
        <v>25</v>
      </c>
      <c r="D42" s="43">
        <v>0</v>
      </c>
      <c r="E42" s="43">
        <v>0</v>
      </c>
      <c r="F42" s="43">
        <v>0</v>
      </c>
      <c r="G42" s="43">
        <v>0</v>
      </c>
      <c r="H42" s="44">
        <v>1</v>
      </c>
      <c r="I42">
        <f t="shared" si="1"/>
        <v>24.107164295175384</v>
      </c>
      <c r="J42">
        <f t="shared" si="0"/>
        <v>0.79715559580966933</v>
      </c>
    </row>
    <row r="43" spans="2:10">
      <c r="B43" s="41">
        <v>41313</v>
      </c>
      <c r="C43" s="42">
        <v>40</v>
      </c>
      <c r="D43" s="43">
        <v>0</v>
      </c>
      <c r="E43" s="43">
        <v>0</v>
      </c>
      <c r="F43" s="43">
        <v>1</v>
      </c>
      <c r="G43" s="43">
        <v>0</v>
      </c>
      <c r="H43" s="44">
        <v>2</v>
      </c>
      <c r="I43">
        <f t="shared" si="1"/>
        <v>31.65538851203609</v>
      </c>
      <c r="J43">
        <f t="shared" si="0"/>
        <v>69.632540885059257</v>
      </c>
    </row>
    <row r="44" spans="2:10">
      <c r="B44" s="41">
        <v>41314</v>
      </c>
      <c r="C44" s="42">
        <v>36</v>
      </c>
      <c r="D44" s="43">
        <v>0</v>
      </c>
      <c r="E44" s="43">
        <v>0</v>
      </c>
      <c r="F44" s="43">
        <v>2</v>
      </c>
      <c r="G44" s="43">
        <v>1</v>
      </c>
      <c r="H44" s="44">
        <v>6</v>
      </c>
      <c r="I44">
        <f t="shared" si="1"/>
        <v>41.85168804590819</v>
      </c>
      <c r="J44">
        <f t="shared" si="0"/>
        <v>34.242252986624813</v>
      </c>
    </row>
    <row r="45" spans="2:10">
      <c r="B45" s="41">
        <v>41315</v>
      </c>
      <c r="C45" s="42">
        <v>44</v>
      </c>
      <c r="D45" s="43">
        <v>0</v>
      </c>
      <c r="E45" s="43">
        <v>0</v>
      </c>
      <c r="F45" s="43">
        <v>2</v>
      </c>
      <c r="G45" s="43">
        <v>2</v>
      </c>
      <c r="H45" s="44">
        <v>9</v>
      </c>
      <c r="I45">
        <f t="shared" si="1"/>
        <v>44.49976336291958</v>
      </c>
      <c r="J45">
        <f t="shared" si="0"/>
        <v>0.24976341891668818</v>
      </c>
    </row>
    <row r="46" spans="2:10">
      <c r="B46" s="41">
        <v>41316</v>
      </c>
      <c r="C46" s="42">
        <v>38</v>
      </c>
      <c r="D46" s="43">
        <v>0</v>
      </c>
      <c r="E46" s="43">
        <v>0</v>
      </c>
      <c r="F46" s="43">
        <v>0</v>
      </c>
      <c r="G46" s="43">
        <v>0</v>
      </c>
      <c r="H46" s="44">
        <v>1</v>
      </c>
      <c r="I46">
        <f t="shared" si="1"/>
        <v>24.107164295175384</v>
      </c>
      <c r="J46">
        <f t="shared" si="0"/>
        <v>193.0108839212497</v>
      </c>
    </row>
    <row r="47" spans="2:10">
      <c r="B47" s="41">
        <v>41317</v>
      </c>
      <c r="C47" s="42">
        <v>43</v>
      </c>
      <c r="D47" s="43">
        <v>0</v>
      </c>
      <c r="E47" s="43">
        <v>0</v>
      </c>
      <c r="F47" s="43">
        <v>0</v>
      </c>
      <c r="G47" s="43">
        <v>0</v>
      </c>
      <c r="H47" s="44">
        <v>1</v>
      </c>
      <c r="I47">
        <f t="shared" si="1"/>
        <v>24.107164295175384</v>
      </c>
      <c r="J47">
        <f t="shared" si="0"/>
        <v>356.93924096949587</v>
      </c>
    </row>
    <row r="48" spans="2:10">
      <c r="B48" s="41">
        <v>41318</v>
      </c>
      <c r="C48" s="42">
        <v>39</v>
      </c>
      <c r="D48" s="43">
        <v>0</v>
      </c>
      <c r="E48" s="43">
        <v>0</v>
      </c>
      <c r="F48" s="43">
        <v>0</v>
      </c>
      <c r="G48" s="43">
        <v>0</v>
      </c>
      <c r="H48" s="44">
        <v>1</v>
      </c>
      <c r="I48">
        <f t="shared" si="1"/>
        <v>24.107164295175384</v>
      </c>
      <c r="J48">
        <f t="shared" si="0"/>
        <v>221.79655533089891</v>
      </c>
    </row>
    <row r="49" spans="2:10">
      <c r="B49" s="41">
        <v>41319</v>
      </c>
      <c r="C49" s="42">
        <v>43</v>
      </c>
      <c r="D49" s="43">
        <v>0</v>
      </c>
      <c r="E49" s="43">
        <v>0</v>
      </c>
      <c r="F49" s="43">
        <v>0</v>
      </c>
      <c r="G49" s="43">
        <v>0</v>
      </c>
      <c r="H49" s="44">
        <v>1</v>
      </c>
      <c r="I49">
        <f t="shared" si="1"/>
        <v>24.107164295175384</v>
      </c>
      <c r="J49">
        <f t="shared" si="0"/>
        <v>356.93924096949587</v>
      </c>
    </row>
    <row r="50" spans="2:10">
      <c r="B50" s="41">
        <v>41320</v>
      </c>
      <c r="C50" s="42">
        <v>46</v>
      </c>
      <c r="D50" s="43">
        <v>0</v>
      </c>
      <c r="E50" s="43">
        <v>0</v>
      </c>
      <c r="F50" s="43">
        <v>0</v>
      </c>
      <c r="G50" s="43">
        <v>0</v>
      </c>
      <c r="H50" s="44">
        <v>1</v>
      </c>
      <c r="I50">
        <f t="shared" si="1"/>
        <v>24.107164295175384</v>
      </c>
      <c r="J50">
        <f t="shared" si="0"/>
        <v>479.29625519844353</v>
      </c>
    </row>
    <row r="51" spans="2:10">
      <c r="B51" s="41">
        <v>41321</v>
      </c>
      <c r="C51" s="42">
        <v>52</v>
      </c>
      <c r="D51" s="43">
        <v>0</v>
      </c>
      <c r="E51" s="43">
        <v>0</v>
      </c>
      <c r="F51" s="43">
        <v>1</v>
      </c>
      <c r="G51" s="43">
        <v>1</v>
      </c>
      <c r="H51" s="44">
        <v>4</v>
      </c>
      <c r="I51">
        <f t="shared" si="1"/>
        <v>35.6480791153054</v>
      </c>
      <c r="J51">
        <f t="shared" si="0"/>
        <v>267.38531661931142</v>
      </c>
    </row>
    <row r="52" spans="2:10">
      <c r="B52" s="41">
        <v>41322</v>
      </c>
      <c r="C52" s="42">
        <v>47</v>
      </c>
      <c r="D52" s="43">
        <v>0</v>
      </c>
      <c r="E52" s="43">
        <v>0</v>
      </c>
      <c r="F52" s="43">
        <v>1</v>
      </c>
      <c r="G52" s="43">
        <v>0</v>
      </c>
      <c r="H52" s="44">
        <v>2</v>
      </c>
      <c r="I52">
        <f t="shared" si="1"/>
        <v>31.65538851203609</v>
      </c>
      <c r="J52">
        <f t="shared" si="0"/>
        <v>235.45710171655398</v>
      </c>
    </row>
    <row r="53" spans="2:10">
      <c r="B53" s="41">
        <v>41323</v>
      </c>
      <c r="C53" s="42">
        <v>41</v>
      </c>
      <c r="D53" s="43">
        <v>0</v>
      </c>
      <c r="E53" s="43">
        <v>0</v>
      </c>
      <c r="F53" s="43">
        <v>0</v>
      </c>
      <c r="G53" s="43">
        <v>0</v>
      </c>
      <c r="H53" s="44">
        <v>1</v>
      </c>
      <c r="I53">
        <f t="shared" si="1"/>
        <v>24.107164295175384</v>
      </c>
      <c r="J53">
        <f t="shared" si="0"/>
        <v>285.36789815019739</v>
      </c>
    </row>
    <row r="54" spans="2:10">
      <c r="B54" s="41">
        <v>41324</v>
      </c>
      <c r="C54" s="42">
        <v>36</v>
      </c>
      <c r="D54" s="43">
        <v>0</v>
      </c>
      <c r="E54" s="43">
        <v>0</v>
      </c>
      <c r="F54" s="43">
        <v>0</v>
      </c>
      <c r="G54" s="43">
        <v>0</v>
      </c>
      <c r="H54" s="44">
        <v>1</v>
      </c>
      <c r="I54">
        <f t="shared" si="1"/>
        <v>24.107164295175384</v>
      </c>
      <c r="J54">
        <f t="shared" si="0"/>
        <v>141.43954110195122</v>
      </c>
    </row>
    <row r="55" spans="2:10">
      <c r="B55" s="41">
        <v>41325</v>
      </c>
      <c r="C55" s="42">
        <v>43</v>
      </c>
      <c r="D55" s="43">
        <v>0</v>
      </c>
      <c r="E55" s="43">
        <v>0</v>
      </c>
      <c r="F55" s="43">
        <v>0</v>
      </c>
      <c r="G55" s="43">
        <v>0</v>
      </c>
      <c r="H55" s="44">
        <v>1</v>
      </c>
      <c r="I55">
        <f t="shared" si="1"/>
        <v>24.107164295175384</v>
      </c>
      <c r="J55">
        <f t="shared" si="0"/>
        <v>356.93924096949587</v>
      </c>
    </row>
    <row r="56" spans="2:10">
      <c r="B56" s="41">
        <v>41326</v>
      </c>
      <c r="C56" s="42">
        <v>37</v>
      </c>
      <c r="D56" s="43">
        <v>0</v>
      </c>
      <c r="E56" s="43">
        <v>0</v>
      </c>
      <c r="F56" s="43">
        <v>0</v>
      </c>
      <c r="G56" s="43">
        <v>0</v>
      </c>
      <c r="H56" s="44">
        <v>1</v>
      </c>
      <c r="I56">
        <f t="shared" si="1"/>
        <v>24.107164295175384</v>
      </c>
      <c r="J56">
        <f t="shared" si="0"/>
        <v>166.22521251160046</v>
      </c>
    </row>
    <row r="57" spans="2:10">
      <c r="B57" s="41">
        <v>41327</v>
      </c>
      <c r="C57" s="42">
        <v>52</v>
      </c>
      <c r="D57" s="43">
        <v>0</v>
      </c>
      <c r="E57" s="43">
        <v>0</v>
      </c>
      <c r="F57" s="43">
        <v>1</v>
      </c>
      <c r="G57" s="43">
        <v>1</v>
      </c>
      <c r="H57" s="44">
        <v>4</v>
      </c>
      <c r="I57">
        <f t="shared" si="1"/>
        <v>35.6480791153054</v>
      </c>
      <c r="J57">
        <f t="shared" si="0"/>
        <v>267.38531661931142</v>
      </c>
    </row>
    <row r="58" spans="2:10">
      <c r="B58" s="41">
        <v>41328</v>
      </c>
      <c r="C58" s="42">
        <v>56</v>
      </c>
      <c r="D58" s="43">
        <v>0</v>
      </c>
      <c r="E58" s="43">
        <v>0</v>
      </c>
      <c r="F58" s="43">
        <v>3</v>
      </c>
      <c r="G58" s="43">
        <v>2</v>
      </c>
      <c r="H58" s="44">
        <v>12</v>
      </c>
      <c r="I58">
        <f t="shared" si="1"/>
        <v>49.358757007264458</v>
      </c>
      <c r="J58">
        <f t="shared" si="0"/>
        <v>44.106108488558938</v>
      </c>
    </row>
    <row r="59" spans="2:10">
      <c r="B59" s="41">
        <v>41329</v>
      </c>
      <c r="C59" s="42">
        <v>58</v>
      </c>
      <c r="D59" s="43">
        <v>0</v>
      </c>
      <c r="E59" s="43">
        <v>0</v>
      </c>
      <c r="F59" s="43">
        <v>2</v>
      </c>
      <c r="G59" s="43">
        <v>1</v>
      </c>
      <c r="H59" s="44">
        <v>6</v>
      </c>
      <c r="I59">
        <f t="shared" si="1"/>
        <v>41.85168804590819</v>
      </c>
      <c r="J59">
        <f t="shared" si="0"/>
        <v>260.76797896666443</v>
      </c>
    </row>
    <row r="60" spans="2:10">
      <c r="B60" s="41">
        <v>41330</v>
      </c>
      <c r="C60" s="42">
        <v>66</v>
      </c>
      <c r="D60" s="43">
        <v>0</v>
      </c>
      <c r="E60" s="43">
        <v>0</v>
      </c>
      <c r="F60" s="43">
        <v>1</v>
      </c>
      <c r="G60" s="43">
        <v>1</v>
      </c>
      <c r="H60" s="44">
        <v>4</v>
      </c>
      <c r="I60">
        <f t="shared" si="1"/>
        <v>35.6480791153054</v>
      </c>
      <c r="J60">
        <f t="shared" si="0"/>
        <v>921.2391013907602</v>
      </c>
    </row>
    <row r="61" spans="2:10">
      <c r="B61" s="41">
        <v>41331</v>
      </c>
      <c r="C61" s="42">
        <v>61</v>
      </c>
      <c r="D61" s="43">
        <v>0</v>
      </c>
      <c r="E61" s="43">
        <v>0</v>
      </c>
      <c r="F61" s="43">
        <v>1</v>
      </c>
      <c r="G61" s="43">
        <v>1</v>
      </c>
      <c r="H61" s="44">
        <v>4</v>
      </c>
      <c r="I61">
        <f t="shared" si="1"/>
        <v>35.6480791153054</v>
      </c>
      <c r="J61">
        <f t="shared" si="0"/>
        <v>642.71989254381424</v>
      </c>
    </row>
    <row r="62" spans="2:10">
      <c r="B62" s="41">
        <v>41332</v>
      </c>
      <c r="C62" s="42">
        <v>60</v>
      </c>
      <c r="D62" s="43">
        <v>0</v>
      </c>
      <c r="E62" s="43">
        <v>0</v>
      </c>
      <c r="F62" s="43">
        <v>1</v>
      </c>
      <c r="G62" s="43">
        <v>1</v>
      </c>
      <c r="H62" s="44">
        <v>4</v>
      </c>
      <c r="I62">
        <f t="shared" si="1"/>
        <v>35.6480791153054</v>
      </c>
      <c r="J62">
        <f t="shared" si="0"/>
        <v>593.01605077442503</v>
      </c>
    </row>
    <row r="63" spans="2:10">
      <c r="B63" s="41">
        <v>41333</v>
      </c>
      <c r="C63" s="42">
        <v>66</v>
      </c>
      <c r="D63" s="43">
        <v>0</v>
      </c>
      <c r="E63" s="43">
        <v>0</v>
      </c>
      <c r="F63" s="43">
        <v>2</v>
      </c>
      <c r="G63" s="43">
        <v>1</v>
      </c>
      <c r="H63" s="44">
        <v>6</v>
      </c>
      <c r="I63">
        <f t="shared" si="1"/>
        <v>41.85168804590819</v>
      </c>
      <c r="J63">
        <f t="shared" si="0"/>
        <v>583.14097023213344</v>
      </c>
    </row>
    <row r="64" spans="2:10">
      <c r="B64" s="41">
        <v>41334</v>
      </c>
      <c r="C64" s="42">
        <v>55</v>
      </c>
      <c r="D64" s="43">
        <v>0</v>
      </c>
      <c r="E64" s="43">
        <v>0</v>
      </c>
      <c r="F64" s="43">
        <v>1</v>
      </c>
      <c r="G64" s="43">
        <v>1</v>
      </c>
      <c r="H64" s="44">
        <v>4</v>
      </c>
      <c r="I64">
        <f t="shared" si="1"/>
        <v>35.6480791153054</v>
      </c>
      <c r="J64">
        <f t="shared" si="0"/>
        <v>374.49684192747901</v>
      </c>
    </row>
    <row r="65" spans="2:10">
      <c r="B65" s="41">
        <v>41335</v>
      </c>
      <c r="C65" s="42">
        <v>58</v>
      </c>
      <c r="D65" s="43">
        <v>0</v>
      </c>
      <c r="E65" s="43">
        <v>0</v>
      </c>
      <c r="F65" s="43">
        <v>2</v>
      </c>
      <c r="G65" s="43">
        <v>1</v>
      </c>
      <c r="H65" s="44">
        <v>6</v>
      </c>
      <c r="I65">
        <f t="shared" si="1"/>
        <v>41.85168804590819</v>
      </c>
      <c r="J65">
        <f t="shared" si="0"/>
        <v>260.76797896666443</v>
      </c>
    </row>
    <row r="66" spans="2:10">
      <c r="B66" s="41">
        <v>41336</v>
      </c>
      <c r="C66" s="42">
        <v>46</v>
      </c>
      <c r="D66" s="43">
        <v>0</v>
      </c>
      <c r="E66" s="43">
        <v>0</v>
      </c>
      <c r="F66" s="43">
        <v>1</v>
      </c>
      <c r="G66" s="43">
        <v>1</v>
      </c>
      <c r="H66" s="44">
        <v>4</v>
      </c>
      <c r="I66">
        <f t="shared" si="1"/>
        <v>35.6480791153054</v>
      </c>
      <c r="J66">
        <f t="shared" si="0"/>
        <v>107.16226600297622</v>
      </c>
    </row>
    <row r="67" spans="2:10">
      <c r="B67" s="41">
        <v>41337</v>
      </c>
      <c r="C67" s="42">
        <v>50</v>
      </c>
      <c r="D67" s="43">
        <v>0</v>
      </c>
      <c r="E67" s="43">
        <v>0</v>
      </c>
      <c r="F67" s="43">
        <v>0</v>
      </c>
      <c r="G67" s="43">
        <v>0</v>
      </c>
      <c r="H67" s="44">
        <v>1</v>
      </c>
      <c r="I67">
        <f t="shared" si="1"/>
        <v>24.107164295175384</v>
      </c>
      <c r="J67">
        <f t="shared" si="0"/>
        <v>670.43894083704049</v>
      </c>
    </row>
    <row r="68" spans="2:10">
      <c r="B68" s="41">
        <v>41338</v>
      </c>
      <c r="C68" s="42">
        <v>43</v>
      </c>
      <c r="D68" s="43">
        <v>0</v>
      </c>
      <c r="E68" s="43">
        <v>0</v>
      </c>
      <c r="F68" s="43">
        <v>0</v>
      </c>
      <c r="G68" s="43">
        <v>0</v>
      </c>
      <c r="H68" s="44">
        <v>1</v>
      </c>
      <c r="I68">
        <f t="shared" si="1"/>
        <v>24.107164295175384</v>
      </c>
      <c r="J68">
        <f t="shared" si="0"/>
        <v>356.93924096949587</v>
      </c>
    </row>
    <row r="69" spans="2:10">
      <c r="B69" s="41">
        <v>41339</v>
      </c>
      <c r="C69" s="42">
        <v>34</v>
      </c>
      <c r="D69" s="43">
        <v>0</v>
      </c>
      <c r="E69" s="43">
        <v>0</v>
      </c>
      <c r="F69" s="43">
        <v>0</v>
      </c>
      <c r="G69" s="43">
        <v>0</v>
      </c>
      <c r="H69" s="44">
        <v>1</v>
      </c>
      <c r="I69">
        <f t="shared" si="1"/>
        <v>24.107164295175384</v>
      </c>
      <c r="J69">
        <f t="shared" si="0"/>
        <v>97.868198282652756</v>
      </c>
    </row>
    <row r="70" spans="2:10">
      <c r="B70" s="41">
        <v>41340</v>
      </c>
      <c r="C70" s="42">
        <v>40</v>
      </c>
      <c r="D70" s="43">
        <v>0</v>
      </c>
      <c r="E70" s="43">
        <v>0</v>
      </c>
      <c r="F70" s="43">
        <v>0</v>
      </c>
      <c r="G70" s="43">
        <v>0</v>
      </c>
      <c r="H70" s="44">
        <v>1</v>
      </c>
      <c r="I70">
        <f t="shared" si="1"/>
        <v>24.107164295175384</v>
      </c>
      <c r="J70">
        <f t="shared" ref="J70:J94" si="2">(C70-I70)^2</f>
        <v>252.58222674054815</v>
      </c>
    </row>
    <row r="71" spans="2:10">
      <c r="B71" s="41">
        <v>41341</v>
      </c>
      <c r="C71" s="42">
        <v>46</v>
      </c>
      <c r="D71" s="43">
        <v>0</v>
      </c>
      <c r="E71" s="43">
        <v>0</v>
      </c>
      <c r="F71" s="43">
        <v>0</v>
      </c>
      <c r="G71" s="43">
        <v>0</v>
      </c>
      <c r="H71" s="44">
        <v>1</v>
      </c>
      <c r="I71">
        <f t="shared" si="1"/>
        <v>24.107164295175384</v>
      </c>
      <c r="J71">
        <f t="shared" si="2"/>
        <v>479.29625519844353</v>
      </c>
    </row>
    <row r="72" spans="2:10">
      <c r="B72" s="41">
        <v>41342</v>
      </c>
      <c r="C72" s="42">
        <v>45</v>
      </c>
      <c r="D72" s="43">
        <v>0</v>
      </c>
      <c r="E72" s="43">
        <v>0</v>
      </c>
      <c r="F72" s="43">
        <v>1</v>
      </c>
      <c r="G72" s="43">
        <v>1</v>
      </c>
      <c r="H72" s="44">
        <v>4</v>
      </c>
      <c r="I72">
        <f t="shared" ref="I72:I94" si="3">$L$5+SUMPRODUCT(_xlfn.ANCHORARRAY($D$3),D72:H72)</f>
        <v>35.6480791153054</v>
      </c>
      <c r="J72">
        <f t="shared" si="2"/>
        <v>87.458424233587024</v>
      </c>
    </row>
    <row r="73" spans="2:10">
      <c r="B73" s="41">
        <v>41343</v>
      </c>
      <c r="C73" s="42">
        <v>50</v>
      </c>
      <c r="D73" s="43">
        <v>0</v>
      </c>
      <c r="E73" s="43">
        <v>0</v>
      </c>
      <c r="F73" s="43">
        <v>1</v>
      </c>
      <c r="G73" s="43">
        <v>1</v>
      </c>
      <c r="H73" s="44">
        <v>4</v>
      </c>
      <c r="I73">
        <f t="shared" si="3"/>
        <v>35.6480791153054</v>
      </c>
      <c r="J73">
        <f t="shared" si="2"/>
        <v>205.97763308053302</v>
      </c>
    </row>
    <row r="74" spans="2:10">
      <c r="B74" s="41">
        <v>41344</v>
      </c>
      <c r="C74" s="42">
        <v>50</v>
      </c>
      <c r="D74" s="43">
        <v>0</v>
      </c>
      <c r="E74" s="43">
        <v>0</v>
      </c>
      <c r="F74" s="43">
        <v>0</v>
      </c>
      <c r="G74" s="43">
        <v>0</v>
      </c>
      <c r="H74" s="44">
        <v>1</v>
      </c>
      <c r="I74">
        <f t="shared" si="3"/>
        <v>24.107164295175384</v>
      </c>
      <c r="J74">
        <f t="shared" si="2"/>
        <v>670.43894083704049</v>
      </c>
    </row>
    <row r="75" spans="2:10">
      <c r="B75" s="41">
        <v>41345</v>
      </c>
      <c r="C75" s="42">
        <v>53</v>
      </c>
      <c r="D75" s="43">
        <v>0</v>
      </c>
      <c r="E75" s="43">
        <v>0</v>
      </c>
      <c r="F75" s="43">
        <v>0</v>
      </c>
      <c r="G75" s="43">
        <v>0</v>
      </c>
      <c r="H75" s="44">
        <v>1</v>
      </c>
      <c r="I75">
        <f t="shared" si="3"/>
        <v>24.107164295175384</v>
      </c>
      <c r="J75">
        <f t="shared" si="2"/>
        <v>834.79595506598821</v>
      </c>
    </row>
    <row r="76" spans="2:10">
      <c r="B76" s="41">
        <v>41346</v>
      </c>
      <c r="C76" s="42">
        <v>49</v>
      </c>
      <c r="D76" s="43">
        <v>0</v>
      </c>
      <c r="E76" s="43">
        <v>0</v>
      </c>
      <c r="F76" s="43">
        <v>0</v>
      </c>
      <c r="G76" s="43">
        <v>0</v>
      </c>
      <c r="H76" s="44">
        <v>1</v>
      </c>
      <c r="I76">
        <f t="shared" si="3"/>
        <v>24.107164295175384</v>
      </c>
      <c r="J76">
        <f t="shared" si="2"/>
        <v>619.65326942739125</v>
      </c>
    </row>
    <row r="77" spans="2:10">
      <c r="B77" s="41">
        <v>41347</v>
      </c>
      <c r="C77" s="42">
        <v>43</v>
      </c>
      <c r="D77" s="43">
        <v>0</v>
      </c>
      <c r="E77" s="43">
        <v>0</v>
      </c>
      <c r="F77" s="43">
        <v>0</v>
      </c>
      <c r="G77" s="43">
        <v>0</v>
      </c>
      <c r="H77" s="44">
        <v>1</v>
      </c>
      <c r="I77">
        <f t="shared" si="3"/>
        <v>24.107164295175384</v>
      </c>
      <c r="J77">
        <f t="shared" si="2"/>
        <v>356.93924096949587</v>
      </c>
    </row>
    <row r="78" spans="2:10">
      <c r="B78" s="41">
        <v>41348</v>
      </c>
      <c r="C78" s="42">
        <v>73</v>
      </c>
      <c r="D78" s="43">
        <v>0</v>
      </c>
      <c r="E78" s="43">
        <v>0</v>
      </c>
      <c r="F78" s="43">
        <v>2</v>
      </c>
      <c r="G78" s="43">
        <v>1</v>
      </c>
      <c r="H78" s="44">
        <v>6</v>
      </c>
      <c r="I78">
        <f t="shared" si="3"/>
        <v>41.85168804590819</v>
      </c>
      <c r="J78">
        <f t="shared" si="2"/>
        <v>970.21733758941878</v>
      </c>
    </row>
    <row r="79" spans="2:10">
      <c r="B79" s="41">
        <v>41349</v>
      </c>
      <c r="C79" s="42">
        <v>66</v>
      </c>
      <c r="D79" s="43">
        <v>0</v>
      </c>
      <c r="E79" s="43">
        <v>0</v>
      </c>
      <c r="F79" s="43">
        <v>3</v>
      </c>
      <c r="G79" s="43">
        <v>2</v>
      </c>
      <c r="H79" s="44">
        <v>12</v>
      </c>
      <c r="I79">
        <f t="shared" si="3"/>
        <v>49.358757007264458</v>
      </c>
      <c r="J79">
        <f t="shared" si="2"/>
        <v>276.9309683432698</v>
      </c>
    </row>
    <row r="80" spans="2:10">
      <c r="B80" s="41">
        <v>41350</v>
      </c>
      <c r="C80" s="42">
        <v>59</v>
      </c>
      <c r="D80" s="43">
        <v>0</v>
      </c>
      <c r="E80" s="43">
        <v>0</v>
      </c>
      <c r="F80" s="43">
        <v>2</v>
      </c>
      <c r="G80" s="43">
        <v>2</v>
      </c>
      <c r="H80" s="44">
        <v>9</v>
      </c>
      <c r="I80">
        <f t="shared" si="3"/>
        <v>44.49976336291958</v>
      </c>
      <c r="J80">
        <f t="shared" si="2"/>
        <v>210.25686253132929</v>
      </c>
    </row>
    <row r="81" spans="2:10">
      <c r="B81" s="41">
        <v>41351</v>
      </c>
      <c r="C81" s="42">
        <v>73</v>
      </c>
      <c r="D81" s="43">
        <v>0</v>
      </c>
      <c r="E81" s="43">
        <v>0</v>
      </c>
      <c r="F81" s="43">
        <v>2</v>
      </c>
      <c r="G81" s="43">
        <v>2</v>
      </c>
      <c r="H81" s="44">
        <v>9</v>
      </c>
      <c r="I81">
        <f t="shared" si="3"/>
        <v>44.49976336291958</v>
      </c>
      <c r="J81">
        <f t="shared" si="2"/>
        <v>812.26348836958107</v>
      </c>
    </row>
    <row r="82" spans="2:10">
      <c r="B82" s="41">
        <v>41352</v>
      </c>
      <c r="C82" s="42">
        <v>68</v>
      </c>
      <c r="D82" s="43">
        <v>0</v>
      </c>
      <c r="E82" s="43">
        <v>0</v>
      </c>
      <c r="F82" s="43">
        <v>2</v>
      </c>
      <c r="G82" s="43">
        <v>2</v>
      </c>
      <c r="H82" s="44">
        <v>9</v>
      </c>
      <c r="I82">
        <f t="shared" si="3"/>
        <v>44.49976336291958</v>
      </c>
      <c r="J82">
        <f t="shared" si="2"/>
        <v>552.26112199877684</v>
      </c>
    </row>
    <row r="83" spans="2:10">
      <c r="B83" s="41">
        <v>41353</v>
      </c>
      <c r="C83" s="42">
        <v>74</v>
      </c>
      <c r="D83" s="43">
        <v>0</v>
      </c>
      <c r="E83" s="43">
        <v>0</v>
      </c>
      <c r="F83" s="43">
        <v>5</v>
      </c>
      <c r="G83" s="43">
        <v>4</v>
      </c>
      <c r="H83" s="44">
        <v>30</v>
      </c>
      <c r="I83">
        <f t="shared" si="3"/>
        <v>56.305203212429497</v>
      </c>
      <c r="J83">
        <f t="shared" si="2"/>
        <v>313.10583335341539</v>
      </c>
    </row>
    <row r="84" spans="2:10">
      <c r="B84" s="41">
        <v>41354</v>
      </c>
      <c r="C84" s="42">
        <v>71</v>
      </c>
      <c r="D84" s="43">
        <v>0</v>
      </c>
      <c r="E84" s="43">
        <v>0</v>
      </c>
      <c r="F84" s="43">
        <v>5</v>
      </c>
      <c r="G84" s="43">
        <v>4</v>
      </c>
      <c r="H84" s="44">
        <v>30</v>
      </c>
      <c r="I84">
        <f t="shared" si="3"/>
        <v>56.305203212429497</v>
      </c>
      <c r="J84">
        <f t="shared" si="2"/>
        <v>215.93705262799239</v>
      </c>
    </row>
    <row r="85" spans="2:10">
      <c r="B85" s="41">
        <v>41355</v>
      </c>
      <c r="C85" s="42">
        <v>65</v>
      </c>
      <c r="D85" s="43">
        <v>0</v>
      </c>
      <c r="E85" s="43">
        <v>0</v>
      </c>
      <c r="F85" s="43">
        <v>4</v>
      </c>
      <c r="G85" s="43">
        <v>3</v>
      </c>
      <c r="H85" s="44">
        <v>20</v>
      </c>
      <c r="I85">
        <f t="shared" si="3"/>
        <v>54.176595396104894</v>
      </c>
      <c r="J85">
        <f t="shared" si="2"/>
        <v>117.14608721961778</v>
      </c>
    </row>
    <row r="86" spans="2:10">
      <c r="B86" s="41">
        <v>41356</v>
      </c>
      <c r="C86" s="42">
        <v>60</v>
      </c>
      <c r="D86" s="43">
        <v>0</v>
      </c>
      <c r="E86" s="43">
        <v>0</v>
      </c>
      <c r="F86" s="43">
        <v>5</v>
      </c>
      <c r="G86" s="43">
        <v>4</v>
      </c>
      <c r="H86" s="44">
        <v>30</v>
      </c>
      <c r="I86">
        <f t="shared" si="3"/>
        <v>56.305203212429497</v>
      </c>
      <c r="J86">
        <f t="shared" si="2"/>
        <v>13.65152330144131</v>
      </c>
    </row>
    <row r="87" spans="2:10">
      <c r="B87" s="41">
        <v>41357</v>
      </c>
      <c r="C87" s="42">
        <v>66</v>
      </c>
      <c r="D87" s="43">
        <v>0</v>
      </c>
      <c r="E87" s="43">
        <v>0</v>
      </c>
      <c r="F87" s="43">
        <v>4</v>
      </c>
      <c r="G87" s="43">
        <v>3</v>
      </c>
      <c r="H87" s="44">
        <v>20</v>
      </c>
      <c r="I87">
        <f t="shared" si="3"/>
        <v>54.176595396104894</v>
      </c>
      <c r="J87">
        <f t="shared" si="2"/>
        <v>139.79289642740801</v>
      </c>
    </row>
    <row r="88" spans="2:10">
      <c r="B88" s="41">
        <v>41358</v>
      </c>
      <c r="C88" s="42">
        <v>76</v>
      </c>
      <c r="D88" s="43">
        <v>0</v>
      </c>
      <c r="E88" s="43">
        <v>0</v>
      </c>
      <c r="F88" s="43">
        <v>3</v>
      </c>
      <c r="G88" s="43">
        <v>3</v>
      </c>
      <c r="H88" s="44">
        <v>16</v>
      </c>
      <c r="I88">
        <f t="shared" si="3"/>
        <v>50.662217038017936</v>
      </c>
      <c r="J88">
        <f t="shared" si="2"/>
        <v>642.00324542850865</v>
      </c>
    </row>
    <row r="89" spans="2:10">
      <c r="B89" s="41">
        <v>41359</v>
      </c>
      <c r="C89" s="42">
        <v>81</v>
      </c>
      <c r="D89" s="43">
        <v>0</v>
      </c>
      <c r="E89" s="43">
        <v>0</v>
      </c>
      <c r="F89" s="43">
        <v>3</v>
      </c>
      <c r="G89" s="43">
        <v>3</v>
      </c>
      <c r="H89" s="44">
        <v>16</v>
      </c>
      <c r="I89">
        <f t="shared" si="3"/>
        <v>50.662217038017936</v>
      </c>
      <c r="J89">
        <f t="shared" si="2"/>
        <v>920.38107504832919</v>
      </c>
    </row>
    <row r="90" spans="2:10">
      <c r="B90" s="41">
        <v>41360</v>
      </c>
      <c r="C90" s="42">
        <v>74</v>
      </c>
      <c r="D90" s="43">
        <v>0</v>
      </c>
      <c r="E90" s="43">
        <v>0</v>
      </c>
      <c r="F90" s="43">
        <v>4</v>
      </c>
      <c r="G90" s="43">
        <v>3</v>
      </c>
      <c r="H90" s="44">
        <v>20</v>
      </c>
      <c r="I90">
        <f t="shared" si="3"/>
        <v>54.176595396104894</v>
      </c>
      <c r="J90">
        <f t="shared" si="2"/>
        <v>392.96737008972968</v>
      </c>
    </row>
    <row r="91" spans="2:10">
      <c r="B91" s="41">
        <v>41361</v>
      </c>
      <c r="C91" s="42">
        <v>83</v>
      </c>
      <c r="D91" s="43">
        <v>0</v>
      </c>
      <c r="E91" s="43">
        <v>0</v>
      </c>
      <c r="F91" s="43">
        <v>4</v>
      </c>
      <c r="G91" s="43">
        <v>4</v>
      </c>
      <c r="H91" s="44">
        <v>25</v>
      </c>
      <c r="I91">
        <f t="shared" si="3"/>
        <v>54.135440140600451</v>
      </c>
      <c r="J91">
        <f t="shared" si="2"/>
        <v>833.16281587685967</v>
      </c>
    </row>
    <row r="92" spans="2:10">
      <c r="B92" s="41">
        <v>41362</v>
      </c>
      <c r="C92" s="42">
        <v>71</v>
      </c>
      <c r="D92" s="43">
        <v>0</v>
      </c>
      <c r="E92" s="43">
        <v>0</v>
      </c>
      <c r="F92" s="43">
        <v>4</v>
      </c>
      <c r="G92" s="43">
        <v>4</v>
      </c>
      <c r="H92" s="44">
        <v>25</v>
      </c>
      <c r="I92">
        <f t="shared" si="3"/>
        <v>54.135440140600451</v>
      </c>
      <c r="J92">
        <f t="shared" si="2"/>
        <v>284.4133792512705</v>
      </c>
    </row>
    <row r="93" spans="2:10">
      <c r="B93" s="41">
        <v>41363</v>
      </c>
      <c r="C93" s="42">
        <v>84</v>
      </c>
      <c r="D93" s="43">
        <v>0</v>
      </c>
      <c r="E93" s="43">
        <v>0</v>
      </c>
      <c r="F93" s="43">
        <v>5</v>
      </c>
      <c r="G93" s="43">
        <v>5</v>
      </c>
      <c r="H93" s="44">
        <v>36</v>
      </c>
      <c r="I93">
        <f t="shared" si="3"/>
        <v>54.919432670667135</v>
      </c>
      <c r="J93">
        <f t="shared" si="2"/>
        <v>845.67939619586207</v>
      </c>
    </row>
    <row r="94" spans="2:10" ht="21" thickBot="1">
      <c r="B94" s="45">
        <v>41364</v>
      </c>
      <c r="C94" s="46">
        <v>69</v>
      </c>
      <c r="D94" s="47">
        <v>0</v>
      </c>
      <c r="E94" s="47">
        <v>0</v>
      </c>
      <c r="F94" s="47">
        <v>5</v>
      </c>
      <c r="G94" s="47">
        <v>4</v>
      </c>
      <c r="H94" s="48">
        <v>30</v>
      </c>
      <c r="I94">
        <f t="shared" si="3"/>
        <v>56.305203212429497</v>
      </c>
      <c r="J94">
        <f t="shared" si="2"/>
        <v>161.15786547771037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5EAF6-43ED-E044-9F18-7FA07FF64CE6}">
  <dimension ref="C6:J30"/>
  <sheetViews>
    <sheetView workbookViewId="0"/>
  </sheetViews>
  <sheetFormatPr baseColWidth="10" defaultRowHeight="20"/>
  <sheetData>
    <row r="6" spans="3:10" ht="21" thickBot="1"/>
    <row r="7" spans="3:10" ht="21" thickBot="1">
      <c r="C7" s="18" t="s">
        <v>7</v>
      </c>
      <c r="D7" s="19" t="s">
        <v>8</v>
      </c>
      <c r="E7" s="51"/>
      <c r="F7" s="52"/>
      <c r="G7" s="52"/>
      <c r="H7" s="52"/>
      <c r="I7" s="52"/>
    </row>
    <row r="8" spans="3:10">
      <c r="C8" s="20">
        <v>31</v>
      </c>
      <c r="D8" s="21">
        <v>84</v>
      </c>
    </row>
    <row r="9" spans="3:10">
      <c r="C9" s="20">
        <v>18</v>
      </c>
      <c r="D9" s="21">
        <v>59</v>
      </c>
    </row>
    <row r="10" spans="3:10">
      <c r="C10" s="20">
        <v>30</v>
      </c>
      <c r="D10" s="21">
        <v>39</v>
      </c>
    </row>
    <row r="11" spans="3:10">
      <c r="C11" s="20">
        <v>13</v>
      </c>
      <c r="D11" s="21">
        <v>65</v>
      </c>
    </row>
    <row r="12" spans="3:10">
      <c r="C12" s="20">
        <v>84</v>
      </c>
      <c r="D12" s="21">
        <v>41</v>
      </c>
    </row>
    <row r="13" spans="3:10">
      <c r="C13" s="20">
        <v>28</v>
      </c>
      <c r="D13" s="21">
        <v>71</v>
      </c>
    </row>
    <row r="14" spans="3:10">
      <c r="C14" s="20">
        <v>53</v>
      </c>
      <c r="D14" s="21">
        <v>45</v>
      </c>
    </row>
    <row r="15" spans="3:10">
      <c r="C15" s="20">
        <v>32</v>
      </c>
      <c r="D15" s="21">
        <v>87</v>
      </c>
      <c r="J15" t="s">
        <v>9</v>
      </c>
    </row>
    <row r="16" spans="3:10">
      <c r="C16" s="20">
        <v>12</v>
      </c>
      <c r="D16" s="21">
        <v>75</v>
      </c>
    </row>
    <row r="17" spans="3:4">
      <c r="C17" s="20">
        <v>90</v>
      </c>
      <c r="D17" s="21">
        <v>76</v>
      </c>
    </row>
    <row r="18" spans="3:4">
      <c r="C18" s="20">
        <v>48</v>
      </c>
      <c r="D18" s="21">
        <v>15</v>
      </c>
    </row>
    <row r="19" spans="3:4">
      <c r="C19" s="20">
        <v>57</v>
      </c>
      <c r="D19" s="21">
        <v>80</v>
      </c>
    </row>
    <row r="20" spans="3:4">
      <c r="C20" s="20">
        <v>52</v>
      </c>
      <c r="D20" s="21">
        <v>38</v>
      </c>
    </row>
    <row r="21" spans="3:4">
      <c r="C21" s="20">
        <v>57</v>
      </c>
      <c r="D21" s="21">
        <v>15</v>
      </c>
    </row>
    <row r="22" spans="3:4">
      <c r="C22" s="20">
        <v>5</v>
      </c>
      <c r="D22" s="21">
        <v>70</v>
      </c>
    </row>
    <row r="23" spans="3:4">
      <c r="C23" s="20">
        <v>73</v>
      </c>
      <c r="D23" s="21">
        <v>40</v>
      </c>
    </row>
    <row r="24" spans="3:4">
      <c r="C24" s="20">
        <v>78</v>
      </c>
      <c r="D24" s="21">
        <v>85</v>
      </c>
    </row>
    <row r="25" spans="3:4">
      <c r="C25" s="20">
        <v>97</v>
      </c>
      <c r="D25" s="21">
        <v>23</v>
      </c>
    </row>
    <row r="26" spans="3:4">
      <c r="C26" s="20">
        <v>3</v>
      </c>
      <c r="D26" s="21">
        <v>91</v>
      </c>
    </row>
    <row r="27" spans="3:4">
      <c r="C27" s="20">
        <v>99</v>
      </c>
      <c r="D27" s="21">
        <v>61</v>
      </c>
    </row>
    <row r="28" spans="3:4">
      <c r="C28" s="20">
        <v>90</v>
      </c>
      <c r="D28" s="21">
        <v>12</v>
      </c>
    </row>
    <row r="29" spans="3:4">
      <c r="C29" s="20">
        <v>72</v>
      </c>
      <c r="D29" s="21">
        <v>28</v>
      </c>
    </row>
    <row r="30" spans="3:4" ht="21" thickBot="1">
      <c r="C30" s="22">
        <v>82</v>
      </c>
      <c r="D30" s="23">
        <v>50</v>
      </c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1AACA-5B17-AD40-AFA9-87125AA33086}">
  <dimension ref="B1:Q369"/>
  <sheetViews>
    <sheetView workbookViewId="0"/>
  </sheetViews>
  <sheetFormatPr baseColWidth="10" defaultRowHeight="20"/>
  <sheetData>
    <row r="1" spans="2:17" ht="21" thickBot="1"/>
    <row r="2" spans="2:17" ht="21" thickBot="1">
      <c r="B2" s="60" t="s">
        <v>0</v>
      </c>
      <c r="C2" s="61" t="s">
        <v>1</v>
      </c>
      <c r="D2" s="61" t="s">
        <v>2</v>
      </c>
      <c r="E2" s="61" t="s">
        <v>3</v>
      </c>
      <c r="F2" s="61" t="s">
        <v>4</v>
      </c>
      <c r="G2" s="61" t="s">
        <v>5</v>
      </c>
      <c r="H2" s="61" t="s">
        <v>35</v>
      </c>
      <c r="I2" s="60" t="s">
        <v>42</v>
      </c>
      <c r="J2" s="61" t="s">
        <v>43</v>
      </c>
      <c r="K2" s="61" t="s">
        <v>44</v>
      </c>
      <c r="L2" s="61" t="s">
        <v>45</v>
      </c>
      <c r="M2" s="61" t="s">
        <v>46</v>
      </c>
      <c r="N2" s="61" t="s">
        <v>47</v>
      </c>
      <c r="O2" s="61" t="s">
        <v>48</v>
      </c>
      <c r="P2" s="61" t="s">
        <v>49</v>
      </c>
      <c r="Q2" s="62" t="s">
        <v>50</v>
      </c>
    </row>
    <row r="3" spans="2:17">
      <c r="B3" s="54">
        <v>40724</v>
      </c>
      <c r="C3" s="55">
        <v>24</v>
      </c>
      <c r="D3" s="55">
        <v>0</v>
      </c>
      <c r="E3" s="55">
        <v>0</v>
      </c>
      <c r="F3" s="55">
        <v>1</v>
      </c>
      <c r="G3" s="55">
        <v>2</v>
      </c>
      <c r="H3" s="55">
        <f>(F3+1)*(G3+1)</f>
        <v>6</v>
      </c>
      <c r="I3" s="63"/>
      <c r="J3" s="55"/>
      <c r="K3" s="55"/>
      <c r="L3" s="55"/>
      <c r="M3" s="55"/>
      <c r="N3" s="55"/>
      <c r="O3" s="55"/>
      <c r="P3" s="55"/>
      <c r="Q3" s="56"/>
    </row>
    <row r="4" spans="2:17">
      <c r="B4" s="54">
        <v>40725</v>
      </c>
      <c r="C4" s="55">
        <v>16</v>
      </c>
      <c r="D4" s="55">
        <v>0</v>
      </c>
      <c r="E4" s="55">
        <v>0</v>
      </c>
      <c r="F4" s="55">
        <v>-1</v>
      </c>
      <c r="G4" s="55">
        <v>-1</v>
      </c>
      <c r="H4" s="55">
        <f t="shared" ref="H4:H67" si="0">(F4+1)*(G4+1)</f>
        <v>0</v>
      </c>
      <c r="I4" s="63"/>
      <c r="J4" s="55"/>
      <c r="K4" s="55"/>
      <c r="L4" s="55"/>
      <c r="M4" s="55"/>
      <c r="N4" s="55"/>
      <c r="O4" s="55"/>
      <c r="P4" s="55"/>
      <c r="Q4" s="56"/>
    </row>
    <row r="5" spans="2:17">
      <c r="B5" s="54">
        <v>40726</v>
      </c>
      <c r="C5" s="55">
        <v>25</v>
      </c>
      <c r="D5" s="55">
        <v>0</v>
      </c>
      <c r="E5" s="55">
        <v>0</v>
      </c>
      <c r="F5" s="55">
        <v>2</v>
      </c>
      <c r="G5" s="55">
        <v>1</v>
      </c>
      <c r="H5" s="55">
        <f t="shared" si="0"/>
        <v>6</v>
      </c>
      <c r="I5" s="63"/>
      <c r="J5" s="55"/>
      <c r="K5" s="55"/>
      <c r="L5" s="55"/>
      <c r="M5" s="55"/>
      <c r="N5" s="55"/>
      <c r="O5" s="55"/>
      <c r="P5" s="55"/>
      <c r="Q5" s="56"/>
    </row>
    <row r="6" spans="2:17">
      <c r="B6" s="54">
        <v>40727</v>
      </c>
      <c r="C6" s="55">
        <v>17</v>
      </c>
      <c r="D6" s="55">
        <v>0</v>
      </c>
      <c r="E6" s="55">
        <v>0</v>
      </c>
      <c r="F6" s="55">
        <v>1</v>
      </c>
      <c r="G6" s="55">
        <v>1</v>
      </c>
      <c r="H6" s="55">
        <f t="shared" si="0"/>
        <v>4</v>
      </c>
      <c r="I6" s="63"/>
      <c r="J6" s="55"/>
      <c r="K6" s="55"/>
      <c r="L6" s="55"/>
      <c r="M6" s="55"/>
      <c r="N6" s="55"/>
      <c r="O6" s="55"/>
      <c r="P6" s="55"/>
      <c r="Q6" s="56"/>
    </row>
    <row r="7" spans="2:17">
      <c r="B7" s="54">
        <v>40728</v>
      </c>
      <c r="C7" s="55">
        <v>11</v>
      </c>
      <c r="D7" s="55">
        <v>0</v>
      </c>
      <c r="E7" s="55">
        <v>0</v>
      </c>
      <c r="F7" s="55">
        <v>0</v>
      </c>
      <c r="G7" s="55">
        <v>0</v>
      </c>
      <c r="H7" s="55">
        <f t="shared" si="0"/>
        <v>1</v>
      </c>
      <c r="I7" s="63"/>
      <c r="J7" s="55"/>
      <c r="K7" s="55"/>
      <c r="L7" s="55"/>
      <c r="M7" s="55"/>
      <c r="N7" s="55"/>
      <c r="O7" s="55"/>
      <c r="P7" s="55"/>
      <c r="Q7" s="56"/>
    </row>
    <row r="8" spans="2:17">
      <c r="B8" s="54">
        <v>40729</v>
      </c>
      <c r="C8" s="55">
        <v>8</v>
      </c>
      <c r="D8" s="55">
        <v>0</v>
      </c>
      <c r="E8" s="55">
        <v>0</v>
      </c>
      <c r="F8" s="55">
        <v>0</v>
      </c>
      <c r="G8" s="55">
        <v>0</v>
      </c>
      <c r="H8" s="55">
        <f t="shared" si="0"/>
        <v>1</v>
      </c>
      <c r="I8" s="63"/>
      <c r="J8" s="55"/>
      <c r="K8" s="55"/>
      <c r="L8" s="55"/>
      <c r="M8" s="55"/>
      <c r="N8" s="55"/>
      <c r="O8" s="55"/>
      <c r="P8" s="55"/>
      <c r="Q8" s="56"/>
    </row>
    <row r="9" spans="2:17">
      <c r="B9" s="54">
        <v>40730</v>
      </c>
      <c r="C9" s="55">
        <v>11</v>
      </c>
      <c r="D9" s="55">
        <v>0</v>
      </c>
      <c r="E9" s="55">
        <v>0</v>
      </c>
      <c r="F9" s="55">
        <v>0</v>
      </c>
      <c r="G9" s="55">
        <v>0</v>
      </c>
      <c r="H9" s="55">
        <f t="shared" si="0"/>
        <v>1</v>
      </c>
      <c r="I9" s="63"/>
      <c r="J9" s="55"/>
      <c r="K9" s="55"/>
      <c r="L9" s="55"/>
      <c r="M9" s="55"/>
      <c r="N9" s="55"/>
      <c r="O9" s="55"/>
      <c r="P9" s="55"/>
      <c r="Q9" s="56"/>
    </row>
    <row r="10" spans="2:17">
      <c r="B10" s="54">
        <v>40731</v>
      </c>
      <c r="C10" s="55">
        <v>10</v>
      </c>
      <c r="D10" s="55">
        <v>0</v>
      </c>
      <c r="E10" s="55">
        <v>0</v>
      </c>
      <c r="F10" s="55">
        <v>0</v>
      </c>
      <c r="G10" s="55">
        <v>0</v>
      </c>
      <c r="H10" s="55">
        <f t="shared" si="0"/>
        <v>1</v>
      </c>
      <c r="I10" s="63"/>
      <c r="J10" s="55"/>
      <c r="K10" s="55"/>
      <c r="L10" s="55"/>
      <c r="M10" s="55"/>
      <c r="N10" s="55"/>
      <c r="O10" s="55"/>
      <c r="P10" s="55"/>
      <c r="Q10" s="56"/>
    </row>
    <row r="11" spans="2:17">
      <c r="B11" s="54">
        <v>40732</v>
      </c>
      <c r="C11" s="55">
        <v>16</v>
      </c>
      <c r="D11" s="55">
        <v>0</v>
      </c>
      <c r="E11" s="55">
        <v>0</v>
      </c>
      <c r="F11" s="55">
        <v>0</v>
      </c>
      <c r="G11" s="55">
        <v>0</v>
      </c>
      <c r="H11" s="55">
        <f t="shared" si="0"/>
        <v>1</v>
      </c>
      <c r="I11" s="63"/>
      <c r="J11" s="55"/>
      <c r="K11" s="55"/>
      <c r="L11" s="55"/>
      <c r="M11" s="55"/>
      <c r="N11" s="55"/>
      <c r="O11" s="55"/>
      <c r="P11" s="55"/>
      <c r="Q11" s="56"/>
    </row>
    <row r="12" spans="2:17">
      <c r="B12" s="54">
        <v>40733</v>
      </c>
      <c r="C12" s="55">
        <v>19</v>
      </c>
      <c r="D12" s="55">
        <v>0</v>
      </c>
      <c r="E12" s="55">
        <v>0</v>
      </c>
      <c r="F12" s="55">
        <v>1</v>
      </c>
      <c r="G12" s="55">
        <v>1</v>
      </c>
      <c r="H12" s="55">
        <f t="shared" si="0"/>
        <v>4</v>
      </c>
      <c r="I12" s="63"/>
      <c r="J12" s="55"/>
      <c r="K12" s="55"/>
      <c r="L12" s="55"/>
      <c r="M12" s="55"/>
      <c r="N12" s="55"/>
      <c r="O12" s="55"/>
      <c r="P12" s="55"/>
      <c r="Q12" s="56"/>
    </row>
    <row r="13" spans="2:17">
      <c r="B13" s="54">
        <v>40734</v>
      </c>
      <c r="C13" s="55">
        <v>20</v>
      </c>
      <c r="D13" s="55">
        <v>0</v>
      </c>
      <c r="E13" s="55">
        <v>0</v>
      </c>
      <c r="F13" s="55">
        <v>1</v>
      </c>
      <c r="G13" s="55">
        <v>1</v>
      </c>
      <c r="H13" s="55">
        <f t="shared" si="0"/>
        <v>4</v>
      </c>
      <c r="I13" s="63"/>
      <c r="J13" s="55"/>
      <c r="K13" s="55"/>
      <c r="L13" s="55"/>
      <c r="M13" s="55"/>
      <c r="N13" s="55"/>
      <c r="O13" s="55"/>
      <c r="P13" s="55"/>
      <c r="Q13" s="56"/>
    </row>
    <row r="14" spans="2:17">
      <c r="B14" s="54">
        <v>40735</v>
      </c>
      <c r="C14" s="55">
        <v>17</v>
      </c>
      <c r="D14" s="55">
        <v>0</v>
      </c>
      <c r="E14" s="55">
        <v>0</v>
      </c>
      <c r="F14" s="55">
        <v>0</v>
      </c>
      <c r="G14" s="55">
        <v>0</v>
      </c>
      <c r="H14" s="55">
        <f t="shared" si="0"/>
        <v>1</v>
      </c>
      <c r="I14" s="63"/>
      <c r="J14" s="55"/>
      <c r="K14" s="55"/>
      <c r="L14" s="55"/>
      <c r="M14" s="55"/>
      <c r="N14" s="55"/>
      <c r="O14" s="55"/>
      <c r="P14" s="55"/>
      <c r="Q14" s="56"/>
    </row>
    <row r="15" spans="2:17">
      <c r="B15" s="54">
        <v>40736</v>
      </c>
      <c r="C15" s="55">
        <v>10</v>
      </c>
      <c r="D15" s="55">
        <v>0</v>
      </c>
      <c r="E15" s="55">
        <v>0</v>
      </c>
      <c r="F15" s="55">
        <v>0</v>
      </c>
      <c r="G15" s="55">
        <v>0</v>
      </c>
      <c r="H15" s="55">
        <f t="shared" si="0"/>
        <v>1</v>
      </c>
      <c r="I15" s="63"/>
      <c r="J15" s="55"/>
      <c r="K15" s="55"/>
      <c r="L15" s="55"/>
      <c r="M15" s="55"/>
      <c r="N15" s="55"/>
      <c r="O15" s="55"/>
      <c r="P15" s="55"/>
      <c r="Q15" s="56"/>
    </row>
    <row r="16" spans="2:17">
      <c r="B16" s="54">
        <v>40737</v>
      </c>
      <c r="C16" s="55">
        <v>9</v>
      </c>
      <c r="D16" s="55">
        <v>0</v>
      </c>
      <c r="E16" s="55">
        <v>0</v>
      </c>
      <c r="F16" s="55">
        <v>0</v>
      </c>
      <c r="G16" s="55">
        <v>0</v>
      </c>
      <c r="H16" s="55">
        <f t="shared" si="0"/>
        <v>1</v>
      </c>
      <c r="I16" s="63"/>
      <c r="J16" s="55"/>
      <c r="K16" s="55"/>
      <c r="L16" s="55"/>
      <c r="M16" s="55"/>
      <c r="N16" s="55"/>
      <c r="O16" s="55"/>
      <c r="P16" s="55"/>
      <c r="Q16" s="56"/>
    </row>
    <row r="17" spans="2:17">
      <c r="B17" s="54">
        <v>40738</v>
      </c>
      <c r="C17" s="55">
        <v>16</v>
      </c>
      <c r="D17" s="55">
        <v>0</v>
      </c>
      <c r="E17" s="55">
        <v>0</v>
      </c>
      <c r="F17" s="55">
        <v>0</v>
      </c>
      <c r="G17" s="55">
        <v>0</v>
      </c>
      <c r="H17" s="55">
        <f t="shared" si="0"/>
        <v>1</v>
      </c>
      <c r="I17" s="63"/>
      <c r="J17" s="55"/>
      <c r="K17" s="55"/>
      <c r="L17" s="55"/>
      <c r="M17" s="55"/>
      <c r="N17" s="55"/>
      <c r="O17" s="55"/>
      <c r="P17" s="55"/>
      <c r="Q17" s="56"/>
    </row>
    <row r="18" spans="2:17">
      <c r="B18" s="54">
        <v>40739</v>
      </c>
      <c r="C18" s="55">
        <v>19</v>
      </c>
      <c r="D18" s="55">
        <v>0</v>
      </c>
      <c r="E18" s="55">
        <v>0</v>
      </c>
      <c r="F18" s="55">
        <v>0</v>
      </c>
      <c r="G18" s="55">
        <v>0</v>
      </c>
      <c r="H18" s="55">
        <f t="shared" si="0"/>
        <v>1</v>
      </c>
      <c r="I18" s="63"/>
      <c r="J18" s="55"/>
      <c r="K18" s="55"/>
      <c r="L18" s="55"/>
      <c r="M18" s="55"/>
      <c r="N18" s="55"/>
      <c r="O18" s="55"/>
      <c r="P18" s="55"/>
      <c r="Q18" s="56"/>
    </row>
    <row r="19" spans="2:17">
      <c r="B19" s="54">
        <v>40740</v>
      </c>
      <c r="C19" s="55">
        <v>17</v>
      </c>
      <c r="D19" s="55">
        <v>0</v>
      </c>
      <c r="E19" s="55">
        <v>0</v>
      </c>
      <c r="F19" s="55">
        <v>2</v>
      </c>
      <c r="G19" s="55">
        <v>1</v>
      </c>
      <c r="H19" s="55">
        <f t="shared" si="0"/>
        <v>6</v>
      </c>
      <c r="I19" s="63"/>
      <c r="J19" s="55"/>
      <c r="K19" s="55"/>
      <c r="L19" s="55"/>
      <c r="M19" s="55"/>
      <c r="N19" s="55"/>
      <c r="O19" s="55"/>
      <c r="P19" s="55"/>
      <c r="Q19" s="56"/>
    </row>
    <row r="20" spans="2:17">
      <c r="B20" s="54">
        <v>40741</v>
      </c>
      <c r="C20" s="55">
        <v>23</v>
      </c>
      <c r="D20" s="55">
        <v>0</v>
      </c>
      <c r="E20" s="55">
        <v>0</v>
      </c>
      <c r="F20" s="55">
        <v>2</v>
      </c>
      <c r="G20" s="55">
        <v>1</v>
      </c>
      <c r="H20" s="55">
        <f t="shared" si="0"/>
        <v>6</v>
      </c>
      <c r="I20" s="63"/>
      <c r="J20" s="55"/>
      <c r="K20" s="55"/>
      <c r="L20" s="55"/>
      <c r="M20" s="55"/>
      <c r="N20" s="55"/>
      <c r="O20" s="55"/>
      <c r="P20" s="55"/>
      <c r="Q20" s="56"/>
    </row>
    <row r="21" spans="2:17">
      <c r="B21" s="54">
        <v>40742</v>
      </c>
      <c r="C21" s="55">
        <v>19</v>
      </c>
      <c r="D21" s="55">
        <v>0</v>
      </c>
      <c r="E21" s="55">
        <v>0</v>
      </c>
      <c r="F21" s="55">
        <v>1</v>
      </c>
      <c r="G21" s="55">
        <v>0</v>
      </c>
      <c r="H21" s="55">
        <f t="shared" si="0"/>
        <v>2</v>
      </c>
      <c r="I21" s="63"/>
      <c r="J21" s="55"/>
      <c r="K21" s="55"/>
      <c r="L21" s="55"/>
      <c r="M21" s="55"/>
      <c r="N21" s="55"/>
      <c r="O21" s="55"/>
      <c r="P21" s="55"/>
      <c r="Q21" s="56"/>
    </row>
    <row r="22" spans="2:17">
      <c r="B22" s="54">
        <v>40743</v>
      </c>
      <c r="C22" s="55">
        <v>13</v>
      </c>
      <c r="D22" s="55">
        <v>0</v>
      </c>
      <c r="E22" s="55">
        <v>0</v>
      </c>
      <c r="F22" s="55">
        <v>0</v>
      </c>
      <c r="G22" s="55">
        <v>0</v>
      </c>
      <c r="H22" s="55">
        <f t="shared" si="0"/>
        <v>1</v>
      </c>
      <c r="I22" s="63"/>
      <c r="J22" s="55"/>
      <c r="K22" s="55"/>
      <c r="L22" s="55"/>
      <c r="M22" s="55"/>
      <c r="N22" s="55"/>
      <c r="O22" s="55"/>
      <c r="P22" s="55"/>
      <c r="Q22" s="56"/>
    </row>
    <row r="23" spans="2:17">
      <c r="B23" s="54">
        <v>40744</v>
      </c>
      <c r="C23" s="55">
        <v>15</v>
      </c>
      <c r="D23" s="55">
        <v>0</v>
      </c>
      <c r="E23" s="55">
        <v>0</v>
      </c>
      <c r="F23" s="55">
        <v>0</v>
      </c>
      <c r="G23" s="55">
        <v>0</v>
      </c>
      <c r="H23" s="55">
        <f t="shared" si="0"/>
        <v>1</v>
      </c>
      <c r="I23" s="63"/>
      <c r="J23" s="55"/>
      <c r="K23" s="55"/>
      <c r="L23" s="55"/>
      <c r="M23" s="55"/>
      <c r="N23" s="55"/>
      <c r="O23" s="55"/>
      <c r="P23" s="55"/>
      <c r="Q23" s="56"/>
    </row>
    <row r="24" spans="2:17">
      <c r="B24" s="54">
        <v>40745</v>
      </c>
      <c r="C24" s="55">
        <v>14</v>
      </c>
      <c r="D24" s="55">
        <v>0</v>
      </c>
      <c r="E24" s="55">
        <v>0</v>
      </c>
      <c r="F24" s="55">
        <v>0</v>
      </c>
      <c r="G24" s="55">
        <v>0</v>
      </c>
      <c r="H24" s="55">
        <f t="shared" si="0"/>
        <v>1</v>
      </c>
      <c r="I24" s="63"/>
      <c r="J24" s="55"/>
      <c r="K24" s="55"/>
      <c r="L24" s="55"/>
      <c r="M24" s="55"/>
      <c r="N24" s="55"/>
      <c r="O24" s="55"/>
      <c r="P24" s="55"/>
      <c r="Q24" s="56"/>
    </row>
    <row r="25" spans="2:17">
      <c r="B25" s="54">
        <v>40746</v>
      </c>
      <c r="C25" s="55">
        <v>18</v>
      </c>
      <c r="D25" s="55">
        <v>0</v>
      </c>
      <c r="E25" s="55">
        <v>0</v>
      </c>
      <c r="F25" s="55">
        <v>1</v>
      </c>
      <c r="G25" s="55">
        <v>0</v>
      </c>
      <c r="H25" s="55">
        <f t="shared" si="0"/>
        <v>2</v>
      </c>
      <c r="I25" s="63"/>
      <c r="J25" s="55"/>
      <c r="K25" s="55"/>
      <c r="L25" s="55"/>
      <c r="M25" s="55"/>
      <c r="N25" s="55"/>
      <c r="O25" s="55"/>
      <c r="P25" s="55"/>
      <c r="Q25" s="56"/>
    </row>
    <row r="26" spans="2:17">
      <c r="B26" s="54">
        <v>40747</v>
      </c>
      <c r="C26" s="55">
        <v>22</v>
      </c>
      <c r="D26" s="55">
        <v>0</v>
      </c>
      <c r="E26" s="55">
        <v>0</v>
      </c>
      <c r="F26" s="55">
        <v>1</v>
      </c>
      <c r="G26" s="55">
        <v>1</v>
      </c>
      <c r="H26" s="55">
        <f t="shared" si="0"/>
        <v>4</v>
      </c>
      <c r="I26" s="63"/>
      <c r="J26" s="55"/>
      <c r="K26" s="55"/>
      <c r="L26" s="55"/>
      <c r="M26" s="55"/>
      <c r="N26" s="55"/>
      <c r="O26" s="55"/>
      <c r="P26" s="55"/>
      <c r="Q26" s="56"/>
    </row>
    <row r="27" spans="2:17">
      <c r="B27" s="54">
        <v>40748</v>
      </c>
      <c r="C27" s="55">
        <v>23</v>
      </c>
      <c r="D27" s="55">
        <v>0</v>
      </c>
      <c r="E27" s="55">
        <v>0</v>
      </c>
      <c r="F27" s="55">
        <v>1</v>
      </c>
      <c r="G27" s="55">
        <v>1</v>
      </c>
      <c r="H27" s="55">
        <f t="shared" si="0"/>
        <v>4</v>
      </c>
      <c r="I27" s="63"/>
      <c r="J27" s="55"/>
      <c r="K27" s="55"/>
      <c r="L27" s="55"/>
      <c r="M27" s="55"/>
      <c r="N27" s="55"/>
      <c r="O27" s="55"/>
      <c r="P27" s="55"/>
      <c r="Q27" s="56"/>
    </row>
    <row r="28" spans="2:17">
      <c r="B28" s="54">
        <v>40749</v>
      </c>
      <c r="C28" s="55">
        <v>14</v>
      </c>
      <c r="D28" s="55">
        <v>0</v>
      </c>
      <c r="E28" s="55">
        <v>0</v>
      </c>
      <c r="F28" s="55">
        <v>1</v>
      </c>
      <c r="G28" s="55">
        <v>0</v>
      </c>
      <c r="H28" s="55">
        <f t="shared" si="0"/>
        <v>2</v>
      </c>
      <c r="I28" s="63"/>
      <c r="J28" s="55"/>
      <c r="K28" s="55"/>
      <c r="L28" s="55"/>
      <c r="M28" s="55"/>
      <c r="N28" s="55"/>
      <c r="O28" s="55"/>
      <c r="P28" s="55"/>
      <c r="Q28" s="56"/>
    </row>
    <row r="29" spans="2:17">
      <c r="B29" s="54">
        <v>40750</v>
      </c>
      <c r="C29" s="55">
        <v>11</v>
      </c>
      <c r="D29" s="55">
        <v>0</v>
      </c>
      <c r="E29" s="55">
        <v>0</v>
      </c>
      <c r="F29" s="55">
        <v>1</v>
      </c>
      <c r="G29" s="55">
        <v>0</v>
      </c>
      <c r="H29" s="55">
        <f t="shared" si="0"/>
        <v>2</v>
      </c>
      <c r="I29" s="63"/>
      <c r="J29" s="55"/>
      <c r="K29" s="55"/>
      <c r="L29" s="55"/>
      <c r="M29" s="55"/>
      <c r="N29" s="55"/>
      <c r="O29" s="55"/>
      <c r="P29" s="55"/>
      <c r="Q29" s="56"/>
    </row>
    <row r="30" spans="2:17">
      <c r="B30" s="54">
        <v>40751</v>
      </c>
      <c r="C30" s="55">
        <v>14</v>
      </c>
      <c r="D30" s="55">
        <v>0</v>
      </c>
      <c r="E30" s="55">
        <v>0</v>
      </c>
      <c r="F30" s="55">
        <v>1</v>
      </c>
      <c r="G30" s="55">
        <v>0</v>
      </c>
      <c r="H30" s="55">
        <f t="shared" si="0"/>
        <v>2</v>
      </c>
      <c r="I30" s="63"/>
      <c r="J30" s="55"/>
      <c r="K30" s="55"/>
      <c r="L30" s="55"/>
      <c r="M30" s="55"/>
      <c r="N30" s="55"/>
      <c r="O30" s="55"/>
      <c r="P30" s="55"/>
      <c r="Q30" s="56"/>
    </row>
    <row r="31" spans="2:17">
      <c r="B31" s="54">
        <v>40752</v>
      </c>
      <c r="C31" s="55">
        <v>17</v>
      </c>
      <c r="D31" s="55">
        <v>0</v>
      </c>
      <c r="E31" s="55">
        <v>0</v>
      </c>
      <c r="F31" s="55">
        <v>1</v>
      </c>
      <c r="G31" s="55">
        <v>0</v>
      </c>
      <c r="H31" s="55">
        <f t="shared" si="0"/>
        <v>2</v>
      </c>
      <c r="I31" s="63"/>
      <c r="J31" s="55"/>
      <c r="K31" s="55"/>
      <c r="L31" s="55"/>
      <c r="M31" s="55"/>
      <c r="N31" s="55"/>
      <c r="O31" s="55"/>
      <c r="P31" s="55"/>
      <c r="Q31" s="56"/>
    </row>
    <row r="32" spans="2:17">
      <c r="B32" s="54">
        <v>40753</v>
      </c>
      <c r="C32" s="55">
        <v>24</v>
      </c>
      <c r="D32" s="55">
        <v>0</v>
      </c>
      <c r="E32" s="55">
        <v>0</v>
      </c>
      <c r="F32" s="55">
        <v>1</v>
      </c>
      <c r="G32" s="55">
        <v>1</v>
      </c>
      <c r="H32" s="55">
        <f t="shared" si="0"/>
        <v>4</v>
      </c>
      <c r="I32" s="63"/>
      <c r="J32" s="55"/>
      <c r="K32" s="55"/>
      <c r="L32" s="55"/>
      <c r="M32" s="55"/>
      <c r="N32" s="55"/>
      <c r="O32" s="55"/>
      <c r="P32" s="55"/>
      <c r="Q32" s="56"/>
    </row>
    <row r="33" spans="2:17">
      <c r="B33" s="54">
        <v>40754</v>
      </c>
      <c r="C33" s="55">
        <v>23</v>
      </c>
      <c r="D33" s="55">
        <v>0</v>
      </c>
      <c r="E33" s="55">
        <v>0</v>
      </c>
      <c r="F33" s="55">
        <v>2</v>
      </c>
      <c r="G33" s="55">
        <v>2</v>
      </c>
      <c r="H33" s="55">
        <f t="shared" si="0"/>
        <v>9</v>
      </c>
      <c r="I33" s="63"/>
      <c r="J33" s="55"/>
      <c r="K33" s="55"/>
      <c r="L33" s="55"/>
      <c r="M33" s="55"/>
      <c r="N33" s="55"/>
      <c r="O33" s="55"/>
      <c r="P33" s="55"/>
      <c r="Q33" s="56"/>
    </row>
    <row r="34" spans="2:17">
      <c r="B34" s="54">
        <v>40755</v>
      </c>
      <c r="C34" s="55">
        <v>31</v>
      </c>
      <c r="D34" s="55">
        <v>0</v>
      </c>
      <c r="E34" s="55">
        <v>0</v>
      </c>
      <c r="F34" s="55">
        <v>2</v>
      </c>
      <c r="G34" s="55">
        <v>1</v>
      </c>
      <c r="H34" s="55">
        <f t="shared" si="0"/>
        <v>6</v>
      </c>
      <c r="I34" s="63"/>
      <c r="J34" s="55"/>
      <c r="K34" s="55"/>
      <c r="L34" s="55"/>
      <c r="M34" s="55"/>
      <c r="N34" s="55"/>
      <c r="O34" s="55"/>
      <c r="P34" s="55"/>
      <c r="Q34" s="56"/>
    </row>
    <row r="35" spans="2:17">
      <c r="B35" s="54">
        <v>40756</v>
      </c>
      <c r="C35" s="55">
        <v>19</v>
      </c>
      <c r="D35" s="55">
        <v>0</v>
      </c>
      <c r="E35" s="55">
        <v>0</v>
      </c>
      <c r="F35" s="55">
        <v>1</v>
      </c>
      <c r="G35" s="55">
        <v>0</v>
      </c>
      <c r="H35" s="55">
        <f t="shared" si="0"/>
        <v>2</v>
      </c>
      <c r="I35" s="63"/>
      <c r="J35" s="55"/>
      <c r="K35" s="55"/>
      <c r="L35" s="55"/>
      <c r="M35" s="55"/>
      <c r="N35" s="55"/>
      <c r="O35" s="55"/>
      <c r="P35" s="55"/>
      <c r="Q35" s="56"/>
    </row>
    <row r="36" spans="2:17">
      <c r="B36" s="54">
        <v>40757</v>
      </c>
      <c r="C36" s="55">
        <v>10</v>
      </c>
      <c r="D36" s="55">
        <v>0</v>
      </c>
      <c r="E36" s="55">
        <v>0</v>
      </c>
      <c r="F36" s="55">
        <v>0</v>
      </c>
      <c r="G36" s="55">
        <v>0</v>
      </c>
      <c r="H36" s="55">
        <f t="shared" si="0"/>
        <v>1</v>
      </c>
      <c r="I36" s="63"/>
      <c r="J36" s="55"/>
      <c r="K36" s="55"/>
      <c r="L36" s="55"/>
      <c r="M36" s="55"/>
      <c r="N36" s="55"/>
      <c r="O36" s="55"/>
      <c r="P36" s="55"/>
      <c r="Q36" s="56"/>
    </row>
    <row r="37" spans="2:17">
      <c r="B37" s="54">
        <v>40758</v>
      </c>
      <c r="C37" s="55">
        <v>11</v>
      </c>
      <c r="D37" s="55">
        <v>0</v>
      </c>
      <c r="E37" s="55">
        <v>0</v>
      </c>
      <c r="F37" s="55">
        <v>0</v>
      </c>
      <c r="G37" s="55">
        <v>0</v>
      </c>
      <c r="H37" s="55">
        <f t="shared" si="0"/>
        <v>1</v>
      </c>
      <c r="I37" s="63"/>
      <c r="J37" s="55"/>
      <c r="K37" s="55"/>
      <c r="L37" s="55"/>
      <c r="M37" s="55"/>
      <c r="N37" s="55"/>
      <c r="O37" s="55"/>
      <c r="P37" s="55"/>
      <c r="Q37" s="56"/>
    </row>
    <row r="38" spans="2:17">
      <c r="B38" s="54">
        <v>40759</v>
      </c>
      <c r="C38" s="55">
        <v>12</v>
      </c>
      <c r="D38" s="55">
        <v>0</v>
      </c>
      <c r="E38" s="55">
        <v>0</v>
      </c>
      <c r="F38" s="55">
        <v>0</v>
      </c>
      <c r="G38" s="55">
        <v>0</v>
      </c>
      <c r="H38" s="55">
        <f t="shared" si="0"/>
        <v>1</v>
      </c>
      <c r="I38" s="63"/>
      <c r="J38" s="55"/>
      <c r="K38" s="55"/>
      <c r="L38" s="55"/>
      <c r="M38" s="55"/>
      <c r="N38" s="55"/>
      <c r="O38" s="55"/>
      <c r="P38" s="55"/>
      <c r="Q38" s="56"/>
    </row>
    <row r="39" spans="2:17">
      <c r="B39" s="54">
        <v>40760</v>
      </c>
      <c r="C39" s="55">
        <v>15</v>
      </c>
      <c r="D39" s="55">
        <v>0</v>
      </c>
      <c r="E39" s="55">
        <v>0</v>
      </c>
      <c r="F39" s="55">
        <v>0</v>
      </c>
      <c r="G39" s="55">
        <v>0</v>
      </c>
      <c r="H39" s="55">
        <f t="shared" si="0"/>
        <v>1</v>
      </c>
      <c r="I39" s="63"/>
      <c r="J39" s="55"/>
      <c r="K39" s="55"/>
      <c r="L39" s="55"/>
      <c r="M39" s="55"/>
      <c r="N39" s="55"/>
      <c r="O39" s="55"/>
      <c r="P39" s="55"/>
      <c r="Q39" s="56"/>
    </row>
    <row r="40" spans="2:17">
      <c r="B40" s="54">
        <v>40761</v>
      </c>
      <c r="C40" s="55">
        <v>22</v>
      </c>
      <c r="D40" s="55">
        <v>0</v>
      </c>
      <c r="E40" s="55">
        <v>0</v>
      </c>
      <c r="F40" s="55">
        <v>1</v>
      </c>
      <c r="G40" s="55">
        <v>1</v>
      </c>
      <c r="H40" s="55">
        <f t="shared" si="0"/>
        <v>4</v>
      </c>
      <c r="I40" s="63"/>
      <c r="J40" s="55"/>
      <c r="K40" s="55"/>
      <c r="L40" s="55"/>
      <c r="M40" s="55"/>
      <c r="N40" s="55"/>
      <c r="O40" s="55"/>
      <c r="P40" s="55"/>
      <c r="Q40" s="56"/>
    </row>
    <row r="41" spans="2:17">
      <c r="B41" s="54">
        <v>40762</v>
      </c>
      <c r="C41" s="55">
        <v>12</v>
      </c>
      <c r="D41" s="55">
        <v>0</v>
      </c>
      <c r="E41" s="55">
        <v>0</v>
      </c>
      <c r="F41" s="55">
        <v>1</v>
      </c>
      <c r="G41" s="55">
        <v>0</v>
      </c>
      <c r="H41" s="55">
        <f t="shared" si="0"/>
        <v>2</v>
      </c>
      <c r="I41" s="63"/>
      <c r="J41" s="55"/>
      <c r="K41" s="55"/>
      <c r="L41" s="55"/>
      <c r="M41" s="55"/>
      <c r="N41" s="55"/>
      <c r="O41" s="55"/>
      <c r="P41" s="55"/>
      <c r="Q41" s="56"/>
    </row>
    <row r="42" spans="2:17">
      <c r="B42" s="54">
        <v>40763</v>
      </c>
      <c r="C42" s="55">
        <v>15</v>
      </c>
      <c r="D42" s="55">
        <v>0</v>
      </c>
      <c r="E42" s="55">
        <v>0</v>
      </c>
      <c r="F42" s="55">
        <v>0</v>
      </c>
      <c r="G42" s="55">
        <v>0</v>
      </c>
      <c r="H42" s="55">
        <f t="shared" si="0"/>
        <v>1</v>
      </c>
      <c r="I42" s="63"/>
      <c r="J42" s="55"/>
      <c r="K42" s="55"/>
      <c r="L42" s="55"/>
      <c r="M42" s="55"/>
      <c r="N42" s="55"/>
      <c r="O42" s="55"/>
      <c r="P42" s="55"/>
      <c r="Q42" s="56"/>
    </row>
    <row r="43" spans="2:17">
      <c r="B43" s="54">
        <v>40764</v>
      </c>
      <c r="C43" s="55">
        <v>13</v>
      </c>
      <c r="D43" s="55">
        <v>0</v>
      </c>
      <c r="E43" s="55">
        <v>0</v>
      </c>
      <c r="F43" s="55">
        <v>0</v>
      </c>
      <c r="G43" s="55">
        <v>0</v>
      </c>
      <c r="H43" s="55">
        <f t="shared" si="0"/>
        <v>1</v>
      </c>
      <c r="I43" s="63"/>
      <c r="J43" s="55"/>
      <c r="K43" s="55"/>
      <c r="L43" s="55"/>
      <c r="M43" s="55"/>
      <c r="N43" s="55"/>
      <c r="O43" s="55"/>
      <c r="P43" s="55"/>
      <c r="Q43" s="56"/>
    </row>
    <row r="44" spans="2:17">
      <c r="B44" s="54">
        <v>40765</v>
      </c>
      <c r="C44" s="55">
        <v>15</v>
      </c>
      <c r="D44" s="55">
        <v>0</v>
      </c>
      <c r="E44" s="55">
        <v>0</v>
      </c>
      <c r="F44" s="55">
        <v>0</v>
      </c>
      <c r="G44" s="55">
        <v>0</v>
      </c>
      <c r="H44" s="55">
        <f t="shared" si="0"/>
        <v>1</v>
      </c>
      <c r="I44" s="63"/>
      <c r="J44" s="55"/>
      <c r="K44" s="55"/>
      <c r="L44" s="55"/>
      <c r="M44" s="55"/>
      <c r="N44" s="55"/>
      <c r="O44" s="55"/>
      <c r="P44" s="55"/>
      <c r="Q44" s="56"/>
    </row>
    <row r="45" spans="2:17">
      <c r="B45" s="54">
        <v>40766</v>
      </c>
      <c r="C45" s="55">
        <v>11</v>
      </c>
      <c r="D45" s="55">
        <v>0</v>
      </c>
      <c r="E45" s="55">
        <v>0</v>
      </c>
      <c r="F45" s="55">
        <v>0</v>
      </c>
      <c r="G45" s="55">
        <v>0</v>
      </c>
      <c r="H45" s="55">
        <f t="shared" si="0"/>
        <v>1</v>
      </c>
      <c r="I45" s="63"/>
      <c r="J45" s="55"/>
      <c r="K45" s="55"/>
      <c r="L45" s="55"/>
      <c r="M45" s="55"/>
      <c r="N45" s="55"/>
      <c r="O45" s="55"/>
      <c r="P45" s="55"/>
      <c r="Q45" s="56"/>
    </row>
    <row r="46" spans="2:17">
      <c r="B46" s="54">
        <v>40767</v>
      </c>
      <c r="C46" s="55">
        <v>16</v>
      </c>
      <c r="D46" s="55">
        <v>0</v>
      </c>
      <c r="E46" s="55">
        <v>0</v>
      </c>
      <c r="F46" s="55">
        <v>0</v>
      </c>
      <c r="G46" s="55">
        <v>0</v>
      </c>
      <c r="H46" s="55">
        <f t="shared" si="0"/>
        <v>1</v>
      </c>
      <c r="I46" s="63"/>
      <c r="J46" s="55"/>
      <c r="K46" s="55"/>
      <c r="L46" s="55"/>
      <c r="M46" s="55"/>
      <c r="N46" s="55"/>
      <c r="O46" s="55"/>
      <c r="P46" s="55"/>
      <c r="Q46" s="56"/>
    </row>
    <row r="47" spans="2:17">
      <c r="B47" s="54">
        <v>40768</v>
      </c>
      <c r="C47" s="55">
        <v>13</v>
      </c>
      <c r="D47" s="55">
        <v>0</v>
      </c>
      <c r="E47" s="55">
        <v>0</v>
      </c>
      <c r="F47" s="55">
        <v>0</v>
      </c>
      <c r="G47" s="55">
        <v>0</v>
      </c>
      <c r="H47" s="55">
        <f t="shared" si="0"/>
        <v>1</v>
      </c>
      <c r="I47" s="63"/>
      <c r="J47" s="55"/>
      <c r="K47" s="55"/>
      <c r="L47" s="55"/>
      <c r="M47" s="55"/>
      <c r="N47" s="55"/>
      <c r="O47" s="55"/>
      <c r="P47" s="55"/>
      <c r="Q47" s="56"/>
    </row>
    <row r="48" spans="2:17">
      <c r="B48" s="54">
        <v>40769</v>
      </c>
      <c r="C48" s="55">
        <v>0</v>
      </c>
      <c r="D48" s="55">
        <v>0</v>
      </c>
      <c r="E48" s="55">
        <v>0</v>
      </c>
      <c r="F48" s="55">
        <v>0</v>
      </c>
      <c r="G48" s="55">
        <v>0</v>
      </c>
      <c r="H48" s="55">
        <f t="shared" si="0"/>
        <v>1</v>
      </c>
      <c r="I48" s="63"/>
      <c r="J48" s="55"/>
      <c r="K48" s="55"/>
      <c r="L48" s="55"/>
      <c r="M48" s="55"/>
      <c r="N48" s="55"/>
      <c r="O48" s="55"/>
      <c r="P48" s="55"/>
      <c r="Q48" s="56"/>
    </row>
    <row r="49" spans="2:17">
      <c r="B49" s="54">
        <v>40770</v>
      </c>
      <c r="C49" s="55">
        <v>19</v>
      </c>
      <c r="D49" s="55">
        <v>0</v>
      </c>
      <c r="E49" s="55">
        <v>0</v>
      </c>
      <c r="F49" s="55">
        <v>0</v>
      </c>
      <c r="G49" s="55">
        <v>0</v>
      </c>
      <c r="H49" s="55">
        <f t="shared" si="0"/>
        <v>1</v>
      </c>
      <c r="I49" s="63"/>
      <c r="J49" s="55"/>
      <c r="K49" s="55"/>
      <c r="L49" s="55"/>
      <c r="M49" s="55"/>
      <c r="N49" s="55"/>
      <c r="O49" s="55"/>
      <c r="P49" s="55"/>
      <c r="Q49" s="56"/>
    </row>
    <row r="50" spans="2:17">
      <c r="B50" s="54">
        <v>40771</v>
      </c>
      <c r="C50" s="55">
        <v>17</v>
      </c>
      <c r="D50" s="55">
        <v>0</v>
      </c>
      <c r="E50" s="55">
        <v>0</v>
      </c>
      <c r="F50" s="55">
        <v>0</v>
      </c>
      <c r="G50" s="55">
        <v>0</v>
      </c>
      <c r="H50" s="55">
        <f t="shared" si="0"/>
        <v>1</v>
      </c>
      <c r="I50" s="63"/>
      <c r="J50" s="55"/>
      <c r="K50" s="55"/>
      <c r="L50" s="55"/>
      <c r="M50" s="55"/>
      <c r="N50" s="55"/>
      <c r="O50" s="55"/>
      <c r="P50" s="55"/>
      <c r="Q50" s="56"/>
    </row>
    <row r="51" spans="2:17">
      <c r="B51" s="54">
        <v>40772</v>
      </c>
      <c r="C51" s="55">
        <v>5</v>
      </c>
      <c r="D51" s="55">
        <v>0</v>
      </c>
      <c r="E51" s="55">
        <v>0</v>
      </c>
      <c r="F51" s="55">
        <v>0</v>
      </c>
      <c r="G51" s="55">
        <v>0</v>
      </c>
      <c r="H51" s="55">
        <f t="shared" si="0"/>
        <v>1</v>
      </c>
      <c r="I51" s="63"/>
      <c r="J51" s="55"/>
      <c r="K51" s="55"/>
      <c r="L51" s="55"/>
      <c r="M51" s="55"/>
      <c r="N51" s="55"/>
      <c r="O51" s="55"/>
      <c r="P51" s="55"/>
      <c r="Q51" s="56"/>
    </row>
    <row r="52" spans="2:17">
      <c r="B52" s="54">
        <v>40773</v>
      </c>
      <c r="C52" s="55">
        <v>11</v>
      </c>
      <c r="D52" s="55">
        <v>0</v>
      </c>
      <c r="E52" s="55">
        <v>0</v>
      </c>
      <c r="F52" s="55">
        <v>0</v>
      </c>
      <c r="G52" s="55">
        <v>0</v>
      </c>
      <c r="H52" s="55">
        <f t="shared" si="0"/>
        <v>1</v>
      </c>
      <c r="I52" s="63"/>
      <c r="J52" s="55"/>
      <c r="K52" s="55"/>
      <c r="L52" s="55"/>
      <c r="M52" s="55"/>
      <c r="N52" s="55"/>
      <c r="O52" s="55"/>
      <c r="P52" s="55"/>
      <c r="Q52" s="56"/>
    </row>
    <row r="53" spans="2:17">
      <c r="B53" s="54">
        <v>40774</v>
      </c>
      <c r="C53" s="55">
        <v>16</v>
      </c>
      <c r="D53" s="55">
        <v>0</v>
      </c>
      <c r="E53" s="55">
        <v>0</v>
      </c>
      <c r="F53" s="55">
        <v>0</v>
      </c>
      <c r="G53" s="55">
        <v>0</v>
      </c>
      <c r="H53" s="55">
        <f t="shared" si="0"/>
        <v>1</v>
      </c>
      <c r="I53" s="63"/>
      <c r="J53" s="55"/>
      <c r="K53" s="55"/>
      <c r="L53" s="55"/>
      <c r="M53" s="55"/>
      <c r="N53" s="55"/>
      <c r="O53" s="55"/>
      <c r="P53" s="55"/>
      <c r="Q53" s="56"/>
    </row>
    <row r="54" spans="2:17">
      <c r="B54" s="54">
        <v>40775</v>
      </c>
      <c r="C54" s="55">
        <v>16</v>
      </c>
      <c r="D54" s="55">
        <v>0</v>
      </c>
      <c r="E54" s="55">
        <v>0</v>
      </c>
      <c r="F54" s="55">
        <v>1</v>
      </c>
      <c r="G54" s="55">
        <v>1</v>
      </c>
      <c r="H54" s="55">
        <f t="shared" si="0"/>
        <v>4</v>
      </c>
      <c r="I54" s="63"/>
      <c r="J54" s="55"/>
      <c r="K54" s="55"/>
      <c r="L54" s="55"/>
      <c r="M54" s="55"/>
      <c r="N54" s="55"/>
      <c r="O54" s="55"/>
      <c r="P54" s="55"/>
      <c r="Q54" s="56"/>
    </row>
    <row r="55" spans="2:17">
      <c r="B55" s="54">
        <v>40776</v>
      </c>
      <c r="C55" s="55">
        <v>13</v>
      </c>
      <c r="D55" s="55">
        <v>0</v>
      </c>
      <c r="E55" s="55">
        <v>0</v>
      </c>
      <c r="F55" s="55">
        <v>1</v>
      </c>
      <c r="G55" s="55">
        <v>0</v>
      </c>
      <c r="H55" s="55">
        <f t="shared" si="0"/>
        <v>2</v>
      </c>
      <c r="I55" s="63"/>
      <c r="J55" s="55"/>
      <c r="K55" s="55"/>
      <c r="L55" s="55"/>
      <c r="M55" s="55"/>
      <c r="N55" s="55"/>
      <c r="O55" s="55"/>
      <c r="P55" s="55"/>
      <c r="Q55" s="56"/>
    </row>
    <row r="56" spans="2:17">
      <c r="B56" s="54">
        <v>40777</v>
      </c>
      <c r="C56" s="55">
        <v>13</v>
      </c>
      <c r="D56" s="55">
        <v>0</v>
      </c>
      <c r="E56" s="55">
        <v>0</v>
      </c>
      <c r="F56" s="55">
        <v>0</v>
      </c>
      <c r="G56" s="55">
        <v>0</v>
      </c>
      <c r="H56" s="55">
        <f t="shared" si="0"/>
        <v>1</v>
      </c>
      <c r="I56" s="63"/>
      <c r="J56" s="55"/>
      <c r="K56" s="55"/>
      <c r="L56" s="55"/>
      <c r="M56" s="55"/>
      <c r="N56" s="55"/>
      <c r="O56" s="55"/>
      <c r="P56" s="55"/>
      <c r="Q56" s="56"/>
    </row>
    <row r="57" spans="2:17">
      <c r="B57" s="54">
        <v>40778</v>
      </c>
      <c r="C57" s="55">
        <v>13</v>
      </c>
      <c r="D57" s="55">
        <v>0</v>
      </c>
      <c r="E57" s="55">
        <v>0</v>
      </c>
      <c r="F57" s="55">
        <v>0</v>
      </c>
      <c r="G57" s="55">
        <v>0</v>
      </c>
      <c r="H57" s="55">
        <f t="shared" si="0"/>
        <v>1</v>
      </c>
      <c r="I57" s="63"/>
      <c r="J57" s="55"/>
      <c r="K57" s="55"/>
      <c r="L57" s="55"/>
      <c r="M57" s="55"/>
      <c r="N57" s="55"/>
      <c r="O57" s="55"/>
      <c r="P57" s="55"/>
      <c r="Q57" s="56"/>
    </row>
    <row r="58" spans="2:17">
      <c r="B58" s="54">
        <v>40779</v>
      </c>
      <c r="C58" s="55">
        <v>8</v>
      </c>
      <c r="D58" s="55">
        <v>0</v>
      </c>
      <c r="E58" s="55">
        <v>0</v>
      </c>
      <c r="F58" s="55">
        <v>0</v>
      </c>
      <c r="G58" s="55">
        <v>0</v>
      </c>
      <c r="H58" s="55">
        <f t="shared" si="0"/>
        <v>1</v>
      </c>
      <c r="I58" s="63"/>
      <c r="J58" s="55"/>
      <c r="K58" s="55"/>
      <c r="L58" s="55"/>
      <c r="M58" s="55"/>
      <c r="N58" s="55"/>
      <c r="O58" s="55"/>
      <c r="P58" s="55"/>
      <c r="Q58" s="56"/>
    </row>
    <row r="59" spans="2:17">
      <c r="B59" s="54">
        <v>40780</v>
      </c>
      <c r="C59" s="55">
        <v>9</v>
      </c>
      <c r="D59" s="55">
        <v>0</v>
      </c>
      <c r="E59" s="55">
        <v>0</v>
      </c>
      <c r="F59" s="55">
        <v>0</v>
      </c>
      <c r="G59" s="55">
        <v>0</v>
      </c>
      <c r="H59" s="55">
        <f t="shared" si="0"/>
        <v>1</v>
      </c>
      <c r="I59" s="63"/>
      <c r="J59" s="55"/>
      <c r="K59" s="55"/>
      <c r="L59" s="55"/>
      <c r="M59" s="55"/>
      <c r="N59" s="55"/>
      <c r="O59" s="55"/>
      <c r="P59" s="55"/>
      <c r="Q59" s="56"/>
    </row>
    <row r="60" spans="2:17">
      <c r="B60" s="54">
        <v>40781</v>
      </c>
      <c r="C60" s="55">
        <v>22</v>
      </c>
      <c r="D60" s="55">
        <v>0</v>
      </c>
      <c r="E60" s="55">
        <v>0</v>
      </c>
      <c r="F60" s="55">
        <v>0</v>
      </c>
      <c r="G60" s="55">
        <v>0</v>
      </c>
      <c r="H60" s="55">
        <f t="shared" si="0"/>
        <v>1</v>
      </c>
      <c r="I60" s="63"/>
      <c r="J60" s="55"/>
      <c r="K60" s="55"/>
      <c r="L60" s="55"/>
      <c r="M60" s="55"/>
      <c r="N60" s="55"/>
      <c r="O60" s="55"/>
      <c r="P60" s="55"/>
      <c r="Q60" s="56"/>
    </row>
    <row r="61" spans="2:17">
      <c r="B61" s="54">
        <v>40782</v>
      </c>
      <c r="C61" s="55">
        <v>23</v>
      </c>
      <c r="D61" s="55">
        <v>0</v>
      </c>
      <c r="E61" s="55">
        <v>0</v>
      </c>
      <c r="F61" s="55">
        <v>1</v>
      </c>
      <c r="G61" s="55">
        <v>1</v>
      </c>
      <c r="H61" s="55">
        <f t="shared" si="0"/>
        <v>4</v>
      </c>
      <c r="I61" s="63"/>
      <c r="J61" s="55"/>
      <c r="K61" s="55"/>
      <c r="L61" s="55"/>
      <c r="M61" s="55"/>
      <c r="N61" s="55"/>
      <c r="O61" s="55"/>
      <c r="P61" s="55"/>
      <c r="Q61" s="56"/>
    </row>
    <row r="62" spans="2:17">
      <c r="B62" s="54">
        <v>40783</v>
      </c>
      <c r="C62" s="55">
        <v>25</v>
      </c>
      <c r="D62" s="55">
        <v>0</v>
      </c>
      <c r="E62" s="55">
        <v>0</v>
      </c>
      <c r="F62" s="55">
        <v>1</v>
      </c>
      <c r="G62" s="55">
        <v>1</v>
      </c>
      <c r="H62" s="55">
        <f t="shared" si="0"/>
        <v>4</v>
      </c>
      <c r="I62" s="63"/>
      <c r="J62" s="55"/>
      <c r="K62" s="55"/>
      <c r="L62" s="55"/>
      <c r="M62" s="55"/>
      <c r="N62" s="55"/>
      <c r="O62" s="55"/>
      <c r="P62" s="55"/>
      <c r="Q62" s="56"/>
    </row>
    <row r="63" spans="2:17">
      <c r="B63" s="54">
        <v>40784</v>
      </c>
      <c r="C63" s="55">
        <v>24</v>
      </c>
      <c r="D63" s="55">
        <v>0</v>
      </c>
      <c r="E63" s="55">
        <v>0</v>
      </c>
      <c r="F63" s="55">
        <v>0</v>
      </c>
      <c r="G63" s="55">
        <v>0</v>
      </c>
      <c r="H63" s="55">
        <f t="shared" si="0"/>
        <v>1</v>
      </c>
      <c r="I63" s="63"/>
      <c r="J63" s="55"/>
      <c r="K63" s="55"/>
      <c r="L63" s="55"/>
      <c r="M63" s="55"/>
      <c r="N63" s="55"/>
      <c r="O63" s="55"/>
      <c r="P63" s="55"/>
      <c r="Q63" s="56"/>
    </row>
    <row r="64" spans="2:17">
      <c r="B64" s="54">
        <v>40785</v>
      </c>
      <c r="C64" s="55">
        <v>21</v>
      </c>
      <c r="D64" s="55">
        <v>0</v>
      </c>
      <c r="E64" s="55">
        <v>0</v>
      </c>
      <c r="F64" s="55">
        <v>0</v>
      </c>
      <c r="G64" s="55">
        <v>0</v>
      </c>
      <c r="H64" s="55">
        <f t="shared" si="0"/>
        <v>1</v>
      </c>
      <c r="I64" s="63"/>
      <c r="J64" s="55"/>
      <c r="K64" s="55"/>
      <c r="L64" s="55"/>
      <c r="M64" s="55"/>
      <c r="N64" s="55"/>
      <c r="O64" s="55"/>
      <c r="P64" s="55"/>
      <c r="Q64" s="56"/>
    </row>
    <row r="65" spans="2:17">
      <c r="B65" s="54">
        <v>40786</v>
      </c>
      <c r="C65" s="55">
        <v>21</v>
      </c>
      <c r="D65" s="55">
        <v>0</v>
      </c>
      <c r="E65" s="55">
        <v>0</v>
      </c>
      <c r="F65" s="55">
        <v>1</v>
      </c>
      <c r="G65" s="55">
        <v>1</v>
      </c>
      <c r="H65" s="55">
        <f t="shared" si="0"/>
        <v>4</v>
      </c>
      <c r="I65" s="63"/>
      <c r="J65" s="55"/>
      <c r="K65" s="55"/>
      <c r="L65" s="55"/>
      <c r="M65" s="55"/>
      <c r="N65" s="55"/>
      <c r="O65" s="55"/>
      <c r="P65" s="55"/>
      <c r="Q65" s="56"/>
    </row>
    <row r="66" spans="2:17">
      <c r="B66" s="54">
        <v>40787</v>
      </c>
      <c r="C66" s="55">
        <v>14</v>
      </c>
      <c r="D66" s="55">
        <v>0</v>
      </c>
      <c r="E66" s="55">
        <v>0</v>
      </c>
      <c r="F66" s="55">
        <v>1</v>
      </c>
      <c r="G66" s="55">
        <v>1</v>
      </c>
      <c r="H66" s="55">
        <f t="shared" si="0"/>
        <v>4</v>
      </c>
      <c r="I66" s="63"/>
      <c r="J66" s="55"/>
      <c r="K66" s="55"/>
      <c r="L66" s="55"/>
      <c r="M66" s="55"/>
      <c r="N66" s="55"/>
      <c r="O66" s="55"/>
      <c r="P66" s="55"/>
      <c r="Q66" s="56"/>
    </row>
    <row r="67" spans="2:17">
      <c r="B67" s="54">
        <v>40788</v>
      </c>
      <c r="C67" s="55">
        <v>6</v>
      </c>
      <c r="D67" s="55">
        <v>0</v>
      </c>
      <c r="E67" s="55">
        <v>0</v>
      </c>
      <c r="F67" s="55">
        <v>1</v>
      </c>
      <c r="G67" s="55">
        <v>1</v>
      </c>
      <c r="H67" s="55">
        <f t="shared" si="0"/>
        <v>4</v>
      </c>
      <c r="I67" s="63"/>
      <c r="J67" s="55"/>
      <c r="K67" s="55"/>
      <c r="L67" s="55"/>
      <c r="M67" s="55"/>
      <c r="N67" s="55"/>
      <c r="O67" s="55"/>
      <c r="P67" s="55"/>
      <c r="Q67" s="56"/>
    </row>
    <row r="68" spans="2:17">
      <c r="B68" s="54">
        <v>40789</v>
      </c>
      <c r="C68" s="55">
        <v>14</v>
      </c>
      <c r="D68" s="55">
        <v>0</v>
      </c>
      <c r="E68" s="55">
        <v>0</v>
      </c>
      <c r="F68" s="55">
        <v>2</v>
      </c>
      <c r="G68" s="55">
        <v>1</v>
      </c>
      <c r="H68" s="55">
        <f t="shared" ref="H68:H131" si="1">(F68+1)*(G68+1)</f>
        <v>6</v>
      </c>
      <c r="I68" s="63"/>
      <c r="J68" s="55"/>
      <c r="K68" s="55"/>
      <c r="L68" s="55"/>
      <c r="M68" s="55"/>
      <c r="N68" s="55"/>
      <c r="O68" s="55"/>
      <c r="P68" s="55"/>
      <c r="Q68" s="56"/>
    </row>
    <row r="69" spans="2:17">
      <c r="B69" s="54">
        <v>40790</v>
      </c>
      <c r="C69" s="55">
        <v>11</v>
      </c>
      <c r="D69" s="55">
        <v>0</v>
      </c>
      <c r="E69" s="55">
        <v>0</v>
      </c>
      <c r="F69" s="55">
        <v>1</v>
      </c>
      <c r="G69" s="55">
        <v>1</v>
      </c>
      <c r="H69" s="55">
        <f t="shared" si="1"/>
        <v>4</v>
      </c>
      <c r="I69" s="63"/>
      <c r="J69" s="55"/>
      <c r="K69" s="55"/>
      <c r="L69" s="55"/>
      <c r="M69" s="55"/>
      <c r="N69" s="55"/>
      <c r="O69" s="55"/>
      <c r="P69" s="55"/>
      <c r="Q69" s="56"/>
    </row>
    <row r="70" spans="2:17">
      <c r="B70" s="54">
        <v>40791</v>
      </c>
      <c r="C70" s="55">
        <v>9</v>
      </c>
      <c r="D70" s="55">
        <v>0</v>
      </c>
      <c r="E70" s="55">
        <v>0</v>
      </c>
      <c r="F70" s="55">
        <v>0</v>
      </c>
      <c r="G70" s="55">
        <v>0</v>
      </c>
      <c r="H70" s="55">
        <f t="shared" si="1"/>
        <v>1</v>
      </c>
      <c r="I70" s="63"/>
      <c r="J70" s="55"/>
      <c r="K70" s="55"/>
      <c r="L70" s="55"/>
      <c r="M70" s="55"/>
      <c r="N70" s="55"/>
      <c r="O70" s="55"/>
      <c r="P70" s="55"/>
      <c r="Q70" s="56"/>
    </row>
    <row r="71" spans="2:17">
      <c r="B71" s="54">
        <v>40792</v>
      </c>
      <c r="C71" s="55">
        <v>10</v>
      </c>
      <c r="D71" s="55">
        <v>0</v>
      </c>
      <c r="E71" s="55">
        <v>0</v>
      </c>
      <c r="F71" s="55">
        <v>0</v>
      </c>
      <c r="G71" s="55">
        <v>0</v>
      </c>
      <c r="H71" s="55">
        <f t="shared" si="1"/>
        <v>1</v>
      </c>
      <c r="I71" s="63"/>
      <c r="J71" s="55"/>
      <c r="K71" s="55"/>
      <c r="L71" s="55"/>
      <c r="M71" s="55"/>
      <c r="N71" s="55"/>
      <c r="O71" s="55"/>
      <c r="P71" s="55"/>
      <c r="Q71" s="56"/>
    </row>
    <row r="72" spans="2:17">
      <c r="B72" s="54">
        <v>40793</v>
      </c>
      <c r="C72" s="55">
        <v>6</v>
      </c>
      <c r="D72" s="55">
        <v>0</v>
      </c>
      <c r="E72" s="55">
        <v>0</v>
      </c>
      <c r="F72" s="55">
        <v>0</v>
      </c>
      <c r="G72" s="55">
        <v>0</v>
      </c>
      <c r="H72" s="55">
        <f t="shared" si="1"/>
        <v>1</v>
      </c>
      <c r="I72" s="63"/>
      <c r="J72" s="55"/>
      <c r="K72" s="55"/>
      <c r="L72" s="55"/>
      <c r="M72" s="55"/>
      <c r="N72" s="55"/>
      <c r="O72" s="55"/>
      <c r="P72" s="55"/>
      <c r="Q72" s="56"/>
    </row>
    <row r="73" spans="2:17">
      <c r="B73" s="54">
        <v>40794</v>
      </c>
      <c r="C73" s="55">
        <v>10</v>
      </c>
      <c r="D73" s="55">
        <v>0</v>
      </c>
      <c r="E73" s="55">
        <v>0</v>
      </c>
      <c r="F73" s="55">
        <v>0</v>
      </c>
      <c r="G73" s="55">
        <v>0</v>
      </c>
      <c r="H73" s="55">
        <f t="shared" si="1"/>
        <v>1</v>
      </c>
      <c r="I73" s="63"/>
      <c r="J73" s="55"/>
      <c r="K73" s="55"/>
      <c r="L73" s="55"/>
      <c r="M73" s="55"/>
      <c r="N73" s="55"/>
      <c r="O73" s="55"/>
      <c r="P73" s="55"/>
      <c r="Q73" s="56"/>
    </row>
    <row r="74" spans="2:17">
      <c r="B74" s="54">
        <v>40795</v>
      </c>
      <c r="C74" s="55">
        <v>7</v>
      </c>
      <c r="D74" s="55">
        <v>0</v>
      </c>
      <c r="E74" s="55">
        <v>0</v>
      </c>
      <c r="F74" s="55">
        <v>0</v>
      </c>
      <c r="G74" s="55">
        <v>0</v>
      </c>
      <c r="H74" s="55">
        <f t="shared" si="1"/>
        <v>1</v>
      </c>
      <c r="I74" s="63"/>
      <c r="J74" s="55"/>
      <c r="K74" s="55"/>
      <c r="L74" s="55"/>
      <c r="M74" s="55"/>
      <c r="N74" s="55"/>
      <c r="O74" s="55"/>
      <c r="P74" s="55"/>
      <c r="Q74" s="56"/>
    </row>
    <row r="75" spans="2:17">
      <c r="B75" s="54">
        <v>40796</v>
      </c>
      <c r="C75" s="55">
        <v>15</v>
      </c>
      <c r="D75" s="55">
        <v>0</v>
      </c>
      <c r="E75" s="55">
        <v>0</v>
      </c>
      <c r="F75" s="55">
        <v>1</v>
      </c>
      <c r="G75" s="55">
        <v>1</v>
      </c>
      <c r="H75" s="55">
        <f t="shared" si="1"/>
        <v>4</v>
      </c>
      <c r="I75" s="63"/>
      <c r="J75" s="55"/>
      <c r="K75" s="55"/>
      <c r="L75" s="55"/>
      <c r="M75" s="55"/>
      <c r="N75" s="55"/>
      <c r="O75" s="55"/>
      <c r="P75" s="55"/>
      <c r="Q75" s="56"/>
    </row>
    <row r="76" spans="2:17">
      <c r="B76" s="54">
        <v>40797</v>
      </c>
      <c r="C76" s="55">
        <v>13</v>
      </c>
      <c r="D76" s="55">
        <v>0</v>
      </c>
      <c r="E76" s="55">
        <v>0</v>
      </c>
      <c r="F76" s="55">
        <v>1</v>
      </c>
      <c r="G76" s="55">
        <v>0</v>
      </c>
      <c r="H76" s="55">
        <f t="shared" si="1"/>
        <v>2</v>
      </c>
      <c r="I76" s="63"/>
      <c r="J76" s="55"/>
      <c r="K76" s="55"/>
      <c r="L76" s="55"/>
      <c r="M76" s="55"/>
      <c r="N76" s="55"/>
      <c r="O76" s="55"/>
      <c r="P76" s="55"/>
      <c r="Q76" s="56"/>
    </row>
    <row r="77" spans="2:17">
      <c r="B77" s="54">
        <v>40798</v>
      </c>
      <c r="C77" s="55">
        <v>14</v>
      </c>
      <c r="D77" s="55">
        <v>0</v>
      </c>
      <c r="E77" s="55">
        <v>0</v>
      </c>
      <c r="F77" s="55">
        <v>0</v>
      </c>
      <c r="G77" s="55">
        <v>0</v>
      </c>
      <c r="H77" s="55">
        <f t="shared" si="1"/>
        <v>1</v>
      </c>
      <c r="I77" s="63"/>
      <c r="J77" s="55"/>
      <c r="K77" s="55"/>
      <c r="L77" s="55"/>
      <c r="M77" s="55"/>
      <c r="N77" s="55"/>
      <c r="O77" s="55"/>
      <c r="P77" s="55"/>
      <c r="Q77" s="56"/>
    </row>
    <row r="78" spans="2:17">
      <c r="B78" s="54">
        <v>40799</v>
      </c>
      <c r="C78" s="55">
        <v>16</v>
      </c>
      <c r="D78" s="55">
        <v>0</v>
      </c>
      <c r="E78" s="55">
        <v>0</v>
      </c>
      <c r="F78" s="55">
        <v>0</v>
      </c>
      <c r="G78" s="55">
        <v>0</v>
      </c>
      <c r="H78" s="55">
        <f t="shared" si="1"/>
        <v>1</v>
      </c>
      <c r="I78" s="63"/>
      <c r="J78" s="55"/>
      <c r="K78" s="55"/>
      <c r="L78" s="55"/>
      <c r="M78" s="55"/>
      <c r="N78" s="55"/>
      <c r="O78" s="55"/>
      <c r="P78" s="55"/>
      <c r="Q78" s="56"/>
    </row>
    <row r="79" spans="2:17">
      <c r="B79" s="54">
        <v>40800</v>
      </c>
      <c r="C79" s="55">
        <v>10</v>
      </c>
      <c r="D79" s="55">
        <v>0</v>
      </c>
      <c r="E79" s="55">
        <v>0</v>
      </c>
      <c r="F79" s="55">
        <v>0</v>
      </c>
      <c r="G79" s="55">
        <v>0</v>
      </c>
      <c r="H79" s="55">
        <f t="shared" si="1"/>
        <v>1</v>
      </c>
      <c r="I79" s="63"/>
      <c r="J79" s="55"/>
      <c r="K79" s="55"/>
      <c r="L79" s="55"/>
      <c r="M79" s="55"/>
      <c r="N79" s="55"/>
      <c r="O79" s="55"/>
      <c r="P79" s="55"/>
      <c r="Q79" s="56"/>
    </row>
    <row r="80" spans="2:17">
      <c r="B80" s="54">
        <v>40801</v>
      </c>
      <c r="C80" s="55">
        <v>11</v>
      </c>
      <c r="D80" s="55">
        <v>0</v>
      </c>
      <c r="E80" s="55">
        <v>0</v>
      </c>
      <c r="F80" s="55">
        <v>0</v>
      </c>
      <c r="G80" s="55">
        <v>0</v>
      </c>
      <c r="H80" s="55">
        <f t="shared" si="1"/>
        <v>1</v>
      </c>
      <c r="I80" s="63"/>
      <c r="J80" s="55"/>
      <c r="K80" s="55"/>
      <c r="L80" s="55"/>
      <c r="M80" s="55"/>
      <c r="N80" s="55"/>
      <c r="O80" s="55"/>
      <c r="P80" s="55"/>
      <c r="Q80" s="56"/>
    </row>
    <row r="81" spans="2:17">
      <c r="B81" s="54">
        <v>40802</v>
      </c>
      <c r="C81" s="55">
        <v>14</v>
      </c>
      <c r="D81" s="55">
        <v>0</v>
      </c>
      <c r="E81" s="55">
        <v>0</v>
      </c>
      <c r="F81" s="55">
        <v>0</v>
      </c>
      <c r="G81" s="55">
        <v>0</v>
      </c>
      <c r="H81" s="55">
        <f t="shared" si="1"/>
        <v>1</v>
      </c>
      <c r="I81" s="63"/>
      <c r="J81" s="55"/>
      <c r="K81" s="55"/>
      <c r="L81" s="55"/>
      <c r="M81" s="55"/>
      <c r="N81" s="55"/>
      <c r="O81" s="55"/>
      <c r="P81" s="55"/>
      <c r="Q81" s="56"/>
    </row>
    <row r="82" spans="2:17">
      <c r="B82" s="54">
        <v>40803</v>
      </c>
      <c r="C82" s="55">
        <v>21</v>
      </c>
      <c r="D82" s="55">
        <v>0</v>
      </c>
      <c r="E82" s="55">
        <v>0</v>
      </c>
      <c r="F82" s="55">
        <v>2</v>
      </c>
      <c r="G82" s="55">
        <v>1</v>
      </c>
      <c r="H82" s="55">
        <f t="shared" si="1"/>
        <v>6</v>
      </c>
      <c r="I82" s="63"/>
      <c r="J82" s="55"/>
      <c r="K82" s="55"/>
      <c r="L82" s="55"/>
      <c r="M82" s="55"/>
      <c r="N82" s="55"/>
      <c r="O82" s="55"/>
      <c r="P82" s="55"/>
      <c r="Q82" s="56"/>
    </row>
    <row r="83" spans="2:17">
      <c r="B83" s="54">
        <v>40804</v>
      </c>
      <c r="C83" s="55">
        <v>19</v>
      </c>
      <c r="D83" s="55">
        <v>0</v>
      </c>
      <c r="E83" s="55">
        <v>0</v>
      </c>
      <c r="F83" s="55">
        <v>2</v>
      </c>
      <c r="G83" s="55">
        <v>2</v>
      </c>
      <c r="H83" s="55">
        <f t="shared" si="1"/>
        <v>9</v>
      </c>
      <c r="I83" s="63"/>
      <c r="J83" s="55"/>
      <c r="K83" s="55"/>
      <c r="L83" s="55"/>
      <c r="M83" s="55"/>
      <c r="N83" s="55"/>
      <c r="O83" s="55"/>
      <c r="P83" s="55"/>
      <c r="Q83" s="56"/>
    </row>
    <row r="84" spans="2:17">
      <c r="B84" s="54">
        <v>40805</v>
      </c>
      <c r="C84" s="55">
        <v>18</v>
      </c>
      <c r="D84" s="55">
        <v>0</v>
      </c>
      <c r="E84" s="55">
        <v>0</v>
      </c>
      <c r="F84" s="55">
        <v>1</v>
      </c>
      <c r="G84" s="55">
        <v>1</v>
      </c>
      <c r="H84" s="55">
        <f t="shared" si="1"/>
        <v>4</v>
      </c>
      <c r="I84" s="63"/>
      <c r="J84" s="55"/>
      <c r="K84" s="55"/>
      <c r="L84" s="55"/>
      <c r="M84" s="55"/>
      <c r="N84" s="55"/>
      <c r="O84" s="55"/>
      <c r="P84" s="55"/>
      <c r="Q84" s="56"/>
    </row>
    <row r="85" spans="2:17">
      <c r="B85" s="54">
        <v>40806</v>
      </c>
      <c r="C85" s="55">
        <v>21</v>
      </c>
      <c r="D85" s="55">
        <v>0</v>
      </c>
      <c r="E85" s="55">
        <v>0</v>
      </c>
      <c r="F85" s="55">
        <v>0</v>
      </c>
      <c r="G85" s="55">
        <v>0</v>
      </c>
      <c r="H85" s="55">
        <f t="shared" si="1"/>
        <v>1</v>
      </c>
      <c r="I85" s="63"/>
      <c r="J85" s="55"/>
      <c r="K85" s="55"/>
      <c r="L85" s="55"/>
      <c r="M85" s="55"/>
      <c r="N85" s="55"/>
      <c r="O85" s="55"/>
      <c r="P85" s="55"/>
      <c r="Q85" s="56"/>
    </row>
    <row r="86" spans="2:17">
      <c r="B86" s="54">
        <v>40807</v>
      </c>
      <c r="C86" s="55">
        <v>12</v>
      </c>
      <c r="D86" s="55">
        <v>0</v>
      </c>
      <c r="E86" s="55">
        <v>0</v>
      </c>
      <c r="F86" s="55">
        <v>0</v>
      </c>
      <c r="G86" s="55">
        <v>0</v>
      </c>
      <c r="H86" s="55">
        <f t="shared" si="1"/>
        <v>1</v>
      </c>
      <c r="I86" s="63"/>
      <c r="J86" s="55"/>
      <c r="K86" s="55"/>
      <c r="L86" s="55"/>
      <c r="M86" s="55"/>
      <c r="N86" s="55"/>
      <c r="O86" s="55"/>
      <c r="P86" s="55"/>
      <c r="Q86" s="56"/>
    </row>
    <row r="87" spans="2:17">
      <c r="B87" s="54">
        <v>40808</v>
      </c>
      <c r="C87" s="55">
        <v>24</v>
      </c>
      <c r="D87" s="55">
        <v>0</v>
      </c>
      <c r="E87" s="55">
        <v>0</v>
      </c>
      <c r="F87" s="55">
        <v>0</v>
      </c>
      <c r="G87" s="55">
        <v>0</v>
      </c>
      <c r="H87" s="55">
        <f t="shared" si="1"/>
        <v>1</v>
      </c>
      <c r="I87" s="63"/>
      <c r="J87" s="55"/>
      <c r="K87" s="55"/>
      <c r="L87" s="55"/>
      <c r="M87" s="55"/>
      <c r="N87" s="55"/>
      <c r="O87" s="55"/>
      <c r="P87" s="55"/>
      <c r="Q87" s="56"/>
    </row>
    <row r="88" spans="2:17">
      <c r="B88" s="54">
        <v>40809</v>
      </c>
      <c r="C88" s="55">
        <v>36</v>
      </c>
      <c r="D88" s="55">
        <v>0</v>
      </c>
      <c r="E88" s="55">
        <v>0</v>
      </c>
      <c r="F88" s="55">
        <v>1</v>
      </c>
      <c r="G88" s="55">
        <v>1</v>
      </c>
      <c r="H88" s="55">
        <f t="shared" si="1"/>
        <v>4</v>
      </c>
      <c r="I88" s="63"/>
      <c r="J88" s="55"/>
      <c r="K88" s="55"/>
      <c r="L88" s="55"/>
      <c r="M88" s="55"/>
      <c r="N88" s="55"/>
      <c r="O88" s="55"/>
      <c r="P88" s="55"/>
      <c r="Q88" s="56"/>
    </row>
    <row r="89" spans="2:17">
      <c r="B89" s="54">
        <v>40810</v>
      </c>
      <c r="C89" s="55">
        <v>47</v>
      </c>
      <c r="D89" s="55">
        <v>0</v>
      </c>
      <c r="E89" s="55">
        <v>0</v>
      </c>
      <c r="F89" s="55">
        <v>2</v>
      </c>
      <c r="G89" s="55">
        <v>2</v>
      </c>
      <c r="H89" s="55">
        <f t="shared" si="1"/>
        <v>9</v>
      </c>
      <c r="I89" s="63"/>
      <c r="J89" s="55"/>
      <c r="K89" s="55"/>
      <c r="L89" s="55"/>
      <c r="M89" s="55"/>
      <c r="N89" s="55"/>
      <c r="O89" s="55"/>
      <c r="P89" s="55"/>
      <c r="Q89" s="56"/>
    </row>
    <row r="90" spans="2:17">
      <c r="B90" s="54">
        <v>40811</v>
      </c>
      <c r="C90" s="55">
        <v>26</v>
      </c>
      <c r="D90" s="55">
        <v>0</v>
      </c>
      <c r="E90" s="55">
        <v>0</v>
      </c>
      <c r="F90" s="55">
        <v>2</v>
      </c>
      <c r="G90" s="55">
        <v>2</v>
      </c>
      <c r="H90" s="55">
        <f t="shared" si="1"/>
        <v>9</v>
      </c>
      <c r="I90" s="63"/>
      <c r="J90" s="55"/>
      <c r="K90" s="55"/>
      <c r="L90" s="55"/>
      <c r="M90" s="55"/>
      <c r="N90" s="55"/>
      <c r="O90" s="55"/>
      <c r="P90" s="55"/>
      <c r="Q90" s="56"/>
    </row>
    <row r="91" spans="2:17">
      <c r="B91" s="54">
        <v>40812</v>
      </c>
      <c r="C91" s="55">
        <v>21</v>
      </c>
      <c r="D91" s="55">
        <v>0</v>
      </c>
      <c r="E91" s="55">
        <v>0</v>
      </c>
      <c r="F91" s="55">
        <v>1</v>
      </c>
      <c r="G91" s="55">
        <v>1</v>
      </c>
      <c r="H91" s="55">
        <f t="shared" si="1"/>
        <v>4</v>
      </c>
      <c r="I91" s="63"/>
      <c r="J91" s="55"/>
      <c r="K91" s="55"/>
      <c r="L91" s="55"/>
      <c r="M91" s="55"/>
      <c r="N91" s="55"/>
      <c r="O91" s="55"/>
      <c r="P91" s="55"/>
      <c r="Q91" s="56"/>
    </row>
    <row r="92" spans="2:17">
      <c r="B92" s="54">
        <v>40813</v>
      </c>
      <c r="C92" s="55">
        <v>19</v>
      </c>
      <c r="D92" s="55">
        <v>0</v>
      </c>
      <c r="E92" s="55">
        <v>0</v>
      </c>
      <c r="F92" s="55">
        <v>1</v>
      </c>
      <c r="G92" s="55">
        <v>1</v>
      </c>
      <c r="H92" s="55">
        <f t="shared" si="1"/>
        <v>4</v>
      </c>
      <c r="I92" s="63"/>
      <c r="J92" s="55"/>
      <c r="K92" s="55"/>
      <c r="L92" s="55"/>
      <c r="M92" s="55"/>
      <c r="N92" s="55"/>
      <c r="O92" s="55"/>
      <c r="P92" s="55"/>
      <c r="Q92" s="56"/>
    </row>
    <row r="93" spans="2:17">
      <c r="B93" s="54">
        <v>40814</v>
      </c>
      <c r="C93" s="55">
        <v>24</v>
      </c>
      <c r="D93" s="55">
        <v>0</v>
      </c>
      <c r="E93" s="55">
        <v>0</v>
      </c>
      <c r="F93" s="55">
        <v>1</v>
      </c>
      <c r="G93" s="55">
        <v>1</v>
      </c>
      <c r="H93" s="55">
        <f t="shared" si="1"/>
        <v>4</v>
      </c>
      <c r="I93" s="63"/>
      <c r="J93" s="55"/>
      <c r="K93" s="55"/>
      <c r="L93" s="55"/>
      <c r="M93" s="55"/>
      <c r="N93" s="55"/>
      <c r="O93" s="55"/>
      <c r="P93" s="55"/>
      <c r="Q93" s="56"/>
    </row>
    <row r="94" spans="2:17">
      <c r="B94" s="54">
        <v>40815</v>
      </c>
      <c r="C94" s="55">
        <v>26</v>
      </c>
      <c r="D94" s="55">
        <v>0</v>
      </c>
      <c r="E94" s="55">
        <v>0</v>
      </c>
      <c r="F94" s="55">
        <v>1</v>
      </c>
      <c r="G94" s="55">
        <v>1</v>
      </c>
      <c r="H94" s="55">
        <f t="shared" si="1"/>
        <v>4</v>
      </c>
      <c r="I94" s="63"/>
      <c r="J94" s="55"/>
      <c r="K94" s="55"/>
      <c r="L94" s="55"/>
      <c r="M94" s="55"/>
      <c r="N94" s="55"/>
      <c r="O94" s="55"/>
      <c r="P94" s="55"/>
      <c r="Q94" s="56"/>
    </row>
    <row r="95" spans="2:17">
      <c r="B95" s="54">
        <v>40816</v>
      </c>
      <c r="C95" s="55">
        <v>29</v>
      </c>
      <c r="D95" s="55">
        <v>0</v>
      </c>
      <c r="E95" s="55">
        <v>0</v>
      </c>
      <c r="F95" s="55">
        <v>1</v>
      </c>
      <c r="G95" s="55">
        <v>1</v>
      </c>
      <c r="H95" s="55">
        <f t="shared" si="1"/>
        <v>4</v>
      </c>
      <c r="I95" s="63"/>
      <c r="J95" s="55"/>
      <c r="K95" s="55"/>
      <c r="L95" s="55"/>
      <c r="M95" s="55"/>
      <c r="N95" s="55"/>
      <c r="O95" s="55"/>
      <c r="P95" s="55"/>
      <c r="Q95" s="56"/>
    </row>
    <row r="96" spans="2:17">
      <c r="B96" s="54">
        <v>40817</v>
      </c>
      <c r="C96" s="55">
        <v>26</v>
      </c>
      <c r="D96" s="55">
        <v>0</v>
      </c>
      <c r="E96" s="55">
        <v>0</v>
      </c>
      <c r="F96" s="55">
        <v>2</v>
      </c>
      <c r="G96" s="55">
        <v>1</v>
      </c>
      <c r="H96" s="55">
        <f t="shared" si="1"/>
        <v>6</v>
      </c>
      <c r="I96" s="63"/>
      <c r="J96" s="55"/>
      <c r="K96" s="55"/>
      <c r="L96" s="55"/>
      <c r="M96" s="55"/>
      <c r="N96" s="55"/>
      <c r="O96" s="55"/>
      <c r="P96" s="55"/>
      <c r="Q96" s="56"/>
    </row>
    <row r="97" spans="2:17">
      <c r="B97" s="54">
        <v>40818</v>
      </c>
      <c r="C97" s="55">
        <v>27</v>
      </c>
      <c r="D97" s="55">
        <v>0</v>
      </c>
      <c r="E97" s="55">
        <v>0</v>
      </c>
      <c r="F97" s="55">
        <v>1</v>
      </c>
      <c r="G97" s="55">
        <v>1</v>
      </c>
      <c r="H97" s="55">
        <f t="shared" si="1"/>
        <v>4</v>
      </c>
      <c r="I97" s="63"/>
      <c r="J97" s="55"/>
      <c r="K97" s="55"/>
      <c r="L97" s="55"/>
      <c r="M97" s="55"/>
      <c r="N97" s="55"/>
      <c r="O97" s="55"/>
      <c r="P97" s="55"/>
      <c r="Q97" s="56"/>
    </row>
    <row r="98" spans="2:17">
      <c r="B98" s="54">
        <v>40819</v>
      </c>
      <c r="C98" s="55">
        <v>20</v>
      </c>
      <c r="D98" s="55">
        <v>0</v>
      </c>
      <c r="E98" s="55">
        <v>0</v>
      </c>
      <c r="F98" s="55">
        <v>1</v>
      </c>
      <c r="G98" s="55">
        <v>-1</v>
      </c>
      <c r="H98" s="55">
        <f t="shared" si="1"/>
        <v>0</v>
      </c>
      <c r="I98" s="63"/>
      <c r="J98" s="55"/>
      <c r="K98" s="55"/>
      <c r="L98" s="55"/>
      <c r="M98" s="55"/>
      <c r="N98" s="55"/>
      <c r="O98" s="55"/>
      <c r="P98" s="55"/>
      <c r="Q98" s="56"/>
    </row>
    <row r="99" spans="2:17">
      <c r="B99" s="54">
        <v>40820</v>
      </c>
      <c r="C99" s="55">
        <v>14</v>
      </c>
      <c r="D99" s="55">
        <v>0</v>
      </c>
      <c r="E99" s="55">
        <v>0</v>
      </c>
      <c r="F99" s="55">
        <v>0</v>
      </c>
      <c r="G99" s="55">
        <v>0</v>
      </c>
      <c r="H99" s="55">
        <f t="shared" si="1"/>
        <v>1</v>
      </c>
      <c r="I99" s="63"/>
      <c r="J99" s="55"/>
      <c r="K99" s="55"/>
      <c r="L99" s="55"/>
      <c r="M99" s="55"/>
      <c r="N99" s="55"/>
      <c r="O99" s="55"/>
      <c r="P99" s="55"/>
      <c r="Q99" s="56"/>
    </row>
    <row r="100" spans="2:17">
      <c r="B100" s="54">
        <v>40821</v>
      </c>
      <c r="C100" s="55">
        <v>16</v>
      </c>
      <c r="D100" s="55">
        <v>0</v>
      </c>
      <c r="E100" s="55">
        <v>0</v>
      </c>
      <c r="F100" s="55">
        <v>0</v>
      </c>
      <c r="G100" s="55">
        <v>0</v>
      </c>
      <c r="H100" s="55">
        <f t="shared" si="1"/>
        <v>1</v>
      </c>
      <c r="I100" s="63"/>
      <c r="J100" s="55"/>
      <c r="K100" s="55"/>
      <c r="L100" s="55"/>
      <c r="M100" s="55"/>
      <c r="N100" s="55"/>
      <c r="O100" s="55"/>
      <c r="P100" s="55"/>
      <c r="Q100" s="56"/>
    </row>
    <row r="101" spans="2:17">
      <c r="B101" s="54">
        <v>40822</v>
      </c>
      <c r="C101" s="55">
        <v>15</v>
      </c>
      <c r="D101" s="55">
        <v>0</v>
      </c>
      <c r="E101" s="55">
        <v>0</v>
      </c>
      <c r="F101" s="55">
        <v>0</v>
      </c>
      <c r="G101" s="55">
        <v>0</v>
      </c>
      <c r="H101" s="55">
        <f t="shared" si="1"/>
        <v>1</v>
      </c>
      <c r="I101" s="63"/>
      <c r="J101" s="55"/>
      <c r="K101" s="55"/>
      <c r="L101" s="55"/>
      <c r="M101" s="55"/>
      <c r="N101" s="55"/>
      <c r="O101" s="55"/>
      <c r="P101" s="55"/>
      <c r="Q101" s="56"/>
    </row>
    <row r="102" spans="2:17">
      <c r="B102" s="54">
        <v>40823</v>
      </c>
      <c r="C102" s="55">
        <v>15</v>
      </c>
      <c r="D102" s="55">
        <v>0</v>
      </c>
      <c r="E102" s="55">
        <v>0</v>
      </c>
      <c r="F102" s="55">
        <v>0</v>
      </c>
      <c r="G102" s="55">
        <v>0</v>
      </c>
      <c r="H102" s="55">
        <f t="shared" si="1"/>
        <v>1</v>
      </c>
      <c r="I102" s="63"/>
      <c r="J102" s="55"/>
      <c r="K102" s="55"/>
      <c r="L102" s="55"/>
      <c r="M102" s="55"/>
      <c r="N102" s="55"/>
      <c r="O102" s="55"/>
      <c r="P102" s="55"/>
      <c r="Q102" s="56"/>
    </row>
    <row r="103" spans="2:17">
      <c r="B103" s="54">
        <v>40824</v>
      </c>
      <c r="C103" s="55">
        <v>21</v>
      </c>
      <c r="D103" s="55">
        <v>0</v>
      </c>
      <c r="E103" s="55">
        <v>0</v>
      </c>
      <c r="F103" s="55">
        <v>2</v>
      </c>
      <c r="G103" s="55">
        <v>1</v>
      </c>
      <c r="H103" s="55">
        <f t="shared" si="1"/>
        <v>6</v>
      </c>
      <c r="I103" s="63"/>
      <c r="J103" s="55"/>
      <c r="K103" s="55"/>
      <c r="L103" s="55"/>
      <c r="M103" s="55"/>
      <c r="N103" s="55"/>
      <c r="O103" s="55"/>
      <c r="P103" s="55"/>
      <c r="Q103" s="56"/>
    </row>
    <row r="104" spans="2:17">
      <c r="B104" s="54">
        <v>40825</v>
      </c>
      <c r="C104" s="55">
        <v>21</v>
      </c>
      <c r="D104" s="55">
        <v>0</v>
      </c>
      <c r="E104" s="55">
        <v>0</v>
      </c>
      <c r="F104" s="55">
        <v>2</v>
      </c>
      <c r="G104" s="55">
        <v>1</v>
      </c>
      <c r="H104" s="55">
        <f t="shared" si="1"/>
        <v>6</v>
      </c>
      <c r="I104" s="63"/>
      <c r="J104" s="55"/>
      <c r="K104" s="55"/>
      <c r="L104" s="55"/>
      <c r="M104" s="55"/>
      <c r="N104" s="55"/>
      <c r="O104" s="55"/>
      <c r="P104" s="55"/>
      <c r="Q104" s="56"/>
    </row>
    <row r="105" spans="2:17">
      <c r="B105" s="54">
        <v>40826</v>
      </c>
      <c r="C105" s="55">
        <v>17</v>
      </c>
      <c r="D105" s="55">
        <v>0</v>
      </c>
      <c r="E105" s="55">
        <v>0</v>
      </c>
      <c r="F105" s="55">
        <v>1</v>
      </c>
      <c r="G105" s="55">
        <v>0</v>
      </c>
      <c r="H105" s="55">
        <f t="shared" si="1"/>
        <v>2</v>
      </c>
      <c r="I105" s="63"/>
      <c r="J105" s="55"/>
      <c r="K105" s="55"/>
      <c r="L105" s="55"/>
      <c r="M105" s="55"/>
      <c r="N105" s="55"/>
      <c r="O105" s="55"/>
      <c r="P105" s="55"/>
      <c r="Q105" s="56"/>
    </row>
    <row r="106" spans="2:17">
      <c r="B106" s="54">
        <v>40827</v>
      </c>
      <c r="C106" s="55">
        <v>9</v>
      </c>
      <c r="D106" s="55">
        <v>0</v>
      </c>
      <c r="E106" s="55">
        <v>0</v>
      </c>
      <c r="F106" s="55">
        <v>0</v>
      </c>
      <c r="G106" s="55">
        <v>0</v>
      </c>
      <c r="H106" s="55">
        <f t="shared" si="1"/>
        <v>1</v>
      </c>
      <c r="I106" s="63"/>
      <c r="J106" s="55"/>
      <c r="K106" s="55"/>
      <c r="L106" s="55"/>
      <c r="M106" s="55"/>
      <c r="N106" s="55"/>
      <c r="O106" s="55"/>
      <c r="P106" s="55"/>
      <c r="Q106" s="56"/>
    </row>
    <row r="107" spans="2:17">
      <c r="B107" s="54">
        <v>40828</v>
      </c>
      <c r="C107" s="55">
        <v>10</v>
      </c>
      <c r="D107" s="55">
        <v>0</v>
      </c>
      <c r="E107" s="55">
        <v>0</v>
      </c>
      <c r="F107" s="55">
        <v>0</v>
      </c>
      <c r="G107" s="55">
        <v>0</v>
      </c>
      <c r="H107" s="55">
        <f t="shared" si="1"/>
        <v>1</v>
      </c>
      <c r="I107" s="63"/>
      <c r="J107" s="55"/>
      <c r="K107" s="55"/>
      <c r="L107" s="55"/>
      <c r="M107" s="55"/>
      <c r="N107" s="55"/>
      <c r="O107" s="55"/>
      <c r="P107" s="55"/>
      <c r="Q107" s="56"/>
    </row>
    <row r="108" spans="2:17">
      <c r="B108" s="54">
        <v>40829</v>
      </c>
      <c r="C108" s="55">
        <v>14</v>
      </c>
      <c r="D108" s="55">
        <v>0</v>
      </c>
      <c r="E108" s="55">
        <v>0</v>
      </c>
      <c r="F108" s="55">
        <v>0</v>
      </c>
      <c r="G108" s="55">
        <v>0</v>
      </c>
      <c r="H108" s="55">
        <f t="shared" si="1"/>
        <v>1</v>
      </c>
      <c r="I108" s="63"/>
      <c r="J108" s="55"/>
      <c r="K108" s="55"/>
      <c r="L108" s="55"/>
      <c r="M108" s="55"/>
      <c r="N108" s="55"/>
      <c r="O108" s="55"/>
      <c r="P108" s="55"/>
      <c r="Q108" s="56"/>
    </row>
    <row r="109" spans="2:17">
      <c r="B109" s="54">
        <v>40830</v>
      </c>
      <c r="C109" s="55">
        <v>14</v>
      </c>
      <c r="D109" s="55">
        <v>0</v>
      </c>
      <c r="E109" s="55">
        <v>0</v>
      </c>
      <c r="F109" s="55">
        <v>0</v>
      </c>
      <c r="G109" s="55">
        <v>0</v>
      </c>
      <c r="H109" s="55">
        <f t="shared" si="1"/>
        <v>1</v>
      </c>
      <c r="I109" s="63"/>
      <c r="J109" s="55"/>
      <c r="K109" s="55"/>
      <c r="L109" s="55"/>
      <c r="M109" s="55"/>
      <c r="N109" s="55"/>
      <c r="O109" s="55"/>
      <c r="P109" s="55"/>
      <c r="Q109" s="56"/>
    </row>
    <row r="110" spans="2:17">
      <c r="B110" s="54">
        <v>40831</v>
      </c>
      <c r="C110" s="55">
        <v>22</v>
      </c>
      <c r="D110" s="55">
        <v>0</v>
      </c>
      <c r="E110" s="55">
        <v>0</v>
      </c>
      <c r="F110" s="55">
        <v>1</v>
      </c>
      <c r="G110" s="55">
        <v>1</v>
      </c>
      <c r="H110" s="55">
        <f t="shared" si="1"/>
        <v>4</v>
      </c>
      <c r="I110" s="63"/>
      <c r="J110" s="55"/>
      <c r="K110" s="55"/>
      <c r="L110" s="55"/>
      <c r="M110" s="55"/>
      <c r="N110" s="55"/>
      <c r="O110" s="55"/>
      <c r="P110" s="55"/>
      <c r="Q110" s="56"/>
    </row>
    <row r="111" spans="2:17">
      <c r="B111" s="54">
        <v>40832</v>
      </c>
      <c r="C111" s="55">
        <v>24</v>
      </c>
      <c r="D111" s="55">
        <v>0</v>
      </c>
      <c r="E111" s="55">
        <v>0</v>
      </c>
      <c r="F111" s="55">
        <v>1</v>
      </c>
      <c r="G111" s="55">
        <v>0</v>
      </c>
      <c r="H111" s="55">
        <f t="shared" si="1"/>
        <v>2</v>
      </c>
      <c r="I111" s="63"/>
      <c r="J111" s="55"/>
      <c r="K111" s="55"/>
      <c r="L111" s="55"/>
      <c r="M111" s="55"/>
      <c r="N111" s="55"/>
      <c r="O111" s="55"/>
      <c r="P111" s="55"/>
      <c r="Q111" s="56"/>
    </row>
    <row r="112" spans="2:17">
      <c r="B112" s="54">
        <v>40833</v>
      </c>
      <c r="C112" s="55">
        <v>18</v>
      </c>
      <c r="D112" s="55">
        <v>0</v>
      </c>
      <c r="E112" s="55">
        <v>0</v>
      </c>
      <c r="F112" s="55">
        <v>0</v>
      </c>
      <c r="G112" s="55">
        <v>0</v>
      </c>
      <c r="H112" s="55">
        <f t="shared" si="1"/>
        <v>1</v>
      </c>
      <c r="I112" s="63"/>
      <c r="J112" s="55"/>
      <c r="K112" s="55"/>
      <c r="L112" s="55"/>
      <c r="M112" s="55"/>
      <c r="N112" s="55"/>
      <c r="O112" s="55"/>
      <c r="P112" s="55"/>
      <c r="Q112" s="56"/>
    </row>
    <row r="113" spans="2:17">
      <c r="B113" s="54">
        <v>40834</v>
      </c>
      <c r="C113" s="55">
        <v>13</v>
      </c>
      <c r="D113" s="55">
        <v>0</v>
      </c>
      <c r="E113" s="55">
        <v>0</v>
      </c>
      <c r="F113" s="55">
        <v>0</v>
      </c>
      <c r="G113" s="55">
        <v>0</v>
      </c>
      <c r="H113" s="55">
        <f t="shared" si="1"/>
        <v>1</v>
      </c>
      <c r="I113" s="63"/>
      <c r="J113" s="55"/>
      <c r="K113" s="55"/>
      <c r="L113" s="55"/>
      <c r="M113" s="55"/>
      <c r="N113" s="55"/>
      <c r="O113" s="55"/>
      <c r="P113" s="55"/>
      <c r="Q113" s="56"/>
    </row>
    <row r="114" spans="2:17">
      <c r="B114" s="54">
        <v>40835</v>
      </c>
      <c r="C114" s="55">
        <v>7</v>
      </c>
      <c r="D114" s="55">
        <v>0</v>
      </c>
      <c r="E114" s="55">
        <v>0</v>
      </c>
      <c r="F114" s="55">
        <v>0</v>
      </c>
      <c r="G114" s="55">
        <v>0</v>
      </c>
      <c r="H114" s="55">
        <f t="shared" si="1"/>
        <v>1</v>
      </c>
      <c r="I114" s="63"/>
      <c r="J114" s="55"/>
      <c r="K114" s="55"/>
      <c r="L114" s="55"/>
      <c r="M114" s="55"/>
      <c r="N114" s="55"/>
      <c r="O114" s="55"/>
      <c r="P114" s="55"/>
      <c r="Q114" s="56"/>
    </row>
    <row r="115" spans="2:17">
      <c r="B115" s="54">
        <v>40836</v>
      </c>
      <c r="C115" s="55">
        <v>13</v>
      </c>
      <c r="D115" s="55">
        <v>0</v>
      </c>
      <c r="E115" s="55">
        <v>0</v>
      </c>
      <c r="F115" s="55">
        <v>0</v>
      </c>
      <c r="G115" s="55">
        <v>0</v>
      </c>
      <c r="H115" s="55">
        <f t="shared" si="1"/>
        <v>1</v>
      </c>
      <c r="I115" s="63"/>
      <c r="J115" s="55"/>
      <c r="K115" s="55"/>
      <c r="L115" s="55"/>
      <c r="M115" s="55"/>
      <c r="N115" s="55"/>
      <c r="O115" s="55"/>
      <c r="P115" s="55"/>
      <c r="Q115" s="56"/>
    </row>
    <row r="116" spans="2:17">
      <c r="B116" s="54">
        <v>40837</v>
      </c>
      <c r="C116" s="55">
        <v>18</v>
      </c>
      <c r="D116" s="55">
        <v>0</v>
      </c>
      <c r="E116" s="55">
        <v>0</v>
      </c>
      <c r="F116" s="55">
        <v>0</v>
      </c>
      <c r="G116" s="55">
        <v>0</v>
      </c>
      <c r="H116" s="55">
        <f t="shared" si="1"/>
        <v>1</v>
      </c>
      <c r="I116" s="63"/>
      <c r="J116" s="55"/>
      <c r="K116" s="55"/>
      <c r="L116" s="55"/>
      <c r="M116" s="55"/>
      <c r="N116" s="55"/>
      <c r="O116" s="55"/>
      <c r="P116" s="55"/>
      <c r="Q116" s="56"/>
    </row>
    <row r="117" spans="2:17">
      <c r="B117" s="54">
        <v>40838</v>
      </c>
      <c r="C117" s="55">
        <v>17</v>
      </c>
      <c r="D117" s="55">
        <v>0</v>
      </c>
      <c r="E117" s="55">
        <v>0</v>
      </c>
      <c r="F117" s="55">
        <v>1</v>
      </c>
      <c r="G117" s="55">
        <v>1</v>
      </c>
      <c r="H117" s="55">
        <f t="shared" si="1"/>
        <v>4</v>
      </c>
      <c r="I117" s="63"/>
      <c r="J117" s="55"/>
      <c r="K117" s="55"/>
      <c r="L117" s="55"/>
      <c r="M117" s="55"/>
      <c r="N117" s="55"/>
      <c r="O117" s="55"/>
      <c r="P117" s="55"/>
      <c r="Q117" s="56"/>
    </row>
    <row r="118" spans="2:17">
      <c r="B118" s="54">
        <v>40839</v>
      </c>
      <c r="C118" s="55">
        <v>21</v>
      </c>
      <c r="D118" s="55">
        <v>0</v>
      </c>
      <c r="E118" s="55">
        <v>0</v>
      </c>
      <c r="F118" s="55">
        <v>1</v>
      </c>
      <c r="G118" s="55">
        <v>1</v>
      </c>
      <c r="H118" s="55">
        <f t="shared" si="1"/>
        <v>4</v>
      </c>
      <c r="I118" s="63"/>
      <c r="J118" s="55"/>
      <c r="K118" s="55"/>
      <c r="L118" s="55"/>
      <c r="M118" s="55"/>
      <c r="N118" s="55"/>
      <c r="O118" s="55"/>
      <c r="P118" s="55"/>
      <c r="Q118" s="56"/>
    </row>
    <row r="119" spans="2:17">
      <c r="B119" s="54">
        <v>40840</v>
      </c>
      <c r="C119" s="55">
        <v>14</v>
      </c>
      <c r="D119" s="55">
        <v>0</v>
      </c>
      <c r="E119" s="55">
        <v>0</v>
      </c>
      <c r="F119" s="55">
        <v>0</v>
      </c>
      <c r="G119" s="55">
        <v>0</v>
      </c>
      <c r="H119" s="55">
        <f t="shared" si="1"/>
        <v>1</v>
      </c>
      <c r="I119" s="63"/>
      <c r="J119" s="55"/>
      <c r="K119" s="55"/>
      <c r="L119" s="55"/>
      <c r="M119" s="55"/>
      <c r="N119" s="55"/>
      <c r="O119" s="55"/>
      <c r="P119" s="55"/>
      <c r="Q119" s="56"/>
    </row>
    <row r="120" spans="2:17">
      <c r="B120" s="54">
        <v>40841</v>
      </c>
      <c r="C120" s="55">
        <v>17</v>
      </c>
      <c r="D120" s="55">
        <v>0</v>
      </c>
      <c r="E120" s="55">
        <v>0</v>
      </c>
      <c r="F120" s="55">
        <v>0</v>
      </c>
      <c r="G120" s="55">
        <v>0</v>
      </c>
      <c r="H120" s="55">
        <f t="shared" si="1"/>
        <v>1</v>
      </c>
      <c r="I120" s="63"/>
      <c r="J120" s="55"/>
      <c r="K120" s="55"/>
      <c r="L120" s="55"/>
      <c r="M120" s="55"/>
      <c r="N120" s="55"/>
      <c r="O120" s="55"/>
      <c r="P120" s="55"/>
      <c r="Q120" s="56"/>
    </row>
    <row r="121" spans="2:17">
      <c r="B121" s="54">
        <v>40842</v>
      </c>
      <c r="C121" s="55">
        <v>23</v>
      </c>
      <c r="D121" s="55">
        <v>0</v>
      </c>
      <c r="E121" s="55">
        <v>0</v>
      </c>
      <c r="F121" s="55">
        <v>0</v>
      </c>
      <c r="G121" s="55">
        <v>0</v>
      </c>
      <c r="H121" s="55">
        <f t="shared" si="1"/>
        <v>1</v>
      </c>
      <c r="I121" s="63"/>
      <c r="J121" s="55"/>
      <c r="K121" s="55"/>
      <c r="L121" s="55"/>
      <c r="M121" s="55"/>
      <c r="N121" s="55"/>
      <c r="O121" s="55"/>
      <c r="P121" s="55"/>
      <c r="Q121" s="56"/>
    </row>
    <row r="122" spans="2:17">
      <c r="B122" s="54">
        <v>40843</v>
      </c>
      <c r="C122" s="55">
        <v>24</v>
      </c>
      <c r="D122" s="55">
        <v>0</v>
      </c>
      <c r="E122" s="55">
        <v>0</v>
      </c>
      <c r="F122" s="55">
        <v>0</v>
      </c>
      <c r="G122" s="55">
        <v>0</v>
      </c>
      <c r="H122" s="55">
        <f t="shared" si="1"/>
        <v>1</v>
      </c>
      <c r="I122" s="63"/>
      <c r="J122" s="55"/>
      <c r="K122" s="55"/>
      <c r="L122" s="55"/>
      <c r="M122" s="55"/>
      <c r="N122" s="55"/>
      <c r="O122" s="55"/>
      <c r="P122" s="55"/>
      <c r="Q122" s="56"/>
    </row>
    <row r="123" spans="2:17">
      <c r="B123" s="54">
        <v>40844</v>
      </c>
      <c r="C123" s="55">
        <v>25</v>
      </c>
      <c r="D123" s="55">
        <v>0</v>
      </c>
      <c r="E123" s="55">
        <v>0</v>
      </c>
      <c r="F123" s="55">
        <v>1</v>
      </c>
      <c r="G123" s="55">
        <v>1</v>
      </c>
      <c r="H123" s="55">
        <f t="shared" si="1"/>
        <v>4</v>
      </c>
      <c r="I123" s="63"/>
      <c r="J123" s="55"/>
      <c r="K123" s="55"/>
      <c r="L123" s="55"/>
      <c r="M123" s="55"/>
      <c r="N123" s="55"/>
      <c r="O123" s="55"/>
      <c r="P123" s="55"/>
      <c r="Q123" s="56"/>
    </row>
    <row r="124" spans="2:17">
      <c r="B124" s="54">
        <v>40845</v>
      </c>
      <c r="C124" s="55">
        <v>35</v>
      </c>
      <c r="D124" s="55">
        <v>0</v>
      </c>
      <c r="E124" s="55">
        <v>0</v>
      </c>
      <c r="F124" s="55">
        <v>2</v>
      </c>
      <c r="G124" s="55">
        <v>2</v>
      </c>
      <c r="H124" s="55">
        <f t="shared" si="1"/>
        <v>9</v>
      </c>
      <c r="I124" s="63"/>
      <c r="J124" s="55"/>
      <c r="K124" s="55"/>
      <c r="L124" s="55"/>
      <c r="M124" s="55"/>
      <c r="N124" s="55"/>
      <c r="O124" s="55"/>
      <c r="P124" s="55"/>
      <c r="Q124" s="56"/>
    </row>
    <row r="125" spans="2:17">
      <c r="B125" s="54">
        <v>40846</v>
      </c>
      <c r="C125" s="55">
        <v>22</v>
      </c>
      <c r="D125" s="55">
        <v>0</v>
      </c>
      <c r="E125" s="55">
        <v>0</v>
      </c>
      <c r="F125" s="55">
        <v>2</v>
      </c>
      <c r="G125" s="55">
        <v>1</v>
      </c>
      <c r="H125" s="55">
        <f t="shared" si="1"/>
        <v>6</v>
      </c>
      <c r="I125" s="63"/>
      <c r="J125" s="55"/>
      <c r="K125" s="55"/>
      <c r="L125" s="55"/>
      <c r="M125" s="55"/>
      <c r="N125" s="55"/>
      <c r="O125" s="55"/>
      <c r="P125" s="55"/>
      <c r="Q125" s="56"/>
    </row>
    <row r="126" spans="2:17">
      <c r="B126" s="54">
        <v>40847</v>
      </c>
      <c r="C126" s="55">
        <v>27</v>
      </c>
      <c r="D126" s="55">
        <v>0</v>
      </c>
      <c r="E126" s="55">
        <v>0</v>
      </c>
      <c r="F126" s="55">
        <v>1</v>
      </c>
      <c r="G126" s="55">
        <v>1</v>
      </c>
      <c r="H126" s="55">
        <f t="shared" si="1"/>
        <v>4</v>
      </c>
      <c r="I126" s="63"/>
      <c r="J126" s="55"/>
      <c r="K126" s="55"/>
      <c r="L126" s="55"/>
      <c r="M126" s="55"/>
      <c r="N126" s="55"/>
      <c r="O126" s="55"/>
      <c r="P126" s="55"/>
      <c r="Q126" s="56"/>
    </row>
    <row r="127" spans="2:17">
      <c r="B127" s="54">
        <v>40848</v>
      </c>
      <c r="C127" s="55">
        <v>21</v>
      </c>
      <c r="D127" s="55">
        <v>0</v>
      </c>
      <c r="E127" s="55">
        <v>0</v>
      </c>
      <c r="F127" s="55">
        <v>1</v>
      </c>
      <c r="G127" s="55">
        <v>1</v>
      </c>
      <c r="H127" s="55">
        <f t="shared" si="1"/>
        <v>4</v>
      </c>
      <c r="I127" s="63"/>
      <c r="J127" s="55"/>
      <c r="K127" s="55"/>
      <c r="L127" s="55"/>
      <c r="M127" s="55"/>
      <c r="N127" s="55"/>
      <c r="O127" s="55"/>
      <c r="P127" s="55"/>
      <c r="Q127" s="56"/>
    </row>
    <row r="128" spans="2:17">
      <c r="B128" s="54">
        <v>40849</v>
      </c>
      <c r="C128" s="55">
        <v>21</v>
      </c>
      <c r="D128" s="55">
        <v>0</v>
      </c>
      <c r="E128" s="55">
        <v>0</v>
      </c>
      <c r="F128" s="55">
        <v>1</v>
      </c>
      <c r="G128" s="55">
        <v>0</v>
      </c>
      <c r="H128" s="55">
        <f t="shared" si="1"/>
        <v>2</v>
      </c>
      <c r="I128" s="63"/>
      <c r="J128" s="55"/>
      <c r="K128" s="55"/>
      <c r="L128" s="55"/>
      <c r="M128" s="55"/>
      <c r="N128" s="55"/>
      <c r="O128" s="55"/>
      <c r="P128" s="55"/>
      <c r="Q128" s="56"/>
    </row>
    <row r="129" spans="2:17">
      <c r="B129" s="54">
        <v>40850</v>
      </c>
      <c r="C129" s="55">
        <v>22</v>
      </c>
      <c r="D129" s="55">
        <v>0</v>
      </c>
      <c r="E129" s="55">
        <v>0</v>
      </c>
      <c r="F129" s="55">
        <v>2</v>
      </c>
      <c r="G129" s="55">
        <v>1</v>
      </c>
      <c r="H129" s="55">
        <f t="shared" si="1"/>
        <v>6</v>
      </c>
      <c r="I129" s="63"/>
      <c r="J129" s="55"/>
      <c r="K129" s="55"/>
      <c r="L129" s="55"/>
      <c r="M129" s="55"/>
      <c r="N129" s="55"/>
      <c r="O129" s="55"/>
      <c r="P129" s="55"/>
      <c r="Q129" s="56"/>
    </row>
    <row r="130" spans="2:17">
      <c r="B130" s="54">
        <v>40851</v>
      </c>
      <c r="C130" s="55">
        <v>22</v>
      </c>
      <c r="D130" s="55">
        <v>0</v>
      </c>
      <c r="E130" s="55">
        <v>0</v>
      </c>
      <c r="F130" s="55">
        <v>1</v>
      </c>
      <c r="G130" s="55">
        <v>1</v>
      </c>
      <c r="H130" s="55">
        <f t="shared" si="1"/>
        <v>4</v>
      </c>
      <c r="I130" s="63"/>
      <c r="J130" s="55"/>
      <c r="K130" s="55"/>
      <c r="L130" s="55"/>
      <c r="M130" s="55"/>
      <c r="N130" s="55"/>
      <c r="O130" s="55"/>
      <c r="P130" s="55"/>
      <c r="Q130" s="56"/>
    </row>
    <row r="131" spans="2:17">
      <c r="B131" s="54">
        <v>40852</v>
      </c>
      <c r="C131" s="55">
        <v>28</v>
      </c>
      <c r="D131" s="55">
        <v>0</v>
      </c>
      <c r="E131" s="55">
        <v>0</v>
      </c>
      <c r="F131" s="55">
        <v>1</v>
      </c>
      <c r="G131" s="55">
        <v>0</v>
      </c>
      <c r="H131" s="55">
        <f t="shared" si="1"/>
        <v>2</v>
      </c>
      <c r="I131" s="63"/>
      <c r="J131" s="55"/>
      <c r="K131" s="55"/>
      <c r="L131" s="55"/>
      <c r="M131" s="55"/>
      <c r="N131" s="55"/>
      <c r="O131" s="55"/>
      <c r="P131" s="55"/>
      <c r="Q131" s="56"/>
    </row>
    <row r="132" spans="2:17">
      <c r="B132" s="54">
        <v>40853</v>
      </c>
      <c r="C132" s="55">
        <v>10</v>
      </c>
      <c r="D132" s="55">
        <v>0</v>
      </c>
      <c r="E132" s="55">
        <v>0</v>
      </c>
      <c r="F132" s="55">
        <v>1</v>
      </c>
      <c r="G132" s="55">
        <v>0</v>
      </c>
      <c r="H132" s="55">
        <f t="shared" ref="H132:H195" si="2">(F132+1)*(G132+1)</f>
        <v>2</v>
      </c>
      <c r="I132" s="63"/>
      <c r="J132" s="55"/>
      <c r="K132" s="55"/>
      <c r="L132" s="55"/>
      <c r="M132" s="55"/>
      <c r="N132" s="55"/>
      <c r="O132" s="55"/>
      <c r="P132" s="55"/>
      <c r="Q132" s="56"/>
    </row>
    <row r="133" spans="2:17">
      <c r="B133" s="54">
        <v>40854</v>
      </c>
      <c r="C133" s="55">
        <v>14</v>
      </c>
      <c r="D133" s="55">
        <v>0</v>
      </c>
      <c r="E133" s="55">
        <v>0</v>
      </c>
      <c r="F133" s="55">
        <v>0</v>
      </c>
      <c r="G133" s="55">
        <v>0</v>
      </c>
      <c r="H133" s="55">
        <f t="shared" si="2"/>
        <v>1</v>
      </c>
      <c r="I133" s="63"/>
      <c r="J133" s="55"/>
      <c r="K133" s="55"/>
      <c r="L133" s="55"/>
      <c r="M133" s="55"/>
      <c r="N133" s="55"/>
      <c r="O133" s="55"/>
      <c r="P133" s="55"/>
      <c r="Q133" s="56"/>
    </row>
    <row r="134" spans="2:17">
      <c r="B134" s="54">
        <v>40855</v>
      </c>
      <c r="C134" s="55">
        <v>17</v>
      </c>
      <c r="D134" s="55">
        <v>0</v>
      </c>
      <c r="E134" s="55">
        <v>0</v>
      </c>
      <c r="F134" s="55">
        <v>0</v>
      </c>
      <c r="G134" s="55">
        <v>0</v>
      </c>
      <c r="H134" s="55">
        <f t="shared" si="2"/>
        <v>1</v>
      </c>
      <c r="I134" s="63"/>
      <c r="J134" s="55"/>
      <c r="K134" s="55"/>
      <c r="L134" s="55"/>
      <c r="M134" s="55"/>
      <c r="N134" s="55"/>
      <c r="O134" s="55"/>
      <c r="P134" s="55"/>
      <c r="Q134" s="56"/>
    </row>
    <row r="135" spans="2:17">
      <c r="B135" s="54">
        <v>40856</v>
      </c>
      <c r="C135" s="55">
        <v>11</v>
      </c>
      <c r="D135" s="55">
        <v>0</v>
      </c>
      <c r="E135" s="55">
        <v>0</v>
      </c>
      <c r="F135" s="55">
        <v>0</v>
      </c>
      <c r="G135" s="55">
        <v>0</v>
      </c>
      <c r="H135" s="55">
        <f t="shared" si="2"/>
        <v>1</v>
      </c>
      <c r="I135" s="63"/>
      <c r="J135" s="55"/>
      <c r="K135" s="55"/>
      <c r="L135" s="55"/>
      <c r="M135" s="55"/>
      <c r="N135" s="55"/>
      <c r="O135" s="55"/>
      <c r="P135" s="55"/>
      <c r="Q135" s="56"/>
    </row>
    <row r="136" spans="2:17">
      <c r="B136" s="54">
        <v>40857</v>
      </c>
      <c r="C136" s="55">
        <v>12</v>
      </c>
      <c r="D136" s="55">
        <v>0</v>
      </c>
      <c r="E136" s="55">
        <v>0</v>
      </c>
      <c r="F136" s="55">
        <v>0</v>
      </c>
      <c r="G136" s="55">
        <v>0</v>
      </c>
      <c r="H136" s="55">
        <f t="shared" si="2"/>
        <v>1</v>
      </c>
      <c r="I136" s="63"/>
      <c r="J136" s="55"/>
      <c r="K136" s="55"/>
      <c r="L136" s="55"/>
      <c r="M136" s="55"/>
      <c r="N136" s="55"/>
      <c r="O136" s="55"/>
      <c r="P136" s="55"/>
      <c r="Q136" s="56"/>
    </row>
    <row r="137" spans="2:17">
      <c r="B137" s="54">
        <v>40858</v>
      </c>
      <c r="C137" s="55">
        <v>25</v>
      </c>
      <c r="D137" s="55">
        <v>0</v>
      </c>
      <c r="E137" s="55">
        <v>0</v>
      </c>
      <c r="F137" s="55">
        <v>0</v>
      </c>
      <c r="G137" s="55">
        <v>0</v>
      </c>
      <c r="H137" s="55">
        <f t="shared" si="2"/>
        <v>1</v>
      </c>
      <c r="I137" s="63"/>
      <c r="J137" s="55"/>
      <c r="K137" s="55"/>
      <c r="L137" s="55"/>
      <c r="M137" s="55"/>
      <c r="N137" s="55"/>
      <c r="O137" s="55"/>
      <c r="P137" s="55"/>
      <c r="Q137" s="56"/>
    </row>
    <row r="138" spans="2:17">
      <c r="B138" s="54">
        <v>40859</v>
      </c>
      <c r="C138" s="55">
        <v>27</v>
      </c>
      <c r="D138" s="55">
        <v>0</v>
      </c>
      <c r="E138" s="55">
        <v>0</v>
      </c>
      <c r="F138" s="55">
        <v>1</v>
      </c>
      <c r="G138" s="55">
        <v>1</v>
      </c>
      <c r="H138" s="55">
        <f t="shared" si="2"/>
        <v>4</v>
      </c>
      <c r="I138" s="63"/>
      <c r="J138" s="55"/>
      <c r="K138" s="55"/>
      <c r="L138" s="55"/>
      <c r="M138" s="55"/>
      <c r="N138" s="55"/>
      <c r="O138" s="55"/>
      <c r="P138" s="55"/>
      <c r="Q138" s="56"/>
    </row>
    <row r="139" spans="2:17">
      <c r="B139" s="54">
        <v>40860</v>
      </c>
      <c r="C139" s="55">
        <v>21</v>
      </c>
      <c r="D139" s="55">
        <v>0</v>
      </c>
      <c r="E139" s="55">
        <v>0</v>
      </c>
      <c r="F139" s="55">
        <v>0</v>
      </c>
      <c r="G139" s="55">
        <v>0</v>
      </c>
      <c r="H139" s="55">
        <f t="shared" si="2"/>
        <v>1</v>
      </c>
      <c r="I139" s="63"/>
      <c r="J139" s="55"/>
      <c r="K139" s="55"/>
      <c r="L139" s="55"/>
      <c r="M139" s="55"/>
      <c r="N139" s="55"/>
      <c r="O139" s="55"/>
      <c r="P139" s="55"/>
      <c r="Q139" s="56"/>
    </row>
    <row r="140" spans="2:17">
      <c r="B140" s="54">
        <v>40861</v>
      </c>
      <c r="C140" s="55">
        <v>13</v>
      </c>
      <c r="D140" s="55">
        <v>0</v>
      </c>
      <c r="E140" s="55">
        <v>0</v>
      </c>
      <c r="F140" s="55">
        <v>0</v>
      </c>
      <c r="G140" s="55">
        <v>0</v>
      </c>
      <c r="H140" s="55">
        <f t="shared" si="2"/>
        <v>1</v>
      </c>
      <c r="I140" s="63"/>
      <c r="J140" s="55"/>
      <c r="K140" s="55"/>
      <c r="L140" s="55"/>
      <c r="M140" s="55"/>
      <c r="N140" s="55"/>
      <c r="O140" s="55"/>
      <c r="P140" s="55"/>
      <c r="Q140" s="56"/>
    </row>
    <row r="141" spans="2:17">
      <c r="B141" s="54">
        <v>40862</v>
      </c>
      <c r="C141" s="55">
        <v>11</v>
      </c>
      <c r="D141" s="55">
        <v>0</v>
      </c>
      <c r="E141" s="55">
        <v>0</v>
      </c>
      <c r="F141" s="55">
        <v>0</v>
      </c>
      <c r="G141" s="55">
        <v>0</v>
      </c>
      <c r="H141" s="55">
        <f t="shared" si="2"/>
        <v>1</v>
      </c>
      <c r="I141" s="63"/>
      <c r="J141" s="55"/>
      <c r="K141" s="55"/>
      <c r="L141" s="55"/>
      <c r="M141" s="55"/>
      <c r="N141" s="55"/>
      <c r="O141" s="55"/>
      <c r="P141" s="55"/>
      <c r="Q141" s="56"/>
    </row>
    <row r="142" spans="2:17">
      <c r="B142" s="54">
        <v>40863</v>
      </c>
      <c r="C142" s="55">
        <v>19</v>
      </c>
      <c r="D142" s="55">
        <v>0</v>
      </c>
      <c r="E142" s="55">
        <v>0</v>
      </c>
      <c r="F142" s="55">
        <v>0</v>
      </c>
      <c r="G142" s="55">
        <v>0</v>
      </c>
      <c r="H142" s="55">
        <f t="shared" si="2"/>
        <v>1</v>
      </c>
      <c r="I142" s="63"/>
      <c r="J142" s="55"/>
      <c r="K142" s="55"/>
      <c r="L142" s="55"/>
      <c r="M142" s="55"/>
      <c r="N142" s="55"/>
      <c r="O142" s="55"/>
      <c r="P142" s="55"/>
      <c r="Q142" s="56"/>
    </row>
    <row r="143" spans="2:17">
      <c r="B143" s="54">
        <v>40864</v>
      </c>
      <c r="C143" s="55">
        <v>11</v>
      </c>
      <c r="D143" s="55">
        <v>0</v>
      </c>
      <c r="E143" s="55">
        <v>0</v>
      </c>
      <c r="F143" s="55">
        <v>0</v>
      </c>
      <c r="G143" s="55">
        <v>0</v>
      </c>
      <c r="H143" s="55">
        <f t="shared" si="2"/>
        <v>1</v>
      </c>
      <c r="I143" s="63"/>
      <c r="J143" s="55"/>
      <c r="K143" s="55"/>
      <c r="L143" s="55"/>
      <c r="M143" s="55"/>
      <c r="N143" s="55"/>
      <c r="O143" s="55"/>
      <c r="P143" s="55"/>
      <c r="Q143" s="56"/>
    </row>
    <row r="144" spans="2:17">
      <c r="B144" s="54">
        <v>40865</v>
      </c>
      <c r="C144" s="55">
        <v>11</v>
      </c>
      <c r="D144" s="55">
        <v>0</v>
      </c>
      <c r="E144" s="55">
        <v>0</v>
      </c>
      <c r="F144" s="55">
        <v>0</v>
      </c>
      <c r="G144" s="55">
        <v>0</v>
      </c>
      <c r="H144" s="55">
        <f t="shared" si="2"/>
        <v>1</v>
      </c>
      <c r="I144" s="63"/>
      <c r="J144" s="55"/>
      <c r="K144" s="55"/>
      <c r="L144" s="55"/>
      <c r="M144" s="55"/>
      <c r="N144" s="55"/>
      <c r="O144" s="55"/>
      <c r="P144" s="55"/>
      <c r="Q144" s="56"/>
    </row>
    <row r="145" spans="2:17">
      <c r="B145" s="54">
        <v>40866</v>
      </c>
      <c r="C145" s="55">
        <v>15</v>
      </c>
      <c r="D145" s="55">
        <v>0</v>
      </c>
      <c r="E145" s="55">
        <v>0</v>
      </c>
      <c r="F145" s="55">
        <v>1</v>
      </c>
      <c r="G145" s="55">
        <v>1</v>
      </c>
      <c r="H145" s="55">
        <f t="shared" si="2"/>
        <v>4</v>
      </c>
      <c r="I145" s="63"/>
      <c r="J145" s="55"/>
      <c r="K145" s="55"/>
      <c r="L145" s="55"/>
      <c r="M145" s="55"/>
      <c r="N145" s="55"/>
      <c r="O145" s="55"/>
      <c r="P145" s="55"/>
      <c r="Q145" s="56"/>
    </row>
    <row r="146" spans="2:17">
      <c r="B146" s="54">
        <v>40867</v>
      </c>
      <c r="C146" s="55">
        <v>29</v>
      </c>
      <c r="D146" s="55">
        <v>0</v>
      </c>
      <c r="E146" s="55">
        <v>0</v>
      </c>
      <c r="F146" s="55">
        <v>1</v>
      </c>
      <c r="G146" s="55">
        <v>0</v>
      </c>
      <c r="H146" s="55">
        <f t="shared" si="2"/>
        <v>2</v>
      </c>
      <c r="I146" s="63"/>
      <c r="J146" s="55"/>
      <c r="K146" s="55"/>
      <c r="L146" s="55"/>
      <c r="M146" s="55"/>
      <c r="N146" s="55"/>
      <c r="O146" s="55"/>
      <c r="P146" s="55"/>
      <c r="Q146" s="56"/>
    </row>
    <row r="147" spans="2:17">
      <c r="B147" s="54">
        <v>40868</v>
      </c>
      <c r="C147" s="55">
        <v>18</v>
      </c>
      <c r="D147" s="55">
        <v>0</v>
      </c>
      <c r="E147" s="55">
        <v>0</v>
      </c>
      <c r="F147" s="55">
        <v>0</v>
      </c>
      <c r="G147" s="55">
        <v>0</v>
      </c>
      <c r="H147" s="55">
        <f t="shared" si="2"/>
        <v>1</v>
      </c>
      <c r="I147" s="63"/>
      <c r="J147" s="55"/>
      <c r="K147" s="55"/>
      <c r="L147" s="55"/>
      <c r="M147" s="55"/>
      <c r="N147" s="55"/>
      <c r="O147" s="55"/>
      <c r="P147" s="55"/>
      <c r="Q147" s="56"/>
    </row>
    <row r="148" spans="2:17">
      <c r="B148" s="54">
        <v>40869</v>
      </c>
      <c r="C148" s="55">
        <v>14</v>
      </c>
      <c r="D148" s="55">
        <v>0</v>
      </c>
      <c r="E148" s="55">
        <v>0</v>
      </c>
      <c r="F148" s="55">
        <v>0</v>
      </c>
      <c r="G148" s="55">
        <v>0</v>
      </c>
      <c r="H148" s="55">
        <f t="shared" si="2"/>
        <v>1</v>
      </c>
      <c r="I148" s="63"/>
      <c r="J148" s="55"/>
      <c r="K148" s="55"/>
      <c r="L148" s="55"/>
      <c r="M148" s="55"/>
      <c r="N148" s="55"/>
      <c r="O148" s="55"/>
      <c r="P148" s="55"/>
      <c r="Q148" s="56"/>
    </row>
    <row r="149" spans="2:17">
      <c r="B149" s="54">
        <v>40870</v>
      </c>
      <c r="C149" s="55">
        <v>12</v>
      </c>
      <c r="D149" s="55">
        <v>0</v>
      </c>
      <c r="E149" s="55">
        <v>0</v>
      </c>
      <c r="F149" s="55">
        <v>0</v>
      </c>
      <c r="G149" s="55">
        <v>0</v>
      </c>
      <c r="H149" s="55">
        <f t="shared" si="2"/>
        <v>1</v>
      </c>
      <c r="I149" s="63"/>
      <c r="J149" s="55"/>
      <c r="K149" s="55"/>
      <c r="L149" s="55"/>
      <c r="M149" s="55"/>
      <c r="N149" s="55"/>
      <c r="O149" s="55"/>
      <c r="P149" s="55"/>
      <c r="Q149" s="56"/>
    </row>
    <row r="150" spans="2:17">
      <c r="B150" s="54">
        <v>40871</v>
      </c>
      <c r="C150" s="55">
        <v>21</v>
      </c>
      <c r="D150" s="55">
        <v>0</v>
      </c>
      <c r="E150" s="55">
        <v>0</v>
      </c>
      <c r="F150" s="55">
        <v>0</v>
      </c>
      <c r="G150" s="55">
        <v>0</v>
      </c>
      <c r="H150" s="55">
        <f t="shared" si="2"/>
        <v>1</v>
      </c>
      <c r="I150" s="63"/>
      <c r="J150" s="55"/>
      <c r="K150" s="55"/>
      <c r="L150" s="55"/>
      <c r="M150" s="55"/>
      <c r="N150" s="55"/>
      <c r="O150" s="55"/>
      <c r="P150" s="55"/>
      <c r="Q150" s="56"/>
    </row>
    <row r="151" spans="2:17">
      <c r="B151" s="54">
        <v>40872</v>
      </c>
      <c r="C151" s="55">
        <v>30</v>
      </c>
      <c r="D151" s="55">
        <v>0</v>
      </c>
      <c r="E151" s="55">
        <v>0</v>
      </c>
      <c r="F151" s="55">
        <v>1</v>
      </c>
      <c r="G151" s="55">
        <v>1</v>
      </c>
      <c r="H151" s="55">
        <f t="shared" si="2"/>
        <v>4</v>
      </c>
      <c r="I151" s="63"/>
      <c r="J151" s="55"/>
      <c r="K151" s="55"/>
      <c r="L151" s="55"/>
      <c r="M151" s="55"/>
      <c r="N151" s="55"/>
      <c r="O151" s="55"/>
      <c r="P151" s="55"/>
      <c r="Q151" s="56"/>
    </row>
    <row r="152" spans="2:17">
      <c r="B152" s="54">
        <v>40873</v>
      </c>
      <c r="C152" s="55">
        <v>31</v>
      </c>
      <c r="D152" s="55">
        <v>0</v>
      </c>
      <c r="E152" s="55">
        <v>0</v>
      </c>
      <c r="F152" s="55">
        <v>2</v>
      </c>
      <c r="G152" s="55">
        <v>1</v>
      </c>
      <c r="H152" s="55">
        <f t="shared" si="2"/>
        <v>6</v>
      </c>
      <c r="I152" s="63"/>
      <c r="J152" s="55"/>
      <c r="K152" s="55"/>
      <c r="L152" s="55"/>
      <c r="M152" s="55"/>
      <c r="N152" s="55"/>
      <c r="O152" s="55"/>
      <c r="P152" s="55"/>
      <c r="Q152" s="56"/>
    </row>
    <row r="153" spans="2:17">
      <c r="B153" s="54">
        <v>40874</v>
      </c>
      <c r="C153" s="55">
        <v>32</v>
      </c>
      <c r="D153" s="55">
        <v>0</v>
      </c>
      <c r="E153" s="55">
        <v>0</v>
      </c>
      <c r="F153" s="55">
        <v>1</v>
      </c>
      <c r="G153" s="55">
        <v>1</v>
      </c>
      <c r="H153" s="55">
        <f t="shared" si="2"/>
        <v>4</v>
      </c>
      <c r="I153" s="63"/>
      <c r="J153" s="55"/>
      <c r="K153" s="55"/>
      <c r="L153" s="55"/>
      <c r="M153" s="55"/>
      <c r="N153" s="55"/>
      <c r="O153" s="55"/>
      <c r="P153" s="55"/>
      <c r="Q153" s="56"/>
    </row>
    <row r="154" spans="2:17">
      <c r="B154" s="54">
        <v>40875</v>
      </c>
      <c r="C154" s="55">
        <v>27</v>
      </c>
      <c r="D154" s="55">
        <v>0</v>
      </c>
      <c r="E154" s="55">
        <v>0</v>
      </c>
      <c r="F154" s="55">
        <v>0</v>
      </c>
      <c r="G154" s="55">
        <v>0</v>
      </c>
      <c r="H154" s="55">
        <f t="shared" si="2"/>
        <v>1</v>
      </c>
      <c r="I154" s="63"/>
      <c r="J154" s="55"/>
      <c r="K154" s="55"/>
      <c r="L154" s="55"/>
      <c r="M154" s="55"/>
      <c r="N154" s="55"/>
      <c r="O154" s="55"/>
      <c r="P154" s="55"/>
      <c r="Q154" s="56"/>
    </row>
    <row r="155" spans="2:17">
      <c r="B155" s="54">
        <v>40876</v>
      </c>
      <c r="C155" s="55">
        <v>20</v>
      </c>
      <c r="D155" s="55">
        <v>0</v>
      </c>
      <c r="E155" s="55">
        <v>0</v>
      </c>
      <c r="F155" s="55">
        <v>0</v>
      </c>
      <c r="G155" s="55">
        <v>0</v>
      </c>
      <c r="H155" s="55">
        <f t="shared" si="2"/>
        <v>1</v>
      </c>
      <c r="I155" s="63"/>
      <c r="J155" s="55"/>
      <c r="K155" s="55"/>
      <c r="L155" s="55"/>
      <c r="M155" s="55"/>
      <c r="N155" s="55"/>
      <c r="O155" s="55"/>
      <c r="P155" s="55"/>
      <c r="Q155" s="56"/>
    </row>
    <row r="156" spans="2:17">
      <c r="B156" s="54">
        <v>40877</v>
      </c>
      <c r="C156" s="55">
        <v>20</v>
      </c>
      <c r="D156" s="55">
        <v>0</v>
      </c>
      <c r="E156" s="55">
        <v>0</v>
      </c>
      <c r="F156" s="55">
        <v>1</v>
      </c>
      <c r="G156" s="55">
        <v>1</v>
      </c>
      <c r="H156" s="55">
        <f t="shared" si="2"/>
        <v>4</v>
      </c>
      <c r="I156" s="63"/>
      <c r="J156" s="55"/>
      <c r="K156" s="55"/>
      <c r="L156" s="55"/>
      <c r="M156" s="55"/>
      <c r="N156" s="55"/>
      <c r="O156" s="55"/>
      <c r="P156" s="55"/>
      <c r="Q156" s="56"/>
    </row>
    <row r="157" spans="2:17">
      <c r="B157" s="54">
        <v>40878</v>
      </c>
      <c r="C157" s="55">
        <v>15</v>
      </c>
      <c r="D157" s="55">
        <v>0</v>
      </c>
      <c r="E157" s="55">
        <v>0</v>
      </c>
      <c r="F157" s="55">
        <v>1</v>
      </c>
      <c r="G157" s="55">
        <v>1</v>
      </c>
      <c r="H157" s="55">
        <f t="shared" si="2"/>
        <v>4</v>
      </c>
      <c r="I157" s="63"/>
      <c r="J157" s="55"/>
      <c r="K157" s="55"/>
      <c r="L157" s="55"/>
      <c r="M157" s="55"/>
      <c r="N157" s="55"/>
      <c r="O157" s="55"/>
      <c r="P157" s="55"/>
      <c r="Q157" s="56"/>
    </row>
    <row r="158" spans="2:17">
      <c r="B158" s="54">
        <v>40879</v>
      </c>
      <c r="C158" s="55">
        <v>17</v>
      </c>
      <c r="D158" s="55">
        <v>0</v>
      </c>
      <c r="E158" s="55">
        <v>0</v>
      </c>
      <c r="F158" s="55">
        <v>1</v>
      </c>
      <c r="G158" s="55">
        <v>1</v>
      </c>
      <c r="H158" s="55">
        <f t="shared" si="2"/>
        <v>4</v>
      </c>
      <c r="I158" s="63"/>
      <c r="J158" s="55"/>
      <c r="K158" s="55"/>
      <c r="L158" s="55"/>
      <c r="M158" s="55"/>
      <c r="N158" s="55"/>
      <c r="O158" s="55"/>
      <c r="P158" s="55"/>
      <c r="Q158" s="56"/>
    </row>
    <row r="159" spans="2:17">
      <c r="B159" s="54">
        <v>40880</v>
      </c>
      <c r="C159" s="55">
        <v>32</v>
      </c>
      <c r="D159" s="55">
        <v>0</v>
      </c>
      <c r="E159" s="55">
        <v>0</v>
      </c>
      <c r="F159" s="55">
        <v>2</v>
      </c>
      <c r="G159" s="55">
        <v>1</v>
      </c>
      <c r="H159" s="55">
        <f t="shared" si="2"/>
        <v>6</v>
      </c>
      <c r="I159" s="63"/>
      <c r="J159" s="55"/>
      <c r="K159" s="55"/>
      <c r="L159" s="55"/>
      <c r="M159" s="55"/>
      <c r="N159" s="55"/>
      <c r="O159" s="55"/>
      <c r="P159" s="55"/>
      <c r="Q159" s="56"/>
    </row>
    <row r="160" spans="2:17">
      <c r="B160" s="54">
        <v>40881</v>
      </c>
      <c r="C160" s="55">
        <v>17</v>
      </c>
      <c r="D160" s="55">
        <v>0</v>
      </c>
      <c r="E160" s="55">
        <v>0</v>
      </c>
      <c r="F160" s="55">
        <v>1</v>
      </c>
      <c r="G160" s="55">
        <v>1</v>
      </c>
      <c r="H160" s="55">
        <f t="shared" si="2"/>
        <v>4</v>
      </c>
      <c r="I160" s="63"/>
      <c r="J160" s="55"/>
      <c r="K160" s="55"/>
      <c r="L160" s="55"/>
      <c r="M160" s="55"/>
      <c r="N160" s="55"/>
      <c r="O160" s="55"/>
      <c r="P160" s="55"/>
      <c r="Q160" s="56"/>
    </row>
    <row r="161" spans="2:17">
      <c r="B161" s="54">
        <v>40882</v>
      </c>
      <c r="C161" s="55">
        <v>11</v>
      </c>
      <c r="D161" s="55">
        <v>0</v>
      </c>
      <c r="E161" s="55">
        <v>0</v>
      </c>
      <c r="F161" s="55">
        <v>0</v>
      </c>
      <c r="G161" s="55">
        <v>0</v>
      </c>
      <c r="H161" s="55">
        <f t="shared" si="2"/>
        <v>1</v>
      </c>
      <c r="I161" s="63"/>
      <c r="J161" s="55"/>
      <c r="K161" s="55"/>
      <c r="L161" s="55"/>
      <c r="M161" s="55"/>
      <c r="N161" s="55"/>
      <c r="O161" s="55"/>
      <c r="P161" s="55"/>
      <c r="Q161" s="56"/>
    </row>
    <row r="162" spans="2:17">
      <c r="B162" s="54">
        <v>40883</v>
      </c>
      <c r="C162" s="55">
        <v>12</v>
      </c>
      <c r="D162" s="55">
        <v>0</v>
      </c>
      <c r="E162" s="55">
        <v>0</v>
      </c>
      <c r="F162" s="55">
        <v>0</v>
      </c>
      <c r="G162" s="55">
        <v>0</v>
      </c>
      <c r="H162" s="55">
        <f t="shared" si="2"/>
        <v>1</v>
      </c>
      <c r="I162" s="63"/>
      <c r="J162" s="55"/>
      <c r="K162" s="55"/>
      <c r="L162" s="55"/>
      <c r="M162" s="55"/>
      <c r="N162" s="55"/>
      <c r="O162" s="55"/>
      <c r="P162" s="55"/>
      <c r="Q162" s="56"/>
    </row>
    <row r="163" spans="2:17">
      <c r="B163" s="54">
        <v>40884</v>
      </c>
      <c r="C163" s="55">
        <v>13</v>
      </c>
      <c r="D163" s="55">
        <v>0</v>
      </c>
      <c r="E163" s="55">
        <v>0</v>
      </c>
      <c r="F163" s="55">
        <v>0</v>
      </c>
      <c r="G163" s="55">
        <v>0</v>
      </c>
      <c r="H163" s="55">
        <f t="shared" si="2"/>
        <v>1</v>
      </c>
      <c r="I163" s="63"/>
      <c r="J163" s="55"/>
      <c r="K163" s="55"/>
      <c r="L163" s="55"/>
      <c r="M163" s="55"/>
      <c r="N163" s="55"/>
      <c r="O163" s="55"/>
      <c r="P163" s="55"/>
      <c r="Q163" s="56"/>
    </row>
    <row r="164" spans="2:17">
      <c r="B164" s="54">
        <v>40885</v>
      </c>
      <c r="C164" s="55">
        <v>8</v>
      </c>
      <c r="D164" s="55">
        <v>0</v>
      </c>
      <c r="E164" s="55">
        <v>0</v>
      </c>
      <c r="F164" s="55">
        <v>0</v>
      </c>
      <c r="G164" s="55">
        <v>0</v>
      </c>
      <c r="H164" s="55">
        <f t="shared" si="2"/>
        <v>1</v>
      </c>
      <c r="I164" s="63"/>
      <c r="J164" s="55"/>
      <c r="K164" s="55"/>
      <c r="L164" s="55"/>
      <c r="M164" s="55"/>
      <c r="N164" s="55"/>
      <c r="O164" s="55"/>
      <c r="P164" s="55"/>
      <c r="Q164" s="56"/>
    </row>
    <row r="165" spans="2:17">
      <c r="B165" s="54">
        <v>40886</v>
      </c>
      <c r="C165" s="55">
        <v>14</v>
      </c>
      <c r="D165" s="55">
        <v>0</v>
      </c>
      <c r="E165" s="55">
        <v>0</v>
      </c>
      <c r="F165" s="55">
        <v>0</v>
      </c>
      <c r="G165" s="55">
        <v>0</v>
      </c>
      <c r="H165" s="55">
        <f t="shared" si="2"/>
        <v>1</v>
      </c>
      <c r="I165" s="63"/>
      <c r="J165" s="55"/>
      <c r="K165" s="55"/>
      <c r="L165" s="55"/>
      <c r="M165" s="55"/>
      <c r="N165" s="55"/>
      <c r="O165" s="55"/>
      <c r="P165" s="55"/>
      <c r="Q165" s="56"/>
    </row>
    <row r="166" spans="2:17">
      <c r="B166" s="54">
        <v>40887</v>
      </c>
      <c r="C166" s="55">
        <v>31</v>
      </c>
      <c r="D166" s="55">
        <v>0</v>
      </c>
      <c r="E166" s="55">
        <v>0</v>
      </c>
      <c r="F166" s="55">
        <v>1</v>
      </c>
      <c r="G166" s="55">
        <v>1</v>
      </c>
      <c r="H166" s="55">
        <f t="shared" si="2"/>
        <v>4</v>
      </c>
      <c r="I166" s="63"/>
      <c r="J166" s="55"/>
      <c r="K166" s="55"/>
      <c r="L166" s="55"/>
      <c r="M166" s="55"/>
      <c r="N166" s="55"/>
      <c r="O166" s="55"/>
      <c r="P166" s="55"/>
      <c r="Q166" s="56"/>
    </row>
    <row r="167" spans="2:17">
      <c r="B167" s="54">
        <v>40888</v>
      </c>
      <c r="C167" s="55">
        <v>22</v>
      </c>
      <c r="D167" s="55">
        <v>0</v>
      </c>
      <c r="E167" s="55">
        <v>0</v>
      </c>
      <c r="F167" s="55">
        <v>1</v>
      </c>
      <c r="G167" s="55">
        <v>1</v>
      </c>
      <c r="H167" s="55">
        <f t="shared" si="2"/>
        <v>4</v>
      </c>
      <c r="I167" s="63"/>
      <c r="J167" s="55"/>
      <c r="K167" s="55"/>
      <c r="L167" s="55"/>
      <c r="M167" s="55"/>
      <c r="N167" s="55"/>
      <c r="O167" s="55"/>
      <c r="P167" s="55"/>
      <c r="Q167" s="56"/>
    </row>
    <row r="168" spans="2:17">
      <c r="B168" s="54">
        <v>40889</v>
      </c>
      <c r="C168" s="55">
        <v>19</v>
      </c>
      <c r="D168" s="55">
        <v>0</v>
      </c>
      <c r="E168" s="55">
        <v>0</v>
      </c>
      <c r="F168" s="55">
        <v>0</v>
      </c>
      <c r="G168" s="55">
        <v>0</v>
      </c>
      <c r="H168" s="55">
        <f t="shared" si="2"/>
        <v>1</v>
      </c>
      <c r="I168" s="63"/>
      <c r="J168" s="55"/>
      <c r="K168" s="55"/>
      <c r="L168" s="55"/>
      <c r="M168" s="55"/>
      <c r="N168" s="55"/>
      <c r="O168" s="55"/>
      <c r="P168" s="55"/>
      <c r="Q168" s="56"/>
    </row>
    <row r="169" spans="2:17">
      <c r="B169" s="54">
        <v>40890</v>
      </c>
      <c r="C169" s="55">
        <v>14</v>
      </c>
      <c r="D169" s="55">
        <v>0</v>
      </c>
      <c r="E169" s="55">
        <v>0</v>
      </c>
      <c r="F169" s="55">
        <v>0</v>
      </c>
      <c r="G169" s="55">
        <v>0</v>
      </c>
      <c r="H169" s="55">
        <f t="shared" si="2"/>
        <v>1</v>
      </c>
      <c r="I169" s="63"/>
      <c r="J169" s="55"/>
      <c r="K169" s="55"/>
      <c r="L169" s="55"/>
      <c r="M169" s="55"/>
      <c r="N169" s="55"/>
      <c r="O169" s="55"/>
      <c r="P169" s="55"/>
      <c r="Q169" s="56"/>
    </row>
    <row r="170" spans="2:17">
      <c r="B170" s="54">
        <v>40891</v>
      </c>
      <c r="C170" s="55">
        <v>15</v>
      </c>
      <c r="D170" s="55">
        <v>0</v>
      </c>
      <c r="E170" s="55">
        <v>0</v>
      </c>
      <c r="F170" s="55">
        <v>0</v>
      </c>
      <c r="G170" s="55">
        <v>0</v>
      </c>
      <c r="H170" s="55">
        <f t="shared" si="2"/>
        <v>1</v>
      </c>
      <c r="I170" s="63"/>
      <c r="J170" s="55"/>
      <c r="K170" s="55"/>
      <c r="L170" s="55"/>
      <c r="M170" s="55"/>
      <c r="N170" s="55"/>
      <c r="O170" s="55"/>
      <c r="P170" s="55"/>
      <c r="Q170" s="56"/>
    </row>
    <row r="171" spans="2:17">
      <c r="B171" s="54">
        <v>40892</v>
      </c>
      <c r="C171" s="55">
        <v>17</v>
      </c>
      <c r="D171" s="55">
        <v>0</v>
      </c>
      <c r="E171" s="55">
        <v>0</v>
      </c>
      <c r="F171" s="55">
        <v>0</v>
      </c>
      <c r="G171" s="55">
        <v>0</v>
      </c>
      <c r="H171" s="55">
        <f t="shared" si="2"/>
        <v>1</v>
      </c>
      <c r="I171" s="63"/>
      <c r="J171" s="55"/>
      <c r="K171" s="55"/>
      <c r="L171" s="55"/>
      <c r="M171" s="55"/>
      <c r="N171" s="55"/>
      <c r="O171" s="55"/>
      <c r="P171" s="55"/>
      <c r="Q171" s="56"/>
    </row>
    <row r="172" spans="2:17">
      <c r="B172" s="54">
        <v>40893</v>
      </c>
      <c r="C172" s="55">
        <v>25</v>
      </c>
      <c r="D172" s="55">
        <v>0</v>
      </c>
      <c r="E172" s="55">
        <v>0</v>
      </c>
      <c r="F172" s="55">
        <v>0</v>
      </c>
      <c r="G172" s="55">
        <v>0</v>
      </c>
      <c r="H172" s="55">
        <f t="shared" si="2"/>
        <v>1</v>
      </c>
      <c r="I172" s="63"/>
      <c r="J172" s="55"/>
      <c r="K172" s="55"/>
      <c r="L172" s="55"/>
      <c r="M172" s="55"/>
      <c r="N172" s="55"/>
      <c r="O172" s="55"/>
      <c r="P172" s="55"/>
      <c r="Q172" s="56"/>
    </row>
    <row r="173" spans="2:17">
      <c r="B173" s="54">
        <v>40894</v>
      </c>
      <c r="C173" s="55">
        <v>35</v>
      </c>
      <c r="D173" s="55">
        <v>0</v>
      </c>
      <c r="E173" s="55">
        <v>0</v>
      </c>
      <c r="F173" s="55">
        <v>1</v>
      </c>
      <c r="G173" s="55">
        <v>1</v>
      </c>
      <c r="H173" s="55">
        <f t="shared" si="2"/>
        <v>4</v>
      </c>
      <c r="I173" s="63"/>
      <c r="J173" s="55"/>
      <c r="K173" s="55"/>
      <c r="L173" s="55"/>
      <c r="M173" s="55"/>
      <c r="N173" s="55"/>
      <c r="O173" s="55"/>
      <c r="P173" s="55"/>
      <c r="Q173" s="56"/>
    </row>
    <row r="174" spans="2:17">
      <c r="B174" s="54">
        <v>40895</v>
      </c>
      <c r="C174" s="55">
        <v>30</v>
      </c>
      <c r="D174" s="55">
        <v>0</v>
      </c>
      <c r="E174" s="55">
        <v>0</v>
      </c>
      <c r="F174" s="55">
        <v>1</v>
      </c>
      <c r="G174" s="55">
        <v>1</v>
      </c>
      <c r="H174" s="55">
        <f t="shared" si="2"/>
        <v>4</v>
      </c>
      <c r="I174" s="63"/>
      <c r="J174" s="55"/>
      <c r="K174" s="55"/>
      <c r="L174" s="55"/>
      <c r="M174" s="55"/>
      <c r="N174" s="55"/>
      <c r="O174" s="55"/>
      <c r="P174" s="55"/>
      <c r="Q174" s="56"/>
    </row>
    <row r="175" spans="2:17">
      <c r="B175" s="54">
        <v>40896</v>
      </c>
      <c r="C175" s="55">
        <v>30</v>
      </c>
      <c r="D175" s="55">
        <v>0</v>
      </c>
      <c r="E175" s="55">
        <v>0</v>
      </c>
      <c r="F175" s="55">
        <v>1</v>
      </c>
      <c r="G175" s="55">
        <v>0</v>
      </c>
      <c r="H175" s="55">
        <f t="shared" si="2"/>
        <v>2</v>
      </c>
      <c r="I175" s="63"/>
      <c r="J175" s="55"/>
      <c r="K175" s="55"/>
      <c r="L175" s="55"/>
      <c r="M175" s="55"/>
      <c r="N175" s="55"/>
      <c r="O175" s="55"/>
      <c r="P175" s="55"/>
      <c r="Q175" s="56"/>
    </row>
    <row r="176" spans="2:17">
      <c r="B176" s="54">
        <v>40897</v>
      </c>
      <c r="C176" s="55">
        <v>30</v>
      </c>
      <c r="D176" s="55">
        <v>0</v>
      </c>
      <c r="E176" s="55">
        <v>0</v>
      </c>
      <c r="F176" s="55">
        <v>0</v>
      </c>
      <c r="G176" s="55">
        <v>0</v>
      </c>
      <c r="H176" s="55">
        <f t="shared" si="2"/>
        <v>1</v>
      </c>
      <c r="I176" s="63"/>
      <c r="J176" s="55"/>
      <c r="K176" s="55"/>
      <c r="L176" s="55"/>
      <c r="M176" s="55"/>
      <c r="N176" s="55"/>
      <c r="O176" s="55"/>
      <c r="P176" s="55"/>
      <c r="Q176" s="56"/>
    </row>
    <row r="177" spans="2:17">
      <c r="B177" s="54">
        <v>40898</v>
      </c>
      <c r="C177" s="55">
        <v>28</v>
      </c>
      <c r="D177" s="55">
        <v>0</v>
      </c>
      <c r="E177" s="55">
        <v>0</v>
      </c>
      <c r="F177" s="55">
        <v>0</v>
      </c>
      <c r="G177" s="55">
        <v>0</v>
      </c>
      <c r="H177" s="55">
        <f t="shared" si="2"/>
        <v>1</v>
      </c>
      <c r="I177" s="63"/>
      <c r="J177" s="55"/>
      <c r="K177" s="55"/>
      <c r="L177" s="55"/>
      <c r="M177" s="55"/>
      <c r="N177" s="55"/>
      <c r="O177" s="55"/>
      <c r="P177" s="55"/>
      <c r="Q177" s="56"/>
    </row>
    <row r="178" spans="2:17">
      <c r="B178" s="54">
        <v>40899</v>
      </c>
      <c r="C178" s="55">
        <v>32</v>
      </c>
      <c r="D178" s="55">
        <v>0</v>
      </c>
      <c r="E178" s="55">
        <v>0</v>
      </c>
      <c r="F178" s="55">
        <v>1</v>
      </c>
      <c r="G178" s="55">
        <v>1</v>
      </c>
      <c r="H178" s="55">
        <f t="shared" si="2"/>
        <v>4</v>
      </c>
      <c r="I178" s="63"/>
      <c r="J178" s="55"/>
      <c r="K178" s="55"/>
      <c r="L178" s="55"/>
      <c r="M178" s="55"/>
      <c r="N178" s="55"/>
      <c r="O178" s="55"/>
      <c r="P178" s="55"/>
      <c r="Q178" s="56"/>
    </row>
    <row r="179" spans="2:17">
      <c r="B179" s="54">
        <v>40900</v>
      </c>
      <c r="C179" s="55">
        <v>36</v>
      </c>
      <c r="D179" s="55">
        <v>0</v>
      </c>
      <c r="E179" s="55">
        <v>0</v>
      </c>
      <c r="F179" s="55">
        <v>2</v>
      </c>
      <c r="G179" s="55">
        <v>1</v>
      </c>
      <c r="H179" s="55">
        <f t="shared" si="2"/>
        <v>6</v>
      </c>
      <c r="I179" s="63"/>
      <c r="J179" s="55"/>
      <c r="K179" s="55"/>
      <c r="L179" s="55"/>
      <c r="M179" s="55"/>
      <c r="N179" s="55"/>
      <c r="O179" s="55"/>
      <c r="P179" s="55"/>
      <c r="Q179" s="56"/>
    </row>
    <row r="180" spans="2:17">
      <c r="B180" s="54">
        <v>40901</v>
      </c>
      <c r="C180" s="55">
        <v>30</v>
      </c>
      <c r="D180" s="55">
        <v>0</v>
      </c>
      <c r="E180" s="55">
        <v>0</v>
      </c>
      <c r="F180" s="55">
        <v>2</v>
      </c>
      <c r="G180" s="55">
        <v>2</v>
      </c>
      <c r="H180" s="55">
        <f t="shared" si="2"/>
        <v>9</v>
      </c>
      <c r="I180" s="63"/>
      <c r="J180" s="55"/>
      <c r="K180" s="55"/>
      <c r="L180" s="55"/>
      <c r="M180" s="55"/>
      <c r="N180" s="55"/>
      <c r="O180" s="55"/>
      <c r="P180" s="55"/>
      <c r="Q180" s="56"/>
    </row>
    <row r="181" spans="2:17">
      <c r="B181" s="54">
        <v>40902</v>
      </c>
      <c r="C181" s="55">
        <v>22</v>
      </c>
      <c r="D181" s="55">
        <v>0</v>
      </c>
      <c r="E181" s="55">
        <v>0</v>
      </c>
      <c r="F181" s="55">
        <v>1</v>
      </c>
      <c r="G181" s="55">
        <v>1</v>
      </c>
      <c r="H181" s="55">
        <f t="shared" si="2"/>
        <v>4</v>
      </c>
      <c r="I181" s="63"/>
      <c r="J181" s="55"/>
      <c r="K181" s="55"/>
      <c r="L181" s="55"/>
      <c r="M181" s="55"/>
      <c r="N181" s="55"/>
      <c r="O181" s="55"/>
      <c r="P181" s="55"/>
      <c r="Q181" s="56"/>
    </row>
    <row r="182" spans="2:17">
      <c r="B182" s="54">
        <v>40903</v>
      </c>
      <c r="C182" s="55">
        <v>31</v>
      </c>
      <c r="D182" s="55">
        <v>0</v>
      </c>
      <c r="E182" s="55">
        <v>0</v>
      </c>
      <c r="F182" s="55">
        <v>1</v>
      </c>
      <c r="G182" s="55">
        <v>0</v>
      </c>
      <c r="H182" s="55">
        <f t="shared" si="2"/>
        <v>2</v>
      </c>
      <c r="I182" s="63"/>
      <c r="J182" s="55"/>
      <c r="K182" s="55"/>
      <c r="L182" s="55"/>
      <c r="M182" s="55"/>
      <c r="N182" s="55"/>
      <c r="O182" s="55"/>
      <c r="P182" s="55"/>
      <c r="Q182" s="56"/>
    </row>
    <row r="183" spans="2:17">
      <c r="B183" s="54">
        <v>40904</v>
      </c>
      <c r="C183" s="55">
        <v>30</v>
      </c>
      <c r="D183" s="55">
        <v>0</v>
      </c>
      <c r="E183" s="55">
        <v>0</v>
      </c>
      <c r="F183" s="55">
        <v>1</v>
      </c>
      <c r="G183" s="55">
        <v>0</v>
      </c>
      <c r="H183" s="55">
        <f t="shared" si="2"/>
        <v>2</v>
      </c>
      <c r="I183" s="63"/>
      <c r="J183" s="55"/>
      <c r="K183" s="55"/>
      <c r="L183" s="55"/>
      <c r="M183" s="55"/>
      <c r="N183" s="55"/>
      <c r="O183" s="55"/>
      <c r="P183" s="55"/>
      <c r="Q183" s="56"/>
    </row>
    <row r="184" spans="2:17">
      <c r="B184" s="54">
        <v>40905</v>
      </c>
      <c r="C184" s="55">
        <v>23</v>
      </c>
      <c r="D184" s="55">
        <v>0</v>
      </c>
      <c r="E184" s="55">
        <v>0</v>
      </c>
      <c r="F184" s="55">
        <v>1</v>
      </c>
      <c r="G184" s="55">
        <v>0</v>
      </c>
      <c r="H184" s="55">
        <f t="shared" si="2"/>
        <v>2</v>
      </c>
      <c r="I184" s="63"/>
      <c r="J184" s="55"/>
      <c r="K184" s="55"/>
      <c r="L184" s="55"/>
      <c r="M184" s="55"/>
      <c r="N184" s="55"/>
      <c r="O184" s="55"/>
      <c r="P184" s="55"/>
      <c r="Q184" s="56"/>
    </row>
    <row r="185" spans="2:17">
      <c r="B185" s="54">
        <v>40906</v>
      </c>
      <c r="C185" s="55">
        <v>26</v>
      </c>
      <c r="D185" s="55">
        <v>0</v>
      </c>
      <c r="E185" s="55">
        <v>0</v>
      </c>
      <c r="F185" s="55">
        <v>1</v>
      </c>
      <c r="G185" s="55">
        <v>0</v>
      </c>
      <c r="H185" s="55">
        <f t="shared" si="2"/>
        <v>2</v>
      </c>
      <c r="I185" s="63"/>
      <c r="J185" s="55"/>
      <c r="K185" s="55"/>
      <c r="L185" s="55"/>
      <c r="M185" s="55"/>
      <c r="N185" s="55"/>
      <c r="O185" s="55"/>
      <c r="P185" s="55"/>
      <c r="Q185" s="56"/>
    </row>
    <row r="186" spans="2:17">
      <c r="B186" s="54">
        <v>40907</v>
      </c>
      <c r="C186" s="55">
        <v>15</v>
      </c>
      <c r="D186" s="55">
        <v>0</v>
      </c>
      <c r="E186" s="55">
        <v>0</v>
      </c>
      <c r="F186" s="55">
        <v>1</v>
      </c>
      <c r="G186" s="55">
        <v>3</v>
      </c>
      <c r="H186" s="55">
        <f t="shared" si="2"/>
        <v>8</v>
      </c>
      <c r="I186" s="63"/>
      <c r="J186" s="55"/>
      <c r="K186" s="55"/>
      <c r="L186" s="55"/>
      <c r="M186" s="55"/>
      <c r="N186" s="55"/>
      <c r="O186" s="55"/>
      <c r="P186" s="55"/>
      <c r="Q186" s="56"/>
    </row>
    <row r="187" spans="2:17">
      <c r="B187" s="54">
        <v>40908</v>
      </c>
      <c r="C187" s="55">
        <v>0</v>
      </c>
      <c r="D187" s="55">
        <v>0</v>
      </c>
      <c r="E187" s="55">
        <v>1</v>
      </c>
      <c r="F187" s="55">
        <v>-1</v>
      </c>
      <c r="G187" s="55">
        <v>-1</v>
      </c>
      <c r="H187" s="55">
        <f t="shared" si="2"/>
        <v>0</v>
      </c>
      <c r="I187" s="63"/>
      <c r="J187" s="55"/>
      <c r="K187" s="55"/>
      <c r="L187" s="55"/>
      <c r="M187" s="55"/>
      <c r="N187" s="55"/>
      <c r="O187" s="55"/>
      <c r="P187" s="55"/>
      <c r="Q187" s="56"/>
    </row>
    <row r="188" spans="2:17">
      <c r="B188" s="54">
        <v>40909</v>
      </c>
      <c r="C188" s="55">
        <v>0</v>
      </c>
      <c r="D188" s="55">
        <v>0</v>
      </c>
      <c r="E188" s="55">
        <v>1</v>
      </c>
      <c r="F188" s="55">
        <v>-1</v>
      </c>
      <c r="G188" s="55">
        <v>-1</v>
      </c>
      <c r="H188" s="55">
        <f t="shared" si="2"/>
        <v>0</v>
      </c>
      <c r="I188" s="63"/>
      <c r="J188" s="55"/>
      <c r="K188" s="55"/>
      <c r="L188" s="55"/>
      <c r="M188" s="55"/>
      <c r="N188" s="55"/>
      <c r="O188" s="55"/>
      <c r="P188" s="55"/>
      <c r="Q188" s="56"/>
    </row>
    <row r="189" spans="2:17">
      <c r="B189" s="54">
        <v>40910</v>
      </c>
      <c r="C189" s="55">
        <v>0</v>
      </c>
      <c r="D189" s="55">
        <v>0</v>
      </c>
      <c r="E189" s="55">
        <v>1</v>
      </c>
      <c r="F189" s="55">
        <v>-1</v>
      </c>
      <c r="G189" s="55">
        <v>-1</v>
      </c>
      <c r="H189" s="55">
        <f t="shared" si="2"/>
        <v>0</v>
      </c>
      <c r="I189" s="63"/>
      <c r="J189" s="55"/>
      <c r="K189" s="55"/>
      <c r="L189" s="55"/>
      <c r="M189" s="55"/>
      <c r="N189" s="55"/>
      <c r="O189" s="55"/>
      <c r="P189" s="55"/>
      <c r="Q189" s="56"/>
    </row>
    <row r="190" spans="2:17">
      <c r="B190" s="54">
        <v>40911</v>
      </c>
      <c r="C190" s="55">
        <v>0</v>
      </c>
      <c r="D190" s="55">
        <v>0</v>
      </c>
      <c r="E190" s="55">
        <v>1</v>
      </c>
      <c r="F190" s="55">
        <v>-1</v>
      </c>
      <c r="G190" s="55">
        <v>-1</v>
      </c>
      <c r="H190" s="55">
        <f t="shared" si="2"/>
        <v>0</v>
      </c>
      <c r="I190" s="63"/>
      <c r="J190" s="55"/>
      <c r="K190" s="55"/>
      <c r="L190" s="55"/>
      <c r="M190" s="55"/>
      <c r="N190" s="55"/>
      <c r="O190" s="55"/>
      <c r="P190" s="55"/>
      <c r="Q190" s="56"/>
    </row>
    <row r="191" spans="2:17">
      <c r="B191" s="54">
        <v>40912</v>
      </c>
      <c r="C191" s="55">
        <v>12</v>
      </c>
      <c r="D191" s="55">
        <v>0</v>
      </c>
      <c r="E191" s="55">
        <v>0</v>
      </c>
      <c r="F191" s="55">
        <v>0</v>
      </c>
      <c r="G191" s="55">
        <v>0</v>
      </c>
      <c r="H191" s="55">
        <f t="shared" si="2"/>
        <v>1</v>
      </c>
      <c r="I191" s="63"/>
      <c r="J191" s="55"/>
      <c r="K191" s="55"/>
      <c r="L191" s="55"/>
      <c r="M191" s="55"/>
      <c r="N191" s="55"/>
      <c r="O191" s="55"/>
      <c r="P191" s="55"/>
      <c r="Q191" s="56"/>
    </row>
    <row r="192" spans="2:17">
      <c r="B192" s="54">
        <v>40913</v>
      </c>
      <c r="C192" s="55">
        <v>9</v>
      </c>
      <c r="D192" s="55">
        <v>0</v>
      </c>
      <c r="E192" s="55">
        <v>0</v>
      </c>
      <c r="F192" s="55">
        <v>0</v>
      </c>
      <c r="G192" s="55">
        <v>0</v>
      </c>
      <c r="H192" s="55">
        <f t="shared" si="2"/>
        <v>1</v>
      </c>
      <c r="I192" s="63"/>
      <c r="J192" s="55"/>
      <c r="K192" s="55"/>
      <c r="L192" s="55"/>
      <c r="M192" s="55"/>
      <c r="N192" s="55"/>
      <c r="O192" s="55"/>
      <c r="P192" s="55"/>
      <c r="Q192" s="56"/>
    </row>
    <row r="193" spans="2:17">
      <c r="B193" s="54">
        <v>40914</v>
      </c>
      <c r="C193" s="55">
        <v>8</v>
      </c>
      <c r="D193" s="55">
        <v>0</v>
      </c>
      <c r="E193" s="55">
        <v>0</v>
      </c>
      <c r="F193" s="55">
        <v>0</v>
      </c>
      <c r="G193" s="55">
        <v>0</v>
      </c>
      <c r="H193" s="55">
        <f t="shared" si="2"/>
        <v>1</v>
      </c>
      <c r="I193" s="63"/>
      <c r="J193" s="55"/>
      <c r="K193" s="55"/>
      <c r="L193" s="55"/>
      <c r="M193" s="55"/>
      <c r="N193" s="55"/>
      <c r="O193" s="55"/>
      <c r="P193" s="55"/>
      <c r="Q193" s="56"/>
    </row>
    <row r="194" spans="2:17">
      <c r="B194" s="54">
        <v>40915</v>
      </c>
      <c r="C194" s="55">
        <v>29</v>
      </c>
      <c r="D194" s="55">
        <v>0</v>
      </c>
      <c r="E194" s="55">
        <v>0</v>
      </c>
      <c r="F194" s="55">
        <v>0</v>
      </c>
      <c r="G194" s="55">
        <v>0</v>
      </c>
      <c r="H194" s="55">
        <f t="shared" si="2"/>
        <v>1</v>
      </c>
      <c r="I194" s="63"/>
      <c r="J194" s="55"/>
      <c r="K194" s="55"/>
      <c r="L194" s="55"/>
      <c r="M194" s="55"/>
      <c r="N194" s="55"/>
      <c r="O194" s="55"/>
      <c r="P194" s="55"/>
      <c r="Q194" s="56"/>
    </row>
    <row r="195" spans="2:17">
      <c r="B195" s="54">
        <v>40916</v>
      </c>
      <c r="C195" s="55">
        <v>23</v>
      </c>
      <c r="D195" s="55">
        <v>0</v>
      </c>
      <c r="E195" s="55">
        <v>0</v>
      </c>
      <c r="F195" s="55">
        <v>0</v>
      </c>
      <c r="G195" s="55">
        <v>0</v>
      </c>
      <c r="H195" s="55">
        <f t="shared" si="2"/>
        <v>1</v>
      </c>
      <c r="I195" s="63"/>
      <c r="J195" s="55"/>
      <c r="K195" s="55"/>
      <c r="L195" s="55"/>
      <c r="M195" s="55"/>
      <c r="N195" s="55"/>
      <c r="O195" s="55"/>
      <c r="P195" s="55"/>
      <c r="Q195" s="56"/>
    </row>
    <row r="196" spans="2:17">
      <c r="B196" s="54">
        <v>40917</v>
      </c>
      <c r="C196" s="55">
        <v>9</v>
      </c>
      <c r="D196" s="55">
        <v>0</v>
      </c>
      <c r="E196" s="55">
        <v>0</v>
      </c>
      <c r="F196" s="55">
        <v>0</v>
      </c>
      <c r="G196" s="55">
        <v>0</v>
      </c>
      <c r="H196" s="55">
        <f t="shared" ref="H196:H259" si="3">(F196+1)*(G196+1)</f>
        <v>1</v>
      </c>
      <c r="I196" s="63"/>
      <c r="J196" s="55"/>
      <c r="K196" s="55"/>
      <c r="L196" s="55"/>
      <c r="M196" s="55"/>
      <c r="N196" s="55"/>
      <c r="O196" s="55"/>
      <c r="P196" s="55"/>
      <c r="Q196" s="56"/>
    </row>
    <row r="197" spans="2:17">
      <c r="B197" s="54">
        <v>40918</v>
      </c>
      <c r="C197" s="55">
        <v>10</v>
      </c>
      <c r="D197" s="55">
        <v>0</v>
      </c>
      <c r="E197" s="55">
        <v>0</v>
      </c>
      <c r="F197" s="55">
        <v>0</v>
      </c>
      <c r="G197" s="55">
        <v>0</v>
      </c>
      <c r="H197" s="55">
        <f t="shared" si="3"/>
        <v>1</v>
      </c>
      <c r="I197" s="63"/>
      <c r="J197" s="55"/>
      <c r="K197" s="55"/>
      <c r="L197" s="55"/>
      <c r="M197" s="55"/>
      <c r="N197" s="55"/>
      <c r="O197" s="55"/>
      <c r="P197" s="55"/>
      <c r="Q197" s="56"/>
    </row>
    <row r="198" spans="2:17">
      <c r="B198" s="54">
        <v>40919</v>
      </c>
      <c r="C198" s="55">
        <v>10</v>
      </c>
      <c r="D198" s="55">
        <v>0</v>
      </c>
      <c r="E198" s="55">
        <v>0</v>
      </c>
      <c r="F198" s="55">
        <v>0</v>
      </c>
      <c r="G198" s="55">
        <v>0</v>
      </c>
      <c r="H198" s="55">
        <f t="shared" si="3"/>
        <v>1</v>
      </c>
      <c r="I198" s="63"/>
      <c r="J198" s="55"/>
      <c r="K198" s="55"/>
      <c r="L198" s="55"/>
      <c r="M198" s="55"/>
      <c r="N198" s="55"/>
      <c r="O198" s="55"/>
      <c r="P198" s="55"/>
      <c r="Q198" s="56"/>
    </row>
    <row r="199" spans="2:17">
      <c r="B199" s="54">
        <v>40920</v>
      </c>
      <c r="C199" s="55">
        <v>7</v>
      </c>
      <c r="D199" s="55">
        <v>0</v>
      </c>
      <c r="E199" s="55">
        <v>0</v>
      </c>
      <c r="F199" s="55">
        <v>0</v>
      </c>
      <c r="G199" s="55">
        <v>0</v>
      </c>
      <c r="H199" s="55">
        <f t="shared" si="3"/>
        <v>1</v>
      </c>
      <c r="I199" s="63"/>
      <c r="J199" s="55"/>
      <c r="K199" s="55"/>
      <c r="L199" s="55"/>
      <c r="M199" s="55"/>
      <c r="N199" s="55"/>
      <c r="O199" s="55"/>
      <c r="P199" s="55"/>
      <c r="Q199" s="56"/>
    </row>
    <row r="200" spans="2:17">
      <c r="B200" s="54">
        <v>40921</v>
      </c>
      <c r="C200" s="55">
        <v>9</v>
      </c>
      <c r="D200" s="55">
        <v>0</v>
      </c>
      <c r="E200" s="55">
        <v>0</v>
      </c>
      <c r="F200" s="55">
        <v>0</v>
      </c>
      <c r="G200" s="55">
        <v>0</v>
      </c>
      <c r="H200" s="55">
        <f t="shared" si="3"/>
        <v>1</v>
      </c>
      <c r="I200" s="63"/>
      <c r="J200" s="55"/>
      <c r="K200" s="55"/>
      <c r="L200" s="55"/>
      <c r="M200" s="55"/>
      <c r="N200" s="55"/>
      <c r="O200" s="55"/>
      <c r="P200" s="55"/>
      <c r="Q200" s="56"/>
    </row>
    <row r="201" spans="2:17">
      <c r="B201" s="54">
        <v>40922</v>
      </c>
      <c r="C201" s="55">
        <v>24</v>
      </c>
      <c r="D201" s="55">
        <v>0</v>
      </c>
      <c r="E201" s="55">
        <v>0</v>
      </c>
      <c r="F201" s="55">
        <v>0</v>
      </c>
      <c r="G201" s="55">
        <v>1</v>
      </c>
      <c r="H201" s="55">
        <f t="shared" si="3"/>
        <v>2</v>
      </c>
      <c r="I201" s="63"/>
      <c r="J201" s="55"/>
      <c r="K201" s="55"/>
      <c r="L201" s="55"/>
      <c r="M201" s="55"/>
      <c r="N201" s="55"/>
      <c r="O201" s="55"/>
      <c r="P201" s="55"/>
      <c r="Q201" s="56"/>
    </row>
    <row r="202" spans="2:17">
      <c r="B202" s="54">
        <v>40923</v>
      </c>
      <c r="C202" s="55">
        <v>21</v>
      </c>
      <c r="D202" s="55">
        <v>0</v>
      </c>
      <c r="E202" s="55">
        <v>0</v>
      </c>
      <c r="F202" s="55">
        <v>0</v>
      </c>
      <c r="G202" s="55">
        <v>0</v>
      </c>
      <c r="H202" s="55">
        <f t="shared" si="3"/>
        <v>1</v>
      </c>
      <c r="I202" s="63"/>
      <c r="J202" s="55"/>
      <c r="K202" s="55"/>
      <c r="L202" s="55"/>
      <c r="M202" s="55"/>
      <c r="N202" s="55"/>
      <c r="O202" s="55"/>
      <c r="P202" s="55"/>
      <c r="Q202" s="56"/>
    </row>
    <row r="203" spans="2:17">
      <c r="B203" s="54">
        <v>40924</v>
      </c>
      <c r="C203" s="55">
        <v>18</v>
      </c>
      <c r="D203" s="55">
        <v>0</v>
      </c>
      <c r="E203" s="55">
        <v>0</v>
      </c>
      <c r="F203" s="55">
        <v>0</v>
      </c>
      <c r="G203" s="55">
        <v>0</v>
      </c>
      <c r="H203" s="55">
        <f t="shared" si="3"/>
        <v>1</v>
      </c>
      <c r="I203" s="63"/>
      <c r="J203" s="55"/>
      <c r="K203" s="55"/>
      <c r="L203" s="55"/>
      <c r="M203" s="55"/>
      <c r="N203" s="55"/>
      <c r="O203" s="55"/>
      <c r="P203" s="55"/>
      <c r="Q203" s="56"/>
    </row>
    <row r="204" spans="2:17">
      <c r="B204" s="54">
        <v>40925</v>
      </c>
      <c r="C204" s="55">
        <v>18</v>
      </c>
      <c r="D204" s="55">
        <v>0</v>
      </c>
      <c r="E204" s="55">
        <v>0</v>
      </c>
      <c r="F204" s="55">
        <v>0</v>
      </c>
      <c r="G204" s="55">
        <v>0</v>
      </c>
      <c r="H204" s="55">
        <f t="shared" si="3"/>
        <v>1</v>
      </c>
      <c r="I204" s="63"/>
      <c r="J204" s="55"/>
      <c r="K204" s="55"/>
      <c r="L204" s="55"/>
      <c r="M204" s="55"/>
      <c r="N204" s="55"/>
      <c r="O204" s="55"/>
      <c r="P204" s="55"/>
      <c r="Q204" s="56"/>
    </row>
    <row r="205" spans="2:17">
      <c r="B205" s="54">
        <v>40926</v>
      </c>
      <c r="C205" s="55">
        <v>17</v>
      </c>
      <c r="D205" s="55">
        <v>0</v>
      </c>
      <c r="E205" s="55">
        <v>0</v>
      </c>
      <c r="F205" s="55">
        <v>0</v>
      </c>
      <c r="G205" s="55">
        <v>0</v>
      </c>
      <c r="H205" s="55">
        <f t="shared" si="3"/>
        <v>1</v>
      </c>
      <c r="I205" s="63"/>
      <c r="J205" s="55"/>
      <c r="K205" s="55"/>
      <c r="L205" s="55"/>
      <c r="M205" s="55"/>
      <c r="N205" s="55"/>
      <c r="O205" s="55"/>
      <c r="P205" s="55"/>
      <c r="Q205" s="56"/>
    </row>
    <row r="206" spans="2:17">
      <c r="B206" s="54">
        <v>40927</v>
      </c>
      <c r="C206" s="55">
        <v>13</v>
      </c>
      <c r="D206" s="55">
        <v>0</v>
      </c>
      <c r="E206" s="55">
        <v>0</v>
      </c>
      <c r="F206" s="55">
        <v>0</v>
      </c>
      <c r="G206" s="55">
        <v>0</v>
      </c>
      <c r="H206" s="55">
        <f t="shared" si="3"/>
        <v>1</v>
      </c>
      <c r="I206" s="63"/>
      <c r="J206" s="55"/>
      <c r="K206" s="55"/>
      <c r="L206" s="55"/>
      <c r="M206" s="55"/>
      <c r="N206" s="55"/>
      <c r="O206" s="55"/>
      <c r="P206" s="55"/>
      <c r="Q206" s="56"/>
    </row>
    <row r="207" spans="2:17">
      <c r="B207" s="54">
        <v>40928</v>
      </c>
      <c r="C207" s="55">
        <v>18</v>
      </c>
      <c r="D207" s="55">
        <v>0</v>
      </c>
      <c r="E207" s="55">
        <v>0</v>
      </c>
      <c r="F207" s="55">
        <v>0</v>
      </c>
      <c r="G207" s="55">
        <v>0</v>
      </c>
      <c r="H207" s="55">
        <f t="shared" si="3"/>
        <v>1</v>
      </c>
      <c r="I207" s="63"/>
      <c r="J207" s="55"/>
      <c r="K207" s="55"/>
      <c r="L207" s="55"/>
      <c r="M207" s="55"/>
      <c r="N207" s="55"/>
      <c r="O207" s="55"/>
      <c r="P207" s="55"/>
      <c r="Q207" s="56"/>
    </row>
    <row r="208" spans="2:17">
      <c r="B208" s="54">
        <v>40929</v>
      </c>
      <c r="C208" s="55">
        <v>30</v>
      </c>
      <c r="D208" s="55">
        <v>0</v>
      </c>
      <c r="E208" s="55">
        <v>0</v>
      </c>
      <c r="F208" s="55">
        <v>1</v>
      </c>
      <c r="G208" s="55">
        <v>0</v>
      </c>
      <c r="H208" s="55">
        <f t="shared" si="3"/>
        <v>2</v>
      </c>
      <c r="I208" s="63"/>
      <c r="J208" s="55"/>
      <c r="K208" s="55"/>
      <c r="L208" s="55"/>
      <c r="M208" s="55"/>
      <c r="N208" s="55"/>
      <c r="O208" s="55"/>
      <c r="P208" s="55"/>
      <c r="Q208" s="56"/>
    </row>
    <row r="209" spans="2:17">
      <c r="B209" s="54">
        <v>40930</v>
      </c>
      <c r="C209" s="55">
        <v>28</v>
      </c>
      <c r="D209" s="55">
        <v>0</v>
      </c>
      <c r="E209" s="55">
        <v>0</v>
      </c>
      <c r="F209" s="55">
        <v>1</v>
      </c>
      <c r="G209" s="55">
        <v>0</v>
      </c>
      <c r="H209" s="55">
        <f t="shared" si="3"/>
        <v>2</v>
      </c>
      <c r="I209" s="63"/>
      <c r="J209" s="55"/>
      <c r="K209" s="55"/>
      <c r="L209" s="55"/>
      <c r="M209" s="55"/>
      <c r="N209" s="55"/>
      <c r="O209" s="55"/>
      <c r="P209" s="55"/>
      <c r="Q209" s="56"/>
    </row>
    <row r="210" spans="2:17">
      <c r="B210" s="54">
        <v>40931</v>
      </c>
      <c r="C210" s="55">
        <v>18</v>
      </c>
      <c r="D210" s="55">
        <v>0</v>
      </c>
      <c r="E210" s="55">
        <v>0</v>
      </c>
      <c r="F210" s="55">
        <v>0</v>
      </c>
      <c r="G210" s="55">
        <v>0</v>
      </c>
      <c r="H210" s="55">
        <f t="shared" si="3"/>
        <v>1</v>
      </c>
      <c r="I210" s="63"/>
      <c r="J210" s="55"/>
      <c r="K210" s="55"/>
      <c r="L210" s="55"/>
      <c r="M210" s="55"/>
      <c r="N210" s="55"/>
      <c r="O210" s="55"/>
      <c r="P210" s="55"/>
      <c r="Q210" s="56"/>
    </row>
    <row r="211" spans="2:17">
      <c r="B211" s="54">
        <v>40932</v>
      </c>
      <c r="C211" s="55">
        <v>17</v>
      </c>
      <c r="D211" s="55">
        <v>0</v>
      </c>
      <c r="E211" s="55">
        <v>0</v>
      </c>
      <c r="F211" s="55">
        <v>0</v>
      </c>
      <c r="G211" s="55">
        <v>0</v>
      </c>
      <c r="H211" s="55">
        <f t="shared" si="3"/>
        <v>1</v>
      </c>
      <c r="I211" s="63"/>
      <c r="J211" s="55"/>
      <c r="K211" s="55"/>
      <c r="L211" s="55"/>
      <c r="M211" s="55"/>
      <c r="N211" s="55"/>
      <c r="O211" s="55"/>
      <c r="P211" s="55"/>
      <c r="Q211" s="56"/>
    </row>
    <row r="212" spans="2:17">
      <c r="B212" s="54">
        <v>40933</v>
      </c>
      <c r="C212" s="55">
        <v>20</v>
      </c>
      <c r="D212" s="55">
        <v>0</v>
      </c>
      <c r="E212" s="55">
        <v>0</v>
      </c>
      <c r="F212" s="55">
        <v>0</v>
      </c>
      <c r="G212" s="55">
        <v>0</v>
      </c>
      <c r="H212" s="55">
        <f t="shared" si="3"/>
        <v>1</v>
      </c>
      <c r="I212" s="63"/>
      <c r="J212" s="55"/>
      <c r="K212" s="55"/>
      <c r="L212" s="55"/>
      <c r="M212" s="55"/>
      <c r="N212" s="55"/>
      <c r="O212" s="55"/>
      <c r="P212" s="55"/>
      <c r="Q212" s="56"/>
    </row>
    <row r="213" spans="2:17">
      <c r="B213" s="54">
        <v>40934</v>
      </c>
      <c r="C213" s="55">
        <v>16</v>
      </c>
      <c r="D213" s="55">
        <v>0</v>
      </c>
      <c r="E213" s="55">
        <v>0</v>
      </c>
      <c r="F213" s="55">
        <v>0</v>
      </c>
      <c r="G213" s="55">
        <v>0</v>
      </c>
      <c r="H213" s="55">
        <f t="shared" si="3"/>
        <v>1</v>
      </c>
      <c r="I213" s="63"/>
      <c r="J213" s="55"/>
      <c r="K213" s="55"/>
      <c r="L213" s="55"/>
      <c r="M213" s="55"/>
      <c r="N213" s="55"/>
      <c r="O213" s="55"/>
      <c r="P213" s="55"/>
      <c r="Q213" s="56"/>
    </row>
    <row r="214" spans="2:17">
      <c r="B214" s="54">
        <v>40935</v>
      </c>
      <c r="C214" s="55">
        <v>30</v>
      </c>
      <c r="D214" s="55">
        <v>0</v>
      </c>
      <c r="E214" s="55">
        <v>0</v>
      </c>
      <c r="F214" s="55">
        <v>1</v>
      </c>
      <c r="G214" s="55">
        <v>1</v>
      </c>
      <c r="H214" s="55">
        <f t="shared" si="3"/>
        <v>4</v>
      </c>
      <c r="I214" s="63"/>
      <c r="J214" s="55"/>
      <c r="K214" s="55"/>
      <c r="L214" s="55"/>
      <c r="M214" s="55"/>
      <c r="N214" s="55"/>
      <c r="O214" s="55"/>
      <c r="P214" s="55"/>
      <c r="Q214" s="56"/>
    </row>
    <row r="215" spans="2:17">
      <c r="B215" s="54">
        <v>40936</v>
      </c>
      <c r="C215" s="55">
        <v>32</v>
      </c>
      <c r="D215" s="55">
        <v>0</v>
      </c>
      <c r="E215" s="55">
        <v>0</v>
      </c>
      <c r="F215" s="55">
        <v>2</v>
      </c>
      <c r="G215" s="55">
        <v>1</v>
      </c>
      <c r="H215" s="55">
        <f t="shared" si="3"/>
        <v>6</v>
      </c>
      <c r="I215" s="63"/>
      <c r="J215" s="55"/>
      <c r="K215" s="55"/>
      <c r="L215" s="55"/>
      <c r="M215" s="55"/>
      <c r="N215" s="55"/>
      <c r="O215" s="55"/>
      <c r="P215" s="55"/>
      <c r="Q215" s="56"/>
    </row>
    <row r="216" spans="2:17">
      <c r="B216" s="54">
        <v>40937</v>
      </c>
      <c r="C216" s="55">
        <v>26</v>
      </c>
      <c r="D216" s="55">
        <v>0</v>
      </c>
      <c r="E216" s="55">
        <v>0</v>
      </c>
      <c r="F216" s="55">
        <v>2</v>
      </c>
      <c r="G216" s="55">
        <v>1</v>
      </c>
      <c r="H216" s="55">
        <f t="shared" si="3"/>
        <v>6</v>
      </c>
      <c r="I216" s="63"/>
      <c r="J216" s="55"/>
      <c r="K216" s="55"/>
      <c r="L216" s="55"/>
      <c r="M216" s="55"/>
      <c r="N216" s="55"/>
      <c r="O216" s="55"/>
      <c r="P216" s="55"/>
      <c r="Q216" s="56"/>
    </row>
    <row r="217" spans="2:17">
      <c r="B217" s="54">
        <v>40938</v>
      </c>
      <c r="C217" s="55">
        <v>33</v>
      </c>
      <c r="D217" s="55">
        <v>0</v>
      </c>
      <c r="E217" s="55">
        <v>0</v>
      </c>
      <c r="F217" s="55">
        <v>1</v>
      </c>
      <c r="G217" s="55">
        <v>0</v>
      </c>
      <c r="H217" s="55">
        <f t="shared" si="3"/>
        <v>2</v>
      </c>
      <c r="I217" s="63"/>
      <c r="J217" s="55"/>
      <c r="K217" s="55"/>
      <c r="L217" s="55"/>
      <c r="M217" s="55"/>
      <c r="N217" s="55"/>
      <c r="O217" s="55"/>
      <c r="P217" s="55"/>
      <c r="Q217" s="56"/>
    </row>
    <row r="218" spans="2:17">
      <c r="B218" s="54">
        <v>40939</v>
      </c>
      <c r="C218" s="55">
        <v>29</v>
      </c>
      <c r="D218" s="55">
        <v>0</v>
      </c>
      <c r="E218" s="55">
        <v>0</v>
      </c>
      <c r="F218" s="55">
        <v>1</v>
      </c>
      <c r="G218" s="55">
        <v>1</v>
      </c>
      <c r="H218" s="55">
        <f t="shared" si="3"/>
        <v>4</v>
      </c>
      <c r="I218" s="63"/>
      <c r="J218" s="55"/>
      <c r="K218" s="55"/>
      <c r="L218" s="55"/>
      <c r="M218" s="55"/>
      <c r="N218" s="55"/>
      <c r="O218" s="55"/>
      <c r="P218" s="55"/>
      <c r="Q218" s="56"/>
    </row>
    <row r="219" spans="2:17">
      <c r="B219" s="54">
        <v>40940</v>
      </c>
      <c r="C219" s="55">
        <v>27</v>
      </c>
      <c r="D219" s="55">
        <v>0</v>
      </c>
      <c r="E219" s="55">
        <v>0</v>
      </c>
      <c r="F219" s="55">
        <v>1</v>
      </c>
      <c r="G219" s="55">
        <v>1</v>
      </c>
      <c r="H219" s="55">
        <f t="shared" si="3"/>
        <v>4</v>
      </c>
      <c r="I219" s="63"/>
      <c r="J219" s="55"/>
      <c r="K219" s="55"/>
      <c r="L219" s="55"/>
      <c r="M219" s="55"/>
      <c r="N219" s="55"/>
      <c r="O219" s="55"/>
      <c r="P219" s="55"/>
      <c r="Q219" s="56"/>
    </row>
    <row r="220" spans="2:17">
      <c r="B220" s="54">
        <v>40941</v>
      </c>
      <c r="C220" s="55">
        <v>17</v>
      </c>
      <c r="D220" s="55">
        <v>0</v>
      </c>
      <c r="E220" s="55">
        <v>0</v>
      </c>
      <c r="F220" s="55">
        <v>1</v>
      </c>
      <c r="G220" s="55">
        <v>0</v>
      </c>
      <c r="H220" s="55">
        <f t="shared" si="3"/>
        <v>2</v>
      </c>
      <c r="I220" s="63"/>
      <c r="J220" s="55"/>
      <c r="K220" s="55"/>
      <c r="L220" s="55"/>
      <c r="M220" s="55"/>
      <c r="N220" s="55"/>
      <c r="O220" s="55"/>
      <c r="P220" s="55"/>
      <c r="Q220" s="56"/>
    </row>
    <row r="221" spans="2:17">
      <c r="B221" s="54">
        <v>40942</v>
      </c>
      <c r="C221" s="55">
        <v>19</v>
      </c>
      <c r="D221" s="55">
        <v>0</v>
      </c>
      <c r="E221" s="55">
        <v>0</v>
      </c>
      <c r="F221" s="55">
        <v>0</v>
      </c>
      <c r="G221" s="55">
        <v>0</v>
      </c>
      <c r="H221" s="55">
        <f t="shared" si="3"/>
        <v>1</v>
      </c>
      <c r="I221" s="63"/>
      <c r="J221" s="55"/>
      <c r="K221" s="55"/>
      <c r="L221" s="55"/>
      <c r="M221" s="55"/>
      <c r="N221" s="55"/>
      <c r="O221" s="55"/>
      <c r="P221" s="55"/>
      <c r="Q221" s="56"/>
    </row>
    <row r="222" spans="2:17">
      <c r="B222" s="54">
        <v>40943</v>
      </c>
      <c r="C222" s="55">
        <v>33</v>
      </c>
      <c r="D222" s="55">
        <v>0</v>
      </c>
      <c r="E222" s="55">
        <v>0</v>
      </c>
      <c r="F222" s="55">
        <v>2</v>
      </c>
      <c r="G222" s="55">
        <v>1</v>
      </c>
      <c r="H222" s="55">
        <f t="shared" si="3"/>
        <v>6</v>
      </c>
      <c r="I222" s="63"/>
      <c r="J222" s="55"/>
      <c r="K222" s="55"/>
      <c r="L222" s="55"/>
      <c r="M222" s="55"/>
      <c r="N222" s="55"/>
      <c r="O222" s="55"/>
      <c r="P222" s="55"/>
      <c r="Q222" s="56"/>
    </row>
    <row r="223" spans="2:17">
      <c r="B223" s="54">
        <v>40944</v>
      </c>
      <c r="C223" s="55">
        <v>19</v>
      </c>
      <c r="D223" s="55">
        <v>0</v>
      </c>
      <c r="E223" s="55">
        <v>0</v>
      </c>
      <c r="F223" s="55">
        <v>1</v>
      </c>
      <c r="G223" s="55">
        <v>1</v>
      </c>
      <c r="H223" s="55">
        <f t="shared" si="3"/>
        <v>4</v>
      </c>
      <c r="I223" s="63"/>
      <c r="J223" s="55"/>
      <c r="K223" s="55"/>
      <c r="L223" s="55"/>
      <c r="M223" s="55"/>
      <c r="N223" s="55"/>
      <c r="O223" s="55"/>
      <c r="P223" s="55"/>
      <c r="Q223" s="56"/>
    </row>
    <row r="224" spans="2:17">
      <c r="B224" s="54">
        <v>40945</v>
      </c>
      <c r="C224" s="55">
        <v>23</v>
      </c>
      <c r="D224" s="55">
        <v>0</v>
      </c>
      <c r="E224" s="55">
        <v>0</v>
      </c>
      <c r="F224" s="55">
        <v>0</v>
      </c>
      <c r="G224" s="55">
        <v>0</v>
      </c>
      <c r="H224" s="55">
        <f t="shared" si="3"/>
        <v>1</v>
      </c>
      <c r="I224" s="63"/>
      <c r="J224" s="55"/>
      <c r="K224" s="55"/>
      <c r="L224" s="55"/>
      <c r="M224" s="55"/>
      <c r="N224" s="55"/>
      <c r="O224" s="55"/>
      <c r="P224" s="55"/>
      <c r="Q224" s="56"/>
    </row>
    <row r="225" spans="2:17">
      <c r="B225" s="54">
        <v>40946</v>
      </c>
      <c r="C225" s="55">
        <v>18</v>
      </c>
      <c r="D225" s="55">
        <v>0</v>
      </c>
      <c r="E225" s="55">
        <v>0</v>
      </c>
      <c r="F225" s="55">
        <v>0</v>
      </c>
      <c r="G225" s="55">
        <v>0</v>
      </c>
      <c r="H225" s="55">
        <f t="shared" si="3"/>
        <v>1</v>
      </c>
      <c r="I225" s="63"/>
      <c r="J225" s="55"/>
      <c r="K225" s="55"/>
      <c r="L225" s="55"/>
      <c r="M225" s="55"/>
      <c r="N225" s="55"/>
      <c r="O225" s="55"/>
      <c r="P225" s="55"/>
      <c r="Q225" s="56"/>
    </row>
    <row r="226" spans="2:17">
      <c r="B226" s="54">
        <v>40947</v>
      </c>
      <c r="C226" s="55">
        <v>22</v>
      </c>
      <c r="D226" s="55">
        <v>0</v>
      </c>
      <c r="E226" s="55">
        <v>0</v>
      </c>
      <c r="F226" s="55">
        <v>0</v>
      </c>
      <c r="G226" s="55">
        <v>0</v>
      </c>
      <c r="H226" s="55">
        <f t="shared" si="3"/>
        <v>1</v>
      </c>
      <c r="I226" s="63"/>
      <c r="J226" s="55"/>
      <c r="K226" s="55"/>
      <c r="L226" s="55"/>
      <c r="M226" s="55"/>
      <c r="N226" s="55"/>
      <c r="O226" s="55"/>
      <c r="P226" s="55"/>
      <c r="Q226" s="56"/>
    </row>
    <row r="227" spans="2:17">
      <c r="B227" s="54">
        <v>40948</v>
      </c>
      <c r="C227" s="55">
        <v>14</v>
      </c>
      <c r="D227" s="55">
        <v>0</v>
      </c>
      <c r="E227" s="55">
        <v>0</v>
      </c>
      <c r="F227" s="55">
        <v>0</v>
      </c>
      <c r="G227" s="55">
        <v>0</v>
      </c>
      <c r="H227" s="55">
        <f t="shared" si="3"/>
        <v>1</v>
      </c>
      <c r="I227" s="63"/>
      <c r="J227" s="55"/>
      <c r="K227" s="55"/>
      <c r="L227" s="55"/>
      <c r="M227" s="55"/>
      <c r="N227" s="55"/>
      <c r="O227" s="55"/>
      <c r="P227" s="55"/>
      <c r="Q227" s="56"/>
    </row>
    <row r="228" spans="2:17">
      <c r="B228" s="54">
        <v>40949</v>
      </c>
      <c r="C228" s="55">
        <v>25</v>
      </c>
      <c r="D228" s="55">
        <v>0</v>
      </c>
      <c r="E228" s="55">
        <v>0</v>
      </c>
      <c r="F228" s="55">
        <v>0</v>
      </c>
      <c r="G228" s="55">
        <v>0</v>
      </c>
      <c r="H228" s="55">
        <f t="shared" si="3"/>
        <v>1</v>
      </c>
      <c r="I228" s="63"/>
      <c r="J228" s="55"/>
      <c r="K228" s="55"/>
      <c r="L228" s="55"/>
      <c r="M228" s="55"/>
      <c r="N228" s="55"/>
      <c r="O228" s="55"/>
      <c r="P228" s="55"/>
      <c r="Q228" s="56"/>
    </row>
    <row r="229" spans="2:17">
      <c r="B229" s="54">
        <v>40950</v>
      </c>
      <c r="C229" s="55">
        <v>36</v>
      </c>
      <c r="D229" s="55">
        <v>0</v>
      </c>
      <c r="E229" s="55">
        <v>0</v>
      </c>
      <c r="F229" s="55">
        <v>1</v>
      </c>
      <c r="G229" s="55">
        <v>1</v>
      </c>
      <c r="H229" s="55">
        <f t="shared" si="3"/>
        <v>4</v>
      </c>
      <c r="I229" s="63"/>
      <c r="J229" s="55"/>
      <c r="K229" s="55"/>
      <c r="L229" s="55"/>
      <c r="M229" s="55"/>
      <c r="N229" s="55"/>
      <c r="O229" s="55"/>
      <c r="P229" s="55"/>
      <c r="Q229" s="56"/>
    </row>
    <row r="230" spans="2:17">
      <c r="B230" s="54">
        <v>40951</v>
      </c>
      <c r="C230" s="55">
        <v>22</v>
      </c>
      <c r="D230" s="55">
        <v>0</v>
      </c>
      <c r="E230" s="55">
        <v>0</v>
      </c>
      <c r="F230" s="55">
        <v>1</v>
      </c>
      <c r="G230" s="55">
        <v>0</v>
      </c>
      <c r="H230" s="55">
        <f t="shared" si="3"/>
        <v>2</v>
      </c>
      <c r="I230" s="63"/>
      <c r="J230" s="55"/>
      <c r="K230" s="55"/>
      <c r="L230" s="55"/>
      <c r="M230" s="55"/>
      <c r="N230" s="55"/>
      <c r="O230" s="55"/>
      <c r="P230" s="55"/>
      <c r="Q230" s="56"/>
    </row>
    <row r="231" spans="2:17">
      <c r="B231" s="54">
        <v>40952</v>
      </c>
      <c r="C231" s="55">
        <v>23</v>
      </c>
      <c r="D231" s="55">
        <v>0</v>
      </c>
      <c r="E231" s="55">
        <v>0</v>
      </c>
      <c r="F231" s="55">
        <v>0</v>
      </c>
      <c r="G231" s="55">
        <v>0</v>
      </c>
      <c r="H231" s="55">
        <f t="shared" si="3"/>
        <v>1</v>
      </c>
      <c r="I231" s="63"/>
      <c r="J231" s="55"/>
      <c r="K231" s="55"/>
      <c r="L231" s="55"/>
      <c r="M231" s="55"/>
      <c r="N231" s="55"/>
      <c r="O231" s="55"/>
      <c r="P231" s="55"/>
      <c r="Q231" s="56"/>
    </row>
    <row r="232" spans="2:17">
      <c r="B232" s="54">
        <v>40953</v>
      </c>
      <c r="C232" s="55">
        <v>18</v>
      </c>
      <c r="D232" s="55">
        <v>0</v>
      </c>
      <c r="E232" s="55">
        <v>0</v>
      </c>
      <c r="F232" s="55">
        <v>0</v>
      </c>
      <c r="G232" s="55">
        <v>0</v>
      </c>
      <c r="H232" s="55">
        <f t="shared" si="3"/>
        <v>1</v>
      </c>
      <c r="I232" s="63"/>
      <c r="J232" s="55"/>
      <c r="K232" s="55"/>
      <c r="L232" s="55"/>
      <c r="M232" s="55"/>
      <c r="N232" s="55"/>
      <c r="O232" s="55"/>
      <c r="P232" s="55"/>
      <c r="Q232" s="56"/>
    </row>
    <row r="233" spans="2:17">
      <c r="B233" s="54">
        <v>40954</v>
      </c>
      <c r="C233" s="55">
        <v>23</v>
      </c>
      <c r="D233" s="55">
        <v>0</v>
      </c>
      <c r="E233" s="55">
        <v>0</v>
      </c>
      <c r="F233" s="55">
        <v>0</v>
      </c>
      <c r="G233" s="55">
        <v>0</v>
      </c>
      <c r="H233" s="55">
        <f t="shared" si="3"/>
        <v>1</v>
      </c>
      <c r="I233" s="63"/>
      <c r="J233" s="55"/>
      <c r="K233" s="55"/>
      <c r="L233" s="55"/>
      <c r="M233" s="55"/>
      <c r="N233" s="55"/>
      <c r="O233" s="55"/>
      <c r="P233" s="55"/>
      <c r="Q233" s="56"/>
    </row>
    <row r="234" spans="2:17">
      <c r="B234" s="54">
        <v>40955</v>
      </c>
      <c r="C234" s="55">
        <v>22</v>
      </c>
      <c r="D234" s="55">
        <v>0</v>
      </c>
      <c r="E234" s="55">
        <v>0</v>
      </c>
      <c r="F234" s="55">
        <v>0</v>
      </c>
      <c r="G234" s="55">
        <v>0</v>
      </c>
      <c r="H234" s="55">
        <f t="shared" si="3"/>
        <v>1</v>
      </c>
      <c r="I234" s="63"/>
      <c r="J234" s="55"/>
      <c r="K234" s="55"/>
      <c r="L234" s="55"/>
      <c r="M234" s="55"/>
      <c r="N234" s="55"/>
      <c r="O234" s="55"/>
      <c r="P234" s="55"/>
      <c r="Q234" s="56"/>
    </row>
    <row r="235" spans="2:17">
      <c r="B235" s="54">
        <v>40956</v>
      </c>
      <c r="C235" s="55">
        <v>25</v>
      </c>
      <c r="D235" s="55">
        <v>0</v>
      </c>
      <c r="E235" s="55">
        <v>0</v>
      </c>
      <c r="F235" s="55">
        <v>0</v>
      </c>
      <c r="G235" s="55">
        <v>0</v>
      </c>
      <c r="H235" s="55">
        <f t="shared" si="3"/>
        <v>1</v>
      </c>
      <c r="I235" s="63"/>
      <c r="J235" s="55"/>
      <c r="K235" s="55"/>
      <c r="L235" s="55"/>
      <c r="M235" s="55"/>
      <c r="N235" s="55"/>
      <c r="O235" s="55"/>
      <c r="P235" s="55"/>
      <c r="Q235" s="56"/>
    </row>
    <row r="236" spans="2:17">
      <c r="B236" s="54">
        <v>40957</v>
      </c>
      <c r="C236" s="55">
        <v>33</v>
      </c>
      <c r="D236" s="55">
        <v>0</v>
      </c>
      <c r="E236" s="55">
        <v>0</v>
      </c>
      <c r="F236" s="55">
        <v>2</v>
      </c>
      <c r="G236" s="55">
        <v>1</v>
      </c>
      <c r="H236" s="55">
        <f t="shared" si="3"/>
        <v>6</v>
      </c>
      <c r="I236" s="63"/>
      <c r="J236" s="55"/>
      <c r="K236" s="55"/>
      <c r="L236" s="55"/>
      <c r="M236" s="55"/>
      <c r="N236" s="55"/>
      <c r="O236" s="55"/>
      <c r="P236" s="55"/>
      <c r="Q236" s="56"/>
    </row>
    <row r="237" spans="2:17">
      <c r="B237" s="54">
        <v>40958</v>
      </c>
      <c r="C237" s="55">
        <v>31</v>
      </c>
      <c r="D237" s="55">
        <v>0</v>
      </c>
      <c r="E237" s="55">
        <v>0</v>
      </c>
      <c r="F237" s="55">
        <v>1</v>
      </c>
      <c r="G237" s="55">
        <v>1</v>
      </c>
      <c r="H237" s="55">
        <f t="shared" si="3"/>
        <v>4</v>
      </c>
      <c r="I237" s="63"/>
      <c r="J237" s="55"/>
      <c r="K237" s="55"/>
      <c r="L237" s="55"/>
      <c r="M237" s="55"/>
      <c r="N237" s="55"/>
      <c r="O237" s="55"/>
      <c r="P237" s="55"/>
      <c r="Q237" s="56"/>
    </row>
    <row r="238" spans="2:17">
      <c r="B238" s="54">
        <v>40959</v>
      </c>
      <c r="C238" s="55">
        <v>26</v>
      </c>
      <c r="D238" s="55">
        <v>0</v>
      </c>
      <c r="E238" s="55">
        <v>0</v>
      </c>
      <c r="F238" s="55">
        <v>1</v>
      </c>
      <c r="G238" s="55">
        <v>0</v>
      </c>
      <c r="H238" s="55">
        <f t="shared" si="3"/>
        <v>2</v>
      </c>
      <c r="I238" s="63"/>
      <c r="J238" s="55"/>
      <c r="K238" s="55"/>
      <c r="L238" s="55"/>
      <c r="M238" s="55"/>
      <c r="N238" s="55"/>
      <c r="O238" s="55"/>
      <c r="P238" s="55"/>
      <c r="Q238" s="56"/>
    </row>
    <row r="239" spans="2:17">
      <c r="B239" s="54">
        <v>40960</v>
      </c>
      <c r="C239" s="55">
        <v>24</v>
      </c>
      <c r="D239" s="55">
        <v>0</v>
      </c>
      <c r="E239" s="55">
        <v>0</v>
      </c>
      <c r="F239" s="55">
        <v>0</v>
      </c>
      <c r="G239" s="55">
        <v>0</v>
      </c>
      <c r="H239" s="55">
        <f t="shared" si="3"/>
        <v>1</v>
      </c>
      <c r="I239" s="63"/>
      <c r="J239" s="55"/>
      <c r="K239" s="55"/>
      <c r="L239" s="55"/>
      <c r="M239" s="55"/>
      <c r="N239" s="55"/>
      <c r="O239" s="55"/>
      <c r="P239" s="55"/>
      <c r="Q239" s="56"/>
    </row>
    <row r="240" spans="2:17">
      <c r="B240" s="54">
        <v>40961</v>
      </c>
      <c r="C240" s="55">
        <v>32</v>
      </c>
      <c r="D240" s="55">
        <v>0</v>
      </c>
      <c r="E240" s="55">
        <v>0</v>
      </c>
      <c r="F240" s="55">
        <v>0</v>
      </c>
      <c r="G240" s="55">
        <v>0</v>
      </c>
      <c r="H240" s="55">
        <f t="shared" si="3"/>
        <v>1</v>
      </c>
      <c r="I240" s="63"/>
      <c r="J240" s="55"/>
      <c r="K240" s="55"/>
      <c r="L240" s="55"/>
      <c r="M240" s="55"/>
      <c r="N240" s="55"/>
      <c r="O240" s="55"/>
      <c r="P240" s="55"/>
      <c r="Q240" s="56"/>
    </row>
    <row r="241" spans="2:17">
      <c r="B241" s="54">
        <v>40962</v>
      </c>
      <c r="C241" s="55">
        <v>29</v>
      </c>
      <c r="D241" s="55">
        <v>0</v>
      </c>
      <c r="E241" s="55">
        <v>0</v>
      </c>
      <c r="F241" s="55">
        <v>1</v>
      </c>
      <c r="G241" s="55">
        <v>0</v>
      </c>
      <c r="H241" s="55">
        <f t="shared" si="3"/>
        <v>2</v>
      </c>
      <c r="I241" s="63"/>
      <c r="J241" s="55"/>
      <c r="K241" s="55"/>
      <c r="L241" s="55"/>
      <c r="M241" s="55"/>
      <c r="N241" s="55"/>
      <c r="O241" s="55"/>
      <c r="P241" s="55"/>
      <c r="Q241" s="56"/>
    </row>
    <row r="242" spans="2:17">
      <c r="B242" s="54">
        <v>40963</v>
      </c>
      <c r="C242" s="55">
        <v>43</v>
      </c>
      <c r="D242" s="55">
        <v>0</v>
      </c>
      <c r="E242" s="55">
        <v>0</v>
      </c>
      <c r="F242" s="55">
        <v>1</v>
      </c>
      <c r="G242" s="55">
        <v>1</v>
      </c>
      <c r="H242" s="55">
        <f t="shared" si="3"/>
        <v>4</v>
      </c>
      <c r="I242" s="63"/>
      <c r="J242" s="55"/>
      <c r="K242" s="55"/>
      <c r="L242" s="55"/>
      <c r="M242" s="55"/>
      <c r="N242" s="55"/>
      <c r="O242" s="55"/>
      <c r="P242" s="55"/>
      <c r="Q242" s="56"/>
    </row>
    <row r="243" spans="2:17">
      <c r="B243" s="54">
        <v>40964</v>
      </c>
      <c r="C243" s="55">
        <v>49</v>
      </c>
      <c r="D243" s="55">
        <v>0</v>
      </c>
      <c r="E243" s="55">
        <v>0</v>
      </c>
      <c r="F243" s="55">
        <v>3</v>
      </c>
      <c r="G243" s="55">
        <v>2</v>
      </c>
      <c r="H243" s="55">
        <f t="shared" si="3"/>
        <v>12</v>
      </c>
      <c r="I243" s="63"/>
      <c r="J243" s="55"/>
      <c r="K243" s="55"/>
      <c r="L243" s="55"/>
      <c r="M243" s="55"/>
      <c r="N243" s="55"/>
      <c r="O243" s="55"/>
      <c r="P243" s="55"/>
      <c r="Q243" s="56"/>
    </row>
    <row r="244" spans="2:17">
      <c r="B244" s="54">
        <v>40965</v>
      </c>
      <c r="C244" s="55">
        <v>47</v>
      </c>
      <c r="D244" s="55">
        <v>0</v>
      </c>
      <c r="E244" s="55">
        <v>0</v>
      </c>
      <c r="F244" s="55">
        <v>2</v>
      </c>
      <c r="G244" s="55">
        <v>1</v>
      </c>
      <c r="H244" s="55">
        <f t="shared" si="3"/>
        <v>6</v>
      </c>
      <c r="I244" s="63"/>
      <c r="J244" s="55"/>
      <c r="K244" s="55"/>
      <c r="L244" s="55"/>
      <c r="M244" s="55"/>
      <c r="N244" s="55"/>
      <c r="O244" s="55"/>
      <c r="P244" s="55"/>
      <c r="Q244" s="56"/>
    </row>
    <row r="245" spans="2:17">
      <c r="B245" s="54">
        <v>40966</v>
      </c>
      <c r="C245" s="55">
        <v>41</v>
      </c>
      <c r="D245" s="55">
        <v>0</v>
      </c>
      <c r="E245" s="55">
        <v>0</v>
      </c>
      <c r="F245" s="55">
        <v>1</v>
      </c>
      <c r="G245" s="55">
        <v>1</v>
      </c>
      <c r="H245" s="55">
        <f t="shared" si="3"/>
        <v>4</v>
      </c>
      <c r="I245" s="63"/>
      <c r="J245" s="55"/>
      <c r="K245" s="55"/>
      <c r="L245" s="55"/>
      <c r="M245" s="55"/>
      <c r="N245" s="55"/>
      <c r="O245" s="55"/>
      <c r="P245" s="55"/>
      <c r="Q245" s="56"/>
    </row>
    <row r="246" spans="2:17">
      <c r="B246" s="54">
        <v>40967</v>
      </c>
      <c r="C246" s="55">
        <v>40</v>
      </c>
      <c r="D246" s="55">
        <v>0</v>
      </c>
      <c r="E246" s="55">
        <v>0</v>
      </c>
      <c r="F246" s="55">
        <v>1</v>
      </c>
      <c r="G246" s="55">
        <v>1</v>
      </c>
      <c r="H246" s="55">
        <f t="shared" si="3"/>
        <v>4</v>
      </c>
      <c r="I246" s="63"/>
      <c r="J246" s="55"/>
      <c r="K246" s="55"/>
      <c r="L246" s="55"/>
      <c r="M246" s="55"/>
      <c r="N246" s="55"/>
      <c r="O246" s="55"/>
      <c r="P246" s="55"/>
      <c r="Q246" s="56"/>
    </row>
    <row r="247" spans="2:17">
      <c r="B247" s="54">
        <v>40968</v>
      </c>
      <c r="C247" s="55">
        <v>39</v>
      </c>
      <c r="D247" s="55">
        <v>0</v>
      </c>
      <c r="E247" s="55">
        <v>0</v>
      </c>
      <c r="F247" s="55">
        <v>2</v>
      </c>
      <c r="G247" s="55">
        <v>1</v>
      </c>
      <c r="H247" s="55">
        <f t="shared" si="3"/>
        <v>6</v>
      </c>
      <c r="I247" s="63"/>
      <c r="J247" s="55"/>
      <c r="K247" s="55"/>
      <c r="L247" s="55"/>
      <c r="M247" s="55"/>
      <c r="N247" s="55"/>
      <c r="O247" s="55"/>
      <c r="P247" s="55"/>
      <c r="Q247" s="56"/>
    </row>
    <row r="248" spans="2:17">
      <c r="B248" s="54">
        <v>40969</v>
      </c>
      <c r="C248" s="55">
        <v>36</v>
      </c>
      <c r="D248" s="55">
        <v>0</v>
      </c>
      <c r="E248" s="55">
        <v>0</v>
      </c>
      <c r="F248" s="55">
        <v>1</v>
      </c>
      <c r="G248" s="55">
        <v>1</v>
      </c>
      <c r="H248" s="55">
        <f t="shared" si="3"/>
        <v>4</v>
      </c>
      <c r="I248" s="63"/>
      <c r="J248" s="55"/>
      <c r="K248" s="55"/>
      <c r="L248" s="55"/>
      <c r="M248" s="55"/>
      <c r="N248" s="55"/>
      <c r="O248" s="55"/>
      <c r="P248" s="55"/>
      <c r="Q248" s="56"/>
    </row>
    <row r="249" spans="2:17">
      <c r="B249" s="54">
        <v>40970</v>
      </c>
      <c r="C249" s="55">
        <v>45</v>
      </c>
      <c r="D249" s="55">
        <v>0</v>
      </c>
      <c r="E249" s="55">
        <v>0</v>
      </c>
      <c r="F249" s="55">
        <v>1</v>
      </c>
      <c r="G249" s="55">
        <v>1</v>
      </c>
      <c r="H249" s="55">
        <f t="shared" si="3"/>
        <v>4</v>
      </c>
      <c r="I249" s="63"/>
      <c r="J249" s="55"/>
      <c r="K249" s="55"/>
      <c r="L249" s="55"/>
      <c r="M249" s="55"/>
      <c r="N249" s="55"/>
      <c r="O249" s="55"/>
      <c r="P249" s="55"/>
      <c r="Q249" s="56"/>
    </row>
    <row r="250" spans="2:17">
      <c r="B250" s="54">
        <v>40971</v>
      </c>
      <c r="C250" s="55">
        <v>37</v>
      </c>
      <c r="D250" s="55">
        <v>0</v>
      </c>
      <c r="E250" s="55">
        <v>0</v>
      </c>
      <c r="F250" s="55">
        <v>2</v>
      </c>
      <c r="G250" s="55">
        <v>1</v>
      </c>
      <c r="H250" s="55">
        <f t="shared" si="3"/>
        <v>6</v>
      </c>
      <c r="I250" s="63"/>
      <c r="J250" s="55"/>
      <c r="K250" s="55"/>
      <c r="L250" s="55"/>
      <c r="M250" s="55"/>
      <c r="N250" s="55"/>
      <c r="O250" s="55"/>
      <c r="P250" s="55"/>
      <c r="Q250" s="56"/>
    </row>
    <row r="251" spans="2:17">
      <c r="B251" s="54">
        <v>40972</v>
      </c>
      <c r="C251" s="55">
        <v>30</v>
      </c>
      <c r="D251" s="55">
        <v>0</v>
      </c>
      <c r="E251" s="55">
        <v>0</v>
      </c>
      <c r="F251" s="55">
        <v>1</v>
      </c>
      <c r="G251" s="55">
        <v>1</v>
      </c>
      <c r="H251" s="55">
        <f t="shared" si="3"/>
        <v>4</v>
      </c>
      <c r="I251" s="63"/>
      <c r="J251" s="55"/>
      <c r="K251" s="55"/>
      <c r="L251" s="55"/>
      <c r="M251" s="55"/>
      <c r="N251" s="55"/>
      <c r="O251" s="55"/>
      <c r="P251" s="55"/>
      <c r="Q251" s="56"/>
    </row>
    <row r="252" spans="2:17">
      <c r="B252" s="54">
        <v>40973</v>
      </c>
      <c r="C252" s="55">
        <v>29</v>
      </c>
      <c r="D252" s="55">
        <v>0</v>
      </c>
      <c r="E252" s="55">
        <v>0</v>
      </c>
      <c r="F252" s="55">
        <v>0</v>
      </c>
      <c r="G252" s="55">
        <v>0</v>
      </c>
      <c r="H252" s="55">
        <f t="shared" si="3"/>
        <v>1</v>
      </c>
      <c r="I252" s="63"/>
      <c r="J252" s="55"/>
      <c r="K252" s="55"/>
      <c r="L252" s="55"/>
      <c r="M252" s="55"/>
      <c r="N252" s="55"/>
      <c r="O252" s="55"/>
      <c r="P252" s="55"/>
      <c r="Q252" s="56"/>
    </row>
    <row r="253" spans="2:17">
      <c r="B253" s="54">
        <v>40974</v>
      </c>
      <c r="C253" s="55">
        <v>30</v>
      </c>
      <c r="D253" s="55">
        <v>0</v>
      </c>
      <c r="E253" s="55">
        <v>0</v>
      </c>
      <c r="F253" s="55">
        <v>0</v>
      </c>
      <c r="G253" s="55">
        <v>0</v>
      </c>
      <c r="H253" s="55">
        <f t="shared" si="3"/>
        <v>1</v>
      </c>
      <c r="I253" s="63"/>
      <c r="J253" s="55"/>
      <c r="K253" s="55"/>
      <c r="L253" s="55"/>
      <c r="M253" s="55"/>
      <c r="N253" s="55"/>
      <c r="O253" s="55"/>
      <c r="P253" s="55"/>
      <c r="Q253" s="56"/>
    </row>
    <row r="254" spans="2:17">
      <c r="B254" s="54">
        <v>40975</v>
      </c>
      <c r="C254" s="55">
        <v>38</v>
      </c>
      <c r="D254" s="55">
        <v>0</v>
      </c>
      <c r="E254" s="55">
        <v>0</v>
      </c>
      <c r="F254" s="55">
        <v>0</v>
      </c>
      <c r="G254" s="55">
        <v>0</v>
      </c>
      <c r="H254" s="55">
        <f t="shared" si="3"/>
        <v>1</v>
      </c>
      <c r="I254" s="63"/>
      <c r="J254" s="55"/>
      <c r="K254" s="55"/>
      <c r="L254" s="55"/>
      <c r="M254" s="55"/>
      <c r="N254" s="55"/>
      <c r="O254" s="55"/>
      <c r="P254" s="55"/>
      <c r="Q254" s="56"/>
    </row>
    <row r="255" spans="2:17">
      <c r="B255" s="54">
        <v>40976</v>
      </c>
      <c r="C255" s="55">
        <v>32</v>
      </c>
      <c r="D255" s="55">
        <v>0</v>
      </c>
      <c r="E255" s="55">
        <v>0</v>
      </c>
      <c r="F255" s="55">
        <v>0</v>
      </c>
      <c r="G255" s="55">
        <v>0</v>
      </c>
      <c r="H255" s="55">
        <f t="shared" si="3"/>
        <v>1</v>
      </c>
      <c r="I255" s="63"/>
      <c r="J255" s="55"/>
      <c r="K255" s="55"/>
      <c r="L255" s="55"/>
      <c r="M255" s="55"/>
      <c r="N255" s="55"/>
      <c r="O255" s="55"/>
      <c r="P255" s="55"/>
      <c r="Q255" s="56"/>
    </row>
    <row r="256" spans="2:17">
      <c r="B256" s="54">
        <v>40977</v>
      </c>
      <c r="C256" s="55">
        <v>33</v>
      </c>
      <c r="D256" s="55">
        <v>0</v>
      </c>
      <c r="E256" s="55">
        <v>0</v>
      </c>
      <c r="F256" s="55">
        <v>0</v>
      </c>
      <c r="G256" s="55">
        <v>0</v>
      </c>
      <c r="H256" s="55">
        <f t="shared" si="3"/>
        <v>1</v>
      </c>
      <c r="I256" s="63"/>
      <c r="J256" s="55"/>
      <c r="K256" s="55"/>
      <c r="L256" s="55"/>
      <c r="M256" s="55"/>
      <c r="N256" s="55"/>
      <c r="O256" s="55"/>
      <c r="P256" s="55"/>
      <c r="Q256" s="56"/>
    </row>
    <row r="257" spans="2:17">
      <c r="B257" s="54">
        <v>40978</v>
      </c>
      <c r="C257" s="55">
        <v>30</v>
      </c>
      <c r="D257" s="55">
        <v>0</v>
      </c>
      <c r="E257" s="55">
        <v>0</v>
      </c>
      <c r="F257" s="55">
        <v>2</v>
      </c>
      <c r="G257" s="55">
        <v>1</v>
      </c>
      <c r="H257" s="55">
        <f t="shared" si="3"/>
        <v>6</v>
      </c>
      <c r="I257" s="63"/>
      <c r="J257" s="55"/>
      <c r="K257" s="55"/>
      <c r="L257" s="55"/>
      <c r="M257" s="55"/>
      <c r="N257" s="55"/>
      <c r="O257" s="55"/>
      <c r="P257" s="55"/>
      <c r="Q257" s="56"/>
    </row>
    <row r="258" spans="2:17">
      <c r="B258" s="54">
        <v>40979</v>
      </c>
      <c r="C258" s="55">
        <v>28</v>
      </c>
      <c r="D258" s="55">
        <v>0</v>
      </c>
      <c r="E258" s="55">
        <v>0</v>
      </c>
      <c r="F258" s="55">
        <v>1</v>
      </c>
      <c r="G258" s="55">
        <v>1</v>
      </c>
      <c r="H258" s="55">
        <f t="shared" si="3"/>
        <v>4</v>
      </c>
      <c r="I258" s="63"/>
      <c r="J258" s="55"/>
      <c r="K258" s="55"/>
      <c r="L258" s="55"/>
      <c r="M258" s="55"/>
      <c r="N258" s="55"/>
      <c r="O258" s="55"/>
      <c r="P258" s="55"/>
      <c r="Q258" s="56"/>
    </row>
    <row r="259" spans="2:17">
      <c r="B259" s="54">
        <v>40980</v>
      </c>
      <c r="C259" s="55">
        <v>31</v>
      </c>
      <c r="D259" s="55">
        <v>0</v>
      </c>
      <c r="E259" s="55">
        <v>0</v>
      </c>
      <c r="F259" s="55">
        <v>0</v>
      </c>
      <c r="G259" s="55">
        <v>0</v>
      </c>
      <c r="H259" s="55">
        <f t="shared" si="3"/>
        <v>1</v>
      </c>
      <c r="I259" s="63"/>
      <c r="J259" s="55"/>
      <c r="K259" s="55"/>
      <c r="L259" s="55"/>
      <c r="M259" s="55"/>
      <c r="N259" s="55"/>
      <c r="O259" s="55"/>
      <c r="P259" s="55"/>
      <c r="Q259" s="56"/>
    </row>
    <row r="260" spans="2:17">
      <c r="B260" s="54">
        <v>40981</v>
      </c>
      <c r="C260" s="55">
        <v>35</v>
      </c>
      <c r="D260" s="55">
        <v>0</v>
      </c>
      <c r="E260" s="55">
        <v>0</v>
      </c>
      <c r="F260" s="55">
        <v>0</v>
      </c>
      <c r="G260" s="55">
        <v>0</v>
      </c>
      <c r="H260" s="55">
        <f t="shared" ref="H260:H323" si="4">(F260+1)*(G260+1)</f>
        <v>1</v>
      </c>
      <c r="I260" s="63"/>
      <c r="J260" s="55"/>
      <c r="K260" s="55"/>
      <c r="L260" s="55"/>
      <c r="M260" s="55"/>
      <c r="N260" s="55"/>
      <c r="O260" s="55"/>
      <c r="P260" s="55"/>
      <c r="Q260" s="56"/>
    </row>
    <row r="261" spans="2:17">
      <c r="B261" s="54">
        <v>40982</v>
      </c>
      <c r="C261" s="55">
        <v>30</v>
      </c>
      <c r="D261" s="55">
        <v>0</v>
      </c>
      <c r="E261" s="55">
        <v>0</v>
      </c>
      <c r="F261" s="55">
        <v>1</v>
      </c>
      <c r="G261" s="55">
        <v>0</v>
      </c>
      <c r="H261" s="55">
        <f t="shared" si="4"/>
        <v>2</v>
      </c>
      <c r="I261" s="63"/>
      <c r="J261" s="55"/>
      <c r="K261" s="55"/>
      <c r="L261" s="55"/>
      <c r="M261" s="55"/>
      <c r="N261" s="55"/>
      <c r="O261" s="55"/>
      <c r="P261" s="55"/>
      <c r="Q261" s="56"/>
    </row>
    <row r="262" spans="2:17">
      <c r="B262" s="54">
        <v>40983</v>
      </c>
      <c r="C262" s="55">
        <v>36</v>
      </c>
      <c r="D262" s="55">
        <v>0</v>
      </c>
      <c r="E262" s="55">
        <v>0</v>
      </c>
      <c r="F262" s="55">
        <v>1</v>
      </c>
      <c r="G262" s="55">
        <v>1</v>
      </c>
      <c r="H262" s="55">
        <f t="shared" si="4"/>
        <v>4</v>
      </c>
      <c r="I262" s="63"/>
      <c r="J262" s="55"/>
      <c r="K262" s="55"/>
      <c r="L262" s="55"/>
      <c r="M262" s="55"/>
      <c r="N262" s="55"/>
      <c r="O262" s="55"/>
      <c r="P262" s="55"/>
      <c r="Q262" s="56"/>
    </row>
    <row r="263" spans="2:17">
      <c r="B263" s="54">
        <v>40984</v>
      </c>
      <c r="C263" s="55">
        <v>50</v>
      </c>
      <c r="D263" s="55">
        <v>0</v>
      </c>
      <c r="E263" s="55">
        <v>0</v>
      </c>
      <c r="F263" s="55">
        <v>2</v>
      </c>
      <c r="G263" s="55">
        <v>2</v>
      </c>
      <c r="H263" s="55">
        <f t="shared" si="4"/>
        <v>9</v>
      </c>
      <c r="I263" s="63"/>
      <c r="J263" s="55"/>
      <c r="K263" s="55"/>
      <c r="L263" s="55"/>
      <c r="M263" s="55"/>
      <c r="N263" s="55"/>
      <c r="O263" s="55"/>
      <c r="P263" s="55"/>
      <c r="Q263" s="56"/>
    </row>
    <row r="264" spans="2:17">
      <c r="B264" s="54">
        <v>40985</v>
      </c>
      <c r="C264" s="55">
        <v>58</v>
      </c>
      <c r="D264" s="55">
        <v>0</v>
      </c>
      <c r="E264" s="55">
        <v>0</v>
      </c>
      <c r="F264" s="55">
        <v>3</v>
      </c>
      <c r="G264" s="55">
        <v>3</v>
      </c>
      <c r="H264" s="55">
        <f t="shared" si="4"/>
        <v>16</v>
      </c>
      <c r="I264" s="63"/>
      <c r="J264" s="55"/>
      <c r="K264" s="55"/>
      <c r="L264" s="55"/>
      <c r="M264" s="55"/>
      <c r="N264" s="55"/>
      <c r="O264" s="55"/>
      <c r="P264" s="55"/>
      <c r="Q264" s="56"/>
    </row>
    <row r="265" spans="2:17">
      <c r="B265" s="54">
        <v>40986</v>
      </c>
      <c r="C265" s="55">
        <v>45</v>
      </c>
      <c r="D265" s="55">
        <v>0</v>
      </c>
      <c r="E265" s="55">
        <v>0</v>
      </c>
      <c r="F265" s="55">
        <v>3</v>
      </c>
      <c r="G265" s="55">
        <v>2</v>
      </c>
      <c r="H265" s="55">
        <f t="shared" si="4"/>
        <v>12</v>
      </c>
      <c r="I265" s="63"/>
      <c r="J265" s="55"/>
      <c r="K265" s="55"/>
      <c r="L265" s="55"/>
      <c r="M265" s="55"/>
      <c r="N265" s="55"/>
      <c r="O265" s="55"/>
      <c r="P265" s="55"/>
      <c r="Q265" s="56"/>
    </row>
    <row r="266" spans="2:17">
      <c r="B266" s="54">
        <v>40987</v>
      </c>
      <c r="C266" s="55">
        <v>48</v>
      </c>
      <c r="D266" s="55">
        <v>0</v>
      </c>
      <c r="E266" s="55">
        <v>0</v>
      </c>
      <c r="F266" s="55">
        <v>2</v>
      </c>
      <c r="G266" s="55">
        <v>2</v>
      </c>
      <c r="H266" s="55">
        <f t="shared" si="4"/>
        <v>9</v>
      </c>
      <c r="I266" s="63"/>
      <c r="J266" s="55"/>
      <c r="K266" s="55"/>
      <c r="L266" s="55"/>
      <c r="M266" s="55"/>
      <c r="N266" s="55"/>
      <c r="O266" s="55"/>
      <c r="P266" s="55"/>
      <c r="Q266" s="56"/>
    </row>
    <row r="267" spans="2:17">
      <c r="B267" s="54">
        <v>40988</v>
      </c>
      <c r="C267" s="55">
        <v>51</v>
      </c>
      <c r="D267" s="55">
        <v>0</v>
      </c>
      <c r="E267" s="55">
        <v>0</v>
      </c>
      <c r="F267" s="55">
        <v>3</v>
      </c>
      <c r="G267" s="55">
        <v>2</v>
      </c>
      <c r="H267" s="55">
        <f t="shared" si="4"/>
        <v>12</v>
      </c>
      <c r="I267" s="63"/>
      <c r="J267" s="55"/>
      <c r="K267" s="55"/>
      <c r="L267" s="55"/>
      <c r="M267" s="55"/>
      <c r="N267" s="55"/>
      <c r="O267" s="55"/>
      <c r="P267" s="55"/>
      <c r="Q267" s="56"/>
    </row>
    <row r="268" spans="2:17">
      <c r="B268" s="54">
        <v>40989</v>
      </c>
      <c r="C268" s="55">
        <v>60</v>
      </c>
      <c r="D268" s="55">
        <v>0</v>
      </c>
      <c r="E268" s="55">
        <v>0</v>
      </c>
      <c r="F268" s="55">
        <v>2</v>
      </c>
      <c r="G268" s="55">
        <v>2</v>
      </c>
      <c r="H268" s="55">
        <f t="shared" si="4"/>
        <v>9</v>
      </c>
      <c r="I268" s="63"/>
      <c r="J268" s="55"/>
      <c r="K268" s="55"/>
      <c r="L268" s="55"/>
      <c r="M268" s="55"/>
      <c r="N268" s="55"/>
      <c r="O268" s="55"/>
      <c r="P268" s="55"/>
      <c r="Q268" s="56"/>
    </row>
    <row r="269" spans="2:17">
      <c r="B269" s="54">
        <v>40990</v>
      </c>
      <c r="C269" s="55">
        <v>49</v>
      </c>
      <c r="D269" s="55">
        <v>0</v>
      </c>
      <c r="E269" s="55">
        <v>0</v>
      </c>
      <c r="F269" s="55">
        <v>3</v>
      </c>
      <c r="G269" s="55">
        <v>2</v>
      </c>
      <c r="H269" s="55">
        <f t="shared" si="4"/>
        <v>12</v>
      </c>
      <c r="I269" s="63"/>
      <c r="J269" s="55"/>
      <c r="K269" s="55"/>
      <c r="L269" s="55"/>
      <c r="M269" s="55"/>
      <c r="N269" s="55"/>
      <c r="O269" s="55"/>
      <c r="P269" s="55"/>
      <c r="Q269" s="56"/>
    </row>
    <row r="270" spans="2:17">
      <c r="B270" s="54">
        <v>40991</v>
      </c>
      <c r="C270" s="55">
        <v>47</v>
      </c>
      <c r="D270" s="55">
        <v>0</v>
      </c>
      <c r="E270" s="55">
        <v>0</v>
      </c>
      <c r="F270" s="55">
        <v>4</v>
      </c>
      <c r="G270" s="55">
        <v>3</v>
      </c>
      <c r="H270" s="55">
        <f t="shared" si="4"/>
        <v>20</v>
      </c>
      <c r="I270" s="63"/>
      <c r="J270" s="55"/>
      <c r="K270" s="55"/>
      <c r="L270" s="55"/>
      <c r="M270" s="55"/>
      <c r="N270" s="55"/>
      <c r="O270" s="55"/>
      <c r="P270" s="55"/>
      <c r="Q270" s="56"/>
    </row>
    <row r="271" spans="2:17">
      <c r="B271" s="54">
        <v>40992</v>
      </c>
      <c r="C271" s="55">
        <v>55</v>
      </c>
      <c r="D271" s="55">
        <v>0</v>
      </c>
      <c r="E271" s="55">
        <v>0</v>
      </c>
      <c r="F271" s="55">
        <v>5</v>
      </c>
      <c r="G271" s="55">
        <v>4</v>
      </c>
      <c r="H271" s="55">
        <f t="shared" si="4"/>
        <v>30</v>
      </c>
      <c r="I271" s="63"/>
      <c r="J271" s="55"/>
      <c r="K271" s="55"/>
      <c r="L271" s="55"/>
      <c r="M271" s="55"/>
      <c r="N271" s="55"/>
      <c r="O271" s="55"/>
      <c r="P271" s="55"/>
      <c r="Q271" s="56"/>
    </row>
    <row r="272" spans="2:17">
      <c r="B272" s="54">
        <v>40993</v>
      </c>
      <c r="C272" s="55">
        <v>49</v>
      </c>
      <c r="D272" s="55">
        <v>0</v>
      </c>
      <c r="E272" s="55">
        <v>0</v>
      </c>
      <c r="F272" s="55">
        <v>4</v>
      </c>
      <c r="G272" s="55">
        <v>5</v>
      </c>
      <c r="H272" s="55">
        <f t="shared" si="4"/>
        <v>30</v>
      </c>
      <c r="I272" s="63"/>
      <c r="J272" s="55"/>
      <c r="K272" s="55"/>
      <c r="L272" s="55"/>
      <c r="M272" s="55"/>
      <c r="N272" s="55"/>
      <c r="O272" s="55"/>
      <c r="P272" s="55"/>
      <c r="Q272" s="56"/>
    </row>
    <row r="273" spans="2:17">
      <c r="B273" s="54">
        <v>40994</v>
      </c>
      <c r="C273" s="55">
        <v>69</v>
      </c>
      <c r="D273" s="55">
        <v>0</v>
      </c>
      <c r="E273" s="55">
        <v>0</v>
      </c>
      <c r="F273" s="55">
        <v>3</v>
      </c>
      <c r="G273" s="55">
        <v>2</v>
      </c>
      <c r="H273" s="55">
        <f t="shared" si="4"/>
        <v>12</v>
      </c>
      <c r="I273" s="63"/>
      <c r="J273" s="55"/>
      <c r="K273" s="55"/>
      <c r="L273" s="55"/>
      <c r="M273" s="55"/>
      <c r="N273" s="55"/>
      <c r="O273" s="55"/>
      <c r="P273" s="55"/>
      <c r="Q273" s="56"/>
    </row>
    <row r="274" spans="2:17">
      <c r="B274" s="54">
        <v>40995</v>
      </c>
      <c r="C274" s="55">
        <v>88</v>
      </c>
      <c r="D274" s="55">
        <v>0</v>
      </c>
      <c r="E274" s="55">
        <v>0</v>
      </c>
      <c r="F274" s="55">
        <v>3</v>
      </c>
      <c r="G274" s="55">
        <v>2</v>
      </c>
      <c r="H274" s="55">
        <f t="shared" si="4"/>
        <v>12</v>
      </c>
      <c r="I274" s="63"/>
      <c r="J274" s="55"/>
      <c r="K274" s="55"/>
      <c r="L274" s="55"/>
      <c r="M274" s="55"/>
      <c r="N274" s="55"/>
      <c r="O274" s="55"/>
      <c r="P274" s="55"/>
      <c r="Q274" s="56"/>
    </row>
    <row r="275" spans="2:17">
      <c r="B275" s="54">
        <v>40996</v>
      </c>
      <c r="C275" s="55">
        <v>66</v>
      </c>
      <c r="D275" s="55">
        <v>0</v>
      </c>
      <c r="E275" s="55">
        <v>0</v>
      </c>
      <c r="F275" s="55">
        <v>2</v>
      </c>
      <c r="G275" s="55">
        <v>2</v>
      </c>
      <c r="H275" s="55">
        <f t="shared" si="4"/>
        <v>9</v>
      </c>
      <c r="I275" s="63"/>
      <c r="J275" s="55"/>
      <c r="K275" s="55"/>
      <c r="L275" s="55"/>
      <c r="M275" s="55"/>
      <c r="N275" s="55"/>
      <c r="O275" s="55"/>
      <c r="P275" s="55"/>
      <c r="Q275" s="56"/>
    </row>
    <row r="276" spans="2:17">
      <c r="B276" s="54">
        <v>40997</v>
      </c>
      <c r="C276" s="55">
        <v>63</v>
      </c>
      <c r="D276" s="55">
        <v>0</v>
      </c>
      <c r="E276" s="55">
        <v>0</v>
      </c>
      <c r="F276" s="55">
        <v>4</v>
      </c>
      <c r="G276" s="55">
        <v>2</v>
      </c>
      <c r="H276" s="55">
        <f t="shared" si="4"/>
        <v>15</v>
      </c>
      <c r="I276" s="63"/>
      <c r="J276" s="55"/>
      <c r="K276" s="55"/>
      <c r="L276" s="55"/>
      <c r="M276" s="55"/>
      <c r="N276" s="55"/>
      <c r="O276" s="55"/>
      <c r="P276" s="55"/>
      <c r="Q276" s="56"/>
    </row>
    <row r="277" spans="2:17">
      <c r="B277" s="54">
        <v>40998</v>
      </c>
      <c r="C277" s="55">
        <v>69</v>
      </c>
      <c r="D277" s="55">
        <v>0</v>
      </c>
      <c r="E277" s="55">
        <v>0</v>
      </c>
      <c r="F277" s="55">
        <v>4</v>
      </c>
      <c r="G277" s="55">
        <v>4</v>
      </c>
      <c r="H277" s="55">
        <f t="shared" si="4"/>
        <v>25</v>
      </c>
      <c r="I277" s="63"/>
      <c r="J277" s="55"/>
      <c r="K277" s="55"/>
      <c r="L277" s="55"/>
      <c r="M277" s="55"/>
      <c r="N277" s="55"/>
      <c r="O277" s="55"/>
      <c r="P277" s="55"/>
      <c r="Q277" s="56"/>
    </row>
    <row r="278" spans="2:17">
      <c r="B278" s="54">
        <v>40999</v>
      </c>
      <c r="C278" s="55">
        <v>63</v>
      </c>
      <c r="D278" s="55">
        <v>0</v>
      </c>
      <c r="E278" s="55">
        <v>0</v>
      </c>
      <c r="F278" s="55">
        <v>5</v>
      </c>
      <c r="G278" s="55">
        <v>5</v>
      </c>
      <c r="H278" s="55">
        <f t="shared" si="4"/>
        <v>36</v>
      </c>
      <c r="I278" s="63"/>
      <c r="J278" s="55"/>
      <c r="K278" s="55"/>
      <c r="L278" s="55"/>
      <c r="M278" s="55"/>
      <c r="N278" s="55"/>
      <c r="O278" s="55"/>
      <c r="P278" s="55"/>
      <c r="Q278" s="56"/>
    </row>
    <row r="279" spans="2:17">
      <c r="B279" s="54">
        <v>41000</v>
      </c>
      <c r="C279" s="55">
        <v>36</v>
      </c>
      <c r="D279" s="55">
        <v>0</v>
      </c>
      <c r="E279" s="55">
        <v>0</v>
      </c>
      <c r="F279" s="55">
        <v>5</v>
      </c>
      <c r="G279" s="55">
        <v>4</v>
      </c>
      <c r="H279" s="55">
        <f t="shared" si="4"/>
        <v>30</v>
      </c>
      <c r="I279" s="63"/>
      <c r="J279" s="55"/>
      <c r="K279" s="55"/>
      <c r="L279" s="55"/>
      <c r="M279" s="55"/>
      <c r="N279" s="55"/>
      <c r="O279" s="55"/>
      <c r="P279" s="55"/>
      <c r="Q279" s="56"/>
    </row>
    <row r="280" spans="2:17">
      <c r="B280" s="54">
        <v>41001</v>
      </c>
      <c r="C280" s="55">
        <v>45</v>
      </c>
      <c r="D280" s="55">
        <v>0</v>
      </c>
      <c r="E280" s="55">
        <v>0</v>
      </c>
      <c r="F280" s="55">
        <v>2</v>
      </c>
      <c r="G280" s="55">
        <v>3</v>
      </c>
      <c r="H280" s="55">
        <f t="shared" si="4"/>
        <v>12</v>
      </c>
      <c r="I280" s="63"/>
      <c r="J280" s="55"/>
      <c r="K280" s="55"/>
      <c r="L280" s="55"/>
      <c r="M280" s="55"/>
      <c r="N280" s="55"/>
      <c r="O280" s="55"/>
      <c r="P280" s="55"/>
      <c r="Q280" s="56"/>
    </row>
    <row r="281" spans="2:17">
      <c r="B281" s="54">
        <v>41002</v>
      </c>
      <c r="C281" s="55">
        <v>36</v>
      </c>
      <c r="D281" s="55">
        <v>0</v>
      </c>
      <c r="E281" s="55">
        <v>0</v>
      </c>
      <c r="F281" s="55">
        <v>2</v>
      </c>
      <c r="G281" s="55">
        <v>1</v>
      </c>
      <c r="H281" s="55">
        <f t="shared" si="4"/>
        <v>6</v>
      </c>
      <c r="I281" s="63"/>
      <c r="J281" s="55"/>
      <c r="K281" s="55"/>
      <c r="L281" s="55"/>
      <c r="M281" s="55"/>
      <c r="N281" s="55"/>
      <c r="O281" s="55"/>
      <c r="P281" s="55"/>
      <c r="Q281" s="56"/>
    </row>
    <row r="282" spans="2:17">
      <c r="B282" s="54">
        <v>41003</v>
      </c>
      <c r="C282" s="55">
        <v>32</v>
      </c>
      <c r="D282" s="55">
        <v>0</v>
      </c>
      <c r="E282" s="55">
        <v>0</v>
      </c>
      <c r="F282" s="55">
        <v>1</v>
      </c>
      <c r="G282" s="55">
        <v>1</v>
      </c>
      <c r="H282" s="55">
        <f t="shared" si="4"/>
        <v>4</v>
      </c>
      <c r="I282" s="63"/>
      <c r="J282" s="55"/>
      <c r="K282" s="55"/>
      <c r="L282" s="55"/>
      <c r="M282" s="55"/>
      <c r="N282" s="55"/>
      <c r="O282" s="55"/>
      <c r="P282" s="55"/>
      <c r="Q282" s="56"/>
    </row>
    <row r="283" spans="2:17">
      <c r="B283" s="54">
        <v>41004</v>
      </c>
      <c r="C283" s="55">
        <v>43</v>
      </c>
      <c r="D283" s="55">
        <v>0</v>
      </c>
      <c r="E283" s="55">
        <v>0</v>
      </c>
      <c r="F283" s="55">
        <v>1</v>
      </c>
      <c r="G283" s="55">
        <v>0</v>
      </c>
      <c r="H283" s="55">
        <f t="shared" si="4"/>
        <v>2</v>
      </c>
      <c r="I283" s="63"/>
      <c r="J283" s="55"/>
      <c r="K283" s="55"/>
      <c r="L283" s="55"/>
      <c r="M283" s="55"/>
      <c r="N283" s="55"/>
      <c r="O283" s="55"/>
      <c r="P283" s="55"/>
      <c r="Q283" s="56"/>
    </row>
    <row r="284" spans="2:17">
      <c r="B284" s="54">
        <v>41005</v>
      </c>
      <c r="C284" s="55">
        <v>36</v>
      </c>
      <c r="D284" s="55">
        <v>0</v>
      </c>
      <c r="E284" s="55">
        <v>0</v>
      </c>
      <c r="F284" s="55">
        <v>0</v>
      </c>
      <c r="G284" s="55">
        <v>0</v>
      </c>
      <c r="H284" s="55">
        <f t="shared" si="4"/>
        <v>1</v>
      </c>
      <c r="I284" s="63"/>
      <c r="J284" s="55"/>
      <c r="K284" s="55"/>
      <c r="L284" s="55"/>
      <c r="M284" s="55"/>
      <c r="N284" s="55"/>
      <c r="O284" s="55"/>
      <c r="P284" s="55"/>
      <c r="Q284" s="56"/>
    </row>
    <row r="285" spans="2:17">
      <c r="B285" s="54">
        <v>41006</v>
      </c>
      <c r="C285" s="55">
        <v>39</v>
      </c>
      <c r="D285" s="55">
        <v>0</v>
      </c>
      <c r="E285" s="55">
        <v>0</v>
      </c>
      <c r="F285" s="55">
        <v>4</v>
      </c>
      <c r="G285" s="55">
        <v>3</v>
      </c>
      <c r="H285" s="55">
        <f t="shared" si="4"/>
        <v>20</v>
      </c>
      <c r="I285" s="63"/>
      <c r="J285" s="55"/>
      <c r="K285" s="55"/>
      <c r="L285" s="55"/>
      <c r="M285" s="55"/>
      <c r="N285" s="55"/>
      <c r="O285" s="55"/>
      <c r="P285" s="55"/>
      <c r="Q285" s="56"/>
    </row>
    <row r="286" spans="2:17">
      <c r="B286" s="54">
        <v>41007</v>
      </c>
      <c r="C286" s="55">
        <v>33</v>
      </c>
      <c r="D286" s="55">
        <v>0</v>
      </c>
      <c r="E286" s="55">
        <v>0</v>
      </c>
      <c r="F286" s="55">
        <v>2</v>
      </c>
      <c r="G286" s="55">
        <v>2</v>
      </c>
      <c r="H286" s="55">
        <f t="shared" si="4"/>
        <v>9</v>
      </c>
      <c r="I286" s="63"/>
      <c r="J286" s="55"/>
      <c r="K286" s="55"/>
      <c r="L286" s="55"/>
      <c r="M286" s="55"/>
      <c r="N286" s="55"/>
      <c r="O286" s="55"/>
      <c r="P286" s="55"/>
      <c r="Q286" s="56"/>
    </row>
    <row r="287" spans="2:17">
      <c r="B287" s="54">
        <v>41008</v>
      </c>
      <c r="C287" s="55">
        <v>33</v>
      </c>
      <c r="D287" s="55">
        <v>0</v>
      </c>
      <c r="E287" s="55">
        <v>0</v>
      </c>
      <c r="F287" s="55">
        <v>0</v>
      </c>
      <c r="G287" s="55">
        <v>0</v>
      </c>
      <c r="H287" s="55">
        <f t="shared" si="4"/>
        <v>1</v>
      </c>
      <c r="I287" s="63"/>
      <c r="J287" s="55"/>
      <c r="K287" s="55"/>
      <c r="L287" s="55"/>
      <c r="M287" s="55"/>
      <c r="N287" s="55"/>
      <c r="O287" s="55"/>
      <c r="P287" s="55"/>
      <c r="Q287" s="56"/>
    </row>
    <row r="288" spans="2:17">
      <c r="B288" s="54">
        <v>41009</v>
      </c>
      <c r="C288" s="55">
        <v>32</v>
      </c>
      <c r="D288" s="55">
        <v>0</v>
      </c>
      <c r="E288" s="55">
        <v>0</v>
      </c>
      <c r="F288" s="55">
        <v>0</v>
      </c>
      <c r="G288" s="55">
        <v>0</v>
      </c>
      <c r="H288" s="55">
        <f t="shared" si="4"/>
        <v>1</v>
      </c>
      <c r="I288" s="63"/>
      <c r="J288" s="55"/>
      <c r="K288" s="55"/>
      <c r="L288" s="55"/>
      <c r="M288" s="55"/>
      <c r="N288" s="55"/>
      <c r="O288" s="55"/>
      <c r="P288" s="55"/>
      <c r="Q288" s="56"/>
    </row>
    <row r="289" spans="2:17">
      <c r="B289" s="54">
        <v>41010</v>
      </c>
      <c r="C289" s="55">
        <v>20</v>
      </c>
      <c r="D289" s="55">
        <v>0</v>
      </c>
      <c r="E289" s="55">
        <v>0</v>
      </c>
      <c r="F289" s="55">
        <v>0</v>
      </c>
      <c r="G289" s="55">
        <v>0</v>
      </c>
      <c r="H289" s="55">
        <f t="shared" si="4"/>
        <v>1</v>
      </c>
      <c r="I289" s="63"/>
      <c r="J289" s="55"/>
      <c r="K289" s="55"/>
      <c r="L289" s="55"/>
      <c r="M289" s="55"/>
      <c r="N289" s="55"/>
      <c r="O289" s="55"/>
      <c r="P289" s="55"/>
      <c r="Q289" s="56"/>
    </row>
    <row r="290" spans="2:17">
      <c r="B290" s="54">
        <v>41011</v>
      </c>
      <c r="C290" s="55">
        <v>25</v>
      </c>
      <c r="D290" s="55">
        <v>0</v>
      </c>
      <c r="E290" s="55">
        <v>0</v>
      </c>
      <c r="F290" s="55">
        <v>0</v>
      </c>
      <c r="G290" s="55">
        <v>0</v>
      </c>
      <c r="H290" s="55">
        <f t="shared" si="4"/>
        <v>1</v>
      </c>
      <c r="I290" s="63"/>
      <c r="J290" s="55"/>
      <c r="K290" s="55"/>
      <c r="L290" s="55"/>
      <c r="M290" s="55"/>
      <c r="N290" s="55"/>
      <c r="O290" s="55"/>
      <c r="P290" s="55"/>
      <c r="Q290" s="56"/>
    </row>
    <row r="291" spans="2:17">
      <c r="B291" s="54">
        <v>41012</v>
      </c>
      <c r="C291" s="55">
        <v>34</v>
      </c>
      <c r="D291" s="55">
        <v>0</v>
      </c>
      <c r="E291" s="55">
        <v>0</v>
      </c>
      <c r="F291" s="55">
        <v>0</v>
      </c>
      <c r="G291" s="55">
        <v>0</v>
      </c>
      <c r="H291" s="55">
        <f t="shared" si="4"/>
        <v>1</v>
      </c>
      <c r="I291" s="63"/>
      <c r="J291" s="55"/>
      <c r="K291" s="55"/>
      <c r="L291" s="55"/>
      <c r="M291" s="55"/>
      <c r="N291" s="55"/>
      <c r="O291" s="55"/>
      <c r="P291" s="55"/>
      <c r="Q291" s="56"/>
    </row>
    <row r="292" spans="2:17">
      <c r="B292" s="54">
        <v>41013</v>
      </c>
      <c r="C292" s="55">
        <v>43</v>
      </c>
      <c r="D292" s="55">
        <v>0</v>
      </c>
      <c r="E292" s="55">
        <v>0</v>
      </c>
      <c r="F292" s="55">
        <v>2</v>
      </c>
      <c r="G292" s="55">
        <v>2</v>
      </c>
      <c r="H292" s="55">
        <f t="shared" si="4"/>
        <v>9</v>
      </c>
      <c r="I292" s="63"/>
      <c r="J292" s="55"/>
      <c r="K292" s="55"/>
      <c r="L292" s="55"/>
      <c r="M292" s="55"/>
      <c r="N292" s="55"/>
      <c r="O292" s="55"/>
      <c r="P292" s="55"/>
      <c r="Q292" s="56"/>
    </row>
    <row r="293" spans="2:17">
      <c r="B293" s="54">
        <v>41014</v>
      </c>
      <c r="C293" s="55">
        <v>40</v>
      </c>
      <c r="D293" s="55">
        <v>0</v>
      </c>
      <c r="E293" s="55">
        <v>0</v>
      </c>
      <c r="F293" s="55">
        <v>1</v>
      </c>
      <c r="G293" s="55">
        <v>2</v>
      </c>
      <c r="H293" s="55">
        <f t="shared" si="4"/>
        <v>6</v>
      </c>
      <c r="I293" s="63"/>
      <c r="J293" s="55"/>
      <c r="K293" s="55"/>
      <c r="L293" s="55"/>
      <c r="M293" s="55"/>
      <c r="N293" s="55"/>
      <c r="O293" s="55"/>
      <c r="P293" s="55"/>
      <c r="Q293" s="56"/>
    </row>
    <row r="294" spans="2:17">
      <c r="B294" s="54">
        <v>41015</v>
      </c>
      <c r="C294" s="55">
        <v>27</v>
      </c>
      <c r="D294" s="55">
        <v>0</v>
      </c>
      <c r="E294" s="55">
        <v>0</v>
      </c>
      <c r="F294" s="55">
        <v>0</v>
      </c>
      <c r="G294" s="55">
        <v>0</v>
      </c>
      <c r="H294" s="55">
        <f t="shared" si="4"/>
        <v>1</v>
      </c>
      <c r="I294" s="63"/>
      <c r="J294" s="55"/>
      <c r="K294" s="55"/>
      <c r="L294" s="55"/>
      <c r="M294" s="55"/>
      <c r="N294" s="55"/>
      <c r="O294" s="55"/>
      <c r="P294" s="55"/>
      <c r="Q294" s="56"/>
    </row>
    <row r="295" spans="2:17">
      <c r="B295" s="54">
        <v>41016</v>
      </c>
      <c r="C295" s="55">
        <v>21</v>
      </c>
      <c r="D295" s="55">
        <v>0</v>
      </c>
      <c r="E295" s="55">
        <v>0</v>
      </c>
      <c r="F295" s="55">
        <v>0</v>
      </c>
      <c r="G295" s="55">
        <v>0</v>
      </c>
      <c r="H295" s="55">
        <f t="shared" si="4"/>
        <v>1</v>
      </c>
      <c r="I295" s="63"/>
      <c r="J295" s="55"/>
      <c r="K295" s="55"/>
      <c r="L295" s="55"/>
      <c r="M295" s="55"/>
      <c r="N295" s="55"/>
      <c r="O295" s="55"/>
      <c r="P295" s="55"/>
      <c r="Q295" s="56"/>
    </row>
    <row r="296" spans="2:17">
      <c r="B296" s="54">
        <v>41017</v>
      </c>
      <c r="C296" s="55">
        <v>21</v>
      </c>
      <c r="D296" s="55">
        <v>0</v>
      </c>
      <c r="E296" s="55">
        <v>0</v>
      </c>
      <c r="F296" s="55">
        <v>0</v>
      </c>
      <c r="G296" s="55">
        <v>0</v>
      </c>
      <c r="H296" s="55">
        <f t="shared" si="4"/>
        <v>1</v>
      </c>
      <c r="I296" s="63"/>
      <c r="J296" s="55"/>
      <c r="K296" s="55"/>
      <c r="L296" s="55"/>
      <c r="M296" s="55"/>
      <c r="N296" s="55"/>
      <c r="O296" s="55"/>
      <c r="P296" s="55"/>
      <c r="Q296" s="56"/>
    </row>
    <row r="297" spans="2:17">
      <c r="B297" s="54">
        <v>41018</v>
      </c>
      <c r="C297" s="55">
        <v>21</v>
      </c>
      <c r="D297" s="55">
        <v>0</v>
      </c>
      <c r="E297" s="55">
        <v>0</v>
      </c>
      <c r="F297" s="55">
        <v>0</v>
      </c>
      <c r="G297" s="55">
        <v>0</v>
      </c>
      <c r="H297" s="55">
        <f t="shared" si="4"/>
        <v>1</v>
      </c>
      <c r="I297" s="63"/>
      <c r="J297" s="55"/>
      <c r="K297" s="55"/>
      <c r="L297" s="55"/>
      <c r="M297" s="55"/>
      <c r="N297" s="55"/>
      <c r="O297" s="55"/>
      <c r="P297" s="55"/>
      <c r="Q297" s="56"/>
    </row>
    <row r="298" spans="2:17">
      <c r="B298" s="54">
        <v>41019</v>
      </c>
      <c r="C298" s="55">
        <v>25</v>
      </c>
      <c r="D298" s="55">
        <v>0</v>
      </c>
      <c r="E298" s="55">
        <v>0</v>
      </c>
      <c r="F298" s="55">
        <v>0</v>
      </c>
      <c r="G298" s="55">
        <v>0</v>
      </c>
      <c r="H298" s="55">
        <f t="shared" si="4"/>
        <v>1</v>
      </c>
      <c r="I298" s="63"/>
      <c r="J298" s="55"/>
      <c r="K298" s="55"/>
      <c r="L298" s="55"/>
      <c r="M298" s="55"/>
      <c r="N298" s="55"/>
      <c r="O298" s="55"/>
      <c r="P298" s="55"/>
      <c r="Q298" s="56"/>
    </row>
    <row r="299" spans="2:17">
      <c r="B299" s="54">
        <v>41020</v>
      </c>
      <c r="C299" s="55">
        <v>29</v>
      </c>
      <c r="D299" s="55">
        <v>0</v>
      </c>
      <c r="E299" s="55">
        <v>0</v>
      </c>
      <c r="F299" s="55">
        <v>2</v>
      </c>
      <c r="G299" s="55">
        <v>2</v>
      </c>
      <c r="H299" s="55">
        <f t="shared" si="4"/>
        <v>9</v>
      </c>
      <c r="I299" s="63"/>
      <c r="J299" s="55"/>
      <c r="K299" s="55"/>
      <c r="L299" s="55"/>
      <c r="M299" s="55"/>
      <c r="N299" s="55"/>
      <c r="O299" s="55"/>
      <c r="P299" s="55"/>
      <c r="Q299" s="56"/>
    </row>
    <row r="300" spans="2:17">
      <c r="B300" s="54">
        <v>41021</v>
      </c>
      <c r="C300" s="55">
        <v>28</v>
      </c>
      <c r="D300" s="55">
        <v>0</v>
      </c>
      <c r="E300" s="55">
        <v>0</v>
      </c>
      <c r="F300" s="55">
        <v>1</v>
      </c>
      <c r="G300" s="55">
        <v>1</v>
      </c>
      <c r="H300" s="55">
        <f t="shared" si="4"/>
        <v>4</v>
      </c>
      <c r="I300" s="63"/>
      <c r="J300" s="55"/>
      <c r="K300" s="55"/>
      <c r="L300" s="55"/>
      <c r="M300" s="55"/>
      <c r="N300" s="55"/>
      <c r="O300" s="55"/>
      <c r="P300" s="55"/>
      <c r="Q300" s="56"/>
    </row>
    <row r="301" spans="2:17">
      <c r="B301" s="54">
        <v>41022</v>
      </c>
      <c r="C301" s="55">
        <v>32</v>
      </c>
      <c r="D301" s="55">
        <v>0</v>
      </c>
      <c r="E301" s="55">
        <v>0</v>
      </c>
      <c r="F301" s="55">
        <v>1</v>
      </c>
      <c r="G301" s="55">
        <v>0</v>
      </c>
      <c r="H301" s="55">
        <f t="shared" si="4"/>
        <v>2</v>
      </c>
      <c r="I301" s="63"/>
      <c r="J301" s="55"/>
      <c r="K301" s="55"/>
      <c r="L301" s="55"/>
      <c r="M301" s="55"/>
      <c r="N301" s="55"/>
      <c r="O301" s="55"/>
      <c r="P301" s="55"/>
      <c r="Q301" s="56"/>
    </row>
    <row r="302" spans="2:17">
      <c r="B302" s="54">
        <v>41023</v>
      </c>
      <c r="C302" s="55">
        <v>27</v>
      </c>
      <c r="D302" s="55">
        <v>0</v>
      </c>
      <c r="E302" s="55">
        <v>0</v>
      </c>
      <c r="F302" s="55">
        <v>0</v>
      </c>
      <c r="G302" s="55">
        <v>0</v>
      </c>
      <c r="H302" s="55">
        <f t="shared" si="4"/>
        <v>1</v>
      </c>
      <c r="I302" s="63"/>
      <c r="J302" s="55"/>
      <c r="K302" s="55"/>
      <c r="L302" s="55"/>
      <c r="M302" s="55"/>
      <c r="N302" s="55"/>
      <c r="O302" s="55"/>
      <c r="P302" s="55"/>
      <c r="Q302" s="56"/>
    </row>
    <row r="303" spans="2:17">
      <c r="B303" s="54">
        <v>41024</v>
      </c>
      <c r="C303" s="55">
        <v>35</v>
      </c>
      <c r="D303" s="55">
        <v>0</v>
      </c>
      <c r="E303" s="55">
        <v>0</v>
      </c>
      <c r="F303" s="55">
        <v>0</v>
      </c>
      <c r="G303" s="55">
        <v>0</v>
      </c>
      <c r="H303" s="55">
        <f t="shared" si="4"/>
        <v>1</v>
      </c>
      <c r="I303" s="63"/>
      <c r="J303" s="55"/>
      <c r="K303" s="55"/>
      <c r="L303" s="55"/>
      <c r="M303" s="55"/>
      <c r="N303" s="55"/>
      <c r="O303" s="55"/>
      <c r="P303" s="55"/>
      <c r="Q303" s="56"/>
    </row>
    <row r="304" spans="2:17">
      <c r="B304" s="54">
        <v>41025</v>
      </c>
      <c r="C304" s="55">
        <v>29</v>
      </c>
      <c r="D304" s="55">
        <v>0</v>
      </c>
      <c r="E304" s="55">
        <v>0</v>
      </c>
      <c r="F304" s="55">
        <v>0</v>
      </c>
      <c r="G304" s="55">
        <v>0</v>
      </c>
      <c r="H304" s="55">
        <f t="shared" si="4"/>
        <v>1</v>
      </c>
      <c r="I304" s="63"/>
      <c r="J304" s="55"/>
      <c r="K304" s="55"/>
      <c r="L304" s="55"/>
      <c r="M304" s="55"/>
      <c r="N304" s="55"/>
      <c r="O304" s="55"/>
      <c r="P304" s="55"/>
      <c r="Q304" s="56"/>
    </row>
    <row r="305" spans="2:17">
      <c r="B305" s="54">
        <v>41026</v>
      </c>
      <c r="C305" s="55">
        <v>32</v>
      </c>
      <c r="D305" s="55">
        <v>0</v>
      </c>
      <c r="E305" s="55">
        <v>0</v>
      </c>
      <c r="F305" s="55">
        <v>1</v>
      </c>
      <c r="G305" s="55">
        <v>1</v>
      </c>
      <c r="H305" s="55">
        <f t="shared" si="4"/>
        <v>4</v>
      </c>
      <c r="I305" s="63"/>
      <c r="J305" s="55"/>
      <c r="K305" s="55"/>
      <c r="L305" s="55"/>
      <c r="M305" s="55"/>
      <c r="N305" s="55"/>
      <c r="O305" s="55"/>
      <c r="P305" s="55"/>
      <c r="Q305" s="56"/>
    </row>
    <row r="306" spans="2:17">
      <c r="B306" s="54">
        <v>41027</v>
      </c>
      <c r="C306" s="55">
        <v>43</v>
      </c>
      <c r="D306" s="55">
        <v>0</v>
      </c>
      <c r="E306" s="55">
        <v>0</v>
      </c>
      <c r="F306" s="55">
        <v>2</v>
      </c>
      <c r="G306" s="55">
        <v>2</v>
      </c>
      <c r="H306" s="55">
        <f t="shared" si="4"/>
        <v>9</v>
      </c>
      <c r="I306" s="63"/>
      <c r="J306" s="55"/>
      <c r="K306" s="55"/>
      <c r="L306" s="55"/>
      <c r="M306" s="55"/>
      <c r="N306" s="55"/>
      <c r="O306" s="55"/>
      <c r="P306" s="55"/>
      <c r="Q306" s="56"/>
    </row>
    <row r="307" spans="2:17">
      <c r="B307" s="54">
        <v>41028</v>
      </c>
      <c r="C307" s="55">
        <v>54</v>
      </c>
      <c r="D307" s="55">
        <v>0</v>
      </c>
      <c r="E307" s="55">
        <v>0</v>
      </c>
      <c r="F307" s="55">
        <v>3</v>
      </c>
      <c r="G307" s="55">
        <v>2</v>
      </c>
      <c r="H307" s="55">
        <f t="shared" si="4"/>
        <v>12</v>
      </c>
      <c r="I307" s="63"/>
      <c r="J307" s="55"/>
      <c r="K307" s="55"/>
      <c r="L307" s="55"/>
      <c r="M307" s="55"/>
      <c r="N307" s="55"/>
      <c r="O307" s="55"/>
      <c r="P307" s="55"/>
      <c r="Q307" s="56"/>
    </row>
    <row r="308" spans="2:17">
      <c r="B308" s="54">
        <v>41029</v>
      </c>
      <c r="C308" s="55">
        <v>39</v>
      </c>
      <c r="D308" s="55">
        <v>0</v>
      </c>
      <c r="E308" s="55">
        <v>0</v>
      </c>
      <c r="F308" s="55">
        <v>2</v>
      </c>
      <c r="G308" s="55">
        <v>1</v>
      </c>
      <c r="H308" s="55">
        <f t="shared" si="4"/>
        <v>6</v>
      </c>
      <c r="I308" s="63"/>
      <c r="J308" s="55"/>
      <c r="K308" s="55"/>
      <c r="L308" s="55"/>
      <c r="M308" s="55"/>
      <c r="N308" s="55"/>
      <c r="O308" s="55"/>
      <c r="P308" s="55"/>
      <c r="Q308" s="56"/>
    </row>
    <row r="309" spans="2:17">
      <c r="B309" s="54">
        <v>41030</v>
      </c>
      <c r="C309" s="55">
        <v>31</v>
      </c>
      <c r="D309" s="55">
        <v>0</v>
      </c>
      <c r="E309" s="55">
        <v>0</v>
      </c>
      <c r="F309" s="55">
        <v>0</v>
      </c>
      <c r="G309" s="55">
        <v>0</v>
      </c>
      <c r="H309" s="55">
        <f t="shared" si="4"/>
        <v>1</v>
      </c>
      <c r="I309" s="63"/>
      <c r="J309" s="55"/>
      <c r="K309" s="55"/>
      <c r="L309" s="55"/>
      <c r="M309" s="55"/>
      <c r="N309" s="55"/>
      <c r="O309" s="55"/>
      <c r="P309" s="55"/>
      <c r="Q309" s="56"/>
    </row>
    <row r="310" spans="2:17">
      <c r="B310" s="54">
        <v>41031</v>
      </c>
      <c r="C310" s="55">
        <v>30</v>
      </c>
      <c r="D310" s="55">
        <v>0</v>
      </c>
      <c r="E310" s="55">
        <v>0</v>
      </c>
      <c r="F310" s="55">
        <v>0</v>
      </c>
      <c r="G310" s="55">
        <v>0</v>
      </c>
      <c r="H310" s="55">
        <f t="shared" si="4"/>
        <v>1</v>
      </c>
      <c r="I310" s="63"/>
      <c r="J310" s="55"/>
      <c r="K310" s="55"/>
      <c r="L310" s="55"/>
      <c r="M310" s="55"/>
      <c r="N310" s="55"/>
      <c r="O310" s="55"/>
      <c r="P310" s="55"/>
      <c r="Q310" s="56"/>
    </row>
    <row r="311" spans="2:17">
      <c r="B311" s="54">
        <v>41032</v>
      </c>
      <c r="C311" s="55">
        <v>27</v>
      </c>
      <c r="D311" s="55">
        <v>0</v>
      </c>
      <c r="E311" s="55">
        <v>0</v>
      </c>
      <c r="F311" s="55">
        <v>1</v>
      </c>
      <c r="G311" s="55">
        <v>1</v>
      </c>
      <c r="H311" s="55">
        <f t="shared" si="4"/>
        <v>4</v>
      </c>
      <c r="I311" s="63"/>
      <c r="J311" s="55"/>
      <c r="K311" s="55"/>
      <c r="L311" s="55"/>
      <c r="M311" s="55"/>
      <c r="N311" s="55"/>
      <c r="O311" s="55"/>
      <c r="P311" s="55"/>
      <c r="Q311" s="56"/>
    </row>
    <row r="312" spans="2:17">
      <c r="B312" s="54">
        <v>41033</v>
      </c>
      <c r="C312" s="55">
        <v>27</v>
      </c>
      <c r="D312" s="55">
        <v>0</v>
      </c>
      <c r="E312" s="55">
        <v>0</v>
      </c>
      <c r="F312" s="55">
        <v>2</v>
      </c>
      <c r="G312" s="55">
        <v>2</v>
      </c>
      <c r="H312" s="55">
        <f t="shared" si="4"/>
        <v>9</v>
      </c>
      <c r="I312" s="63"/>
      <c r="J312" s="55"/>
      <c r="K312" s="55"/>
      <c r="L312" s="55"/>
      <c r="M312" s="55"/>
      <c r="N312" s="55"/>
      <c r="O312" s="55"/>
      <c r="P312" s="55"/>
      <c r="Q312" s="56"/>
    </row>
    <row r="313" spans="2:17">
      <c r="B313" s="54">
        <v>41034</v>
      </c>
      <c r="C313" s="55">
        <v>16</v>
      </c>
      <c r="D313" s="55">
        <v>0</v>
      </c>
      <c r="E313" s="55">
        <v>0</v>
      </c>
      <c r="F313" s="55">
        <v>1</v>
      </c>
      <c r="G313" s="55">
        <v>0</v>
      </c>
      <c r="H313" s="55">
        <f t="shared" si="4"/>
        <v>2</v>
      </c>
      <c r="I313" s="63"/>
      <c r="J313" s="55"/>
      <c r="K313" s="55"/>
      <c r="L313" s="55"/>
      <c r="M313" s="55"/>
      <c r="N313" s="55"/>
      <c r="O313" s="55"/>
      <c r="P313" s="55"/>
      <c r="Q313" s="56"/>
    </row>
    <row r="314" spans="2:17">
      <c r="B314" s="54">
        <v>41035</v>
      </c>
      <c r="C314" s="55">
        <v>12</v>
      </c>
      <c r="D314" s="55">
        <v>0</v>
      </c>
      <c r="E314" s="55">
        <v>0</v>
      </c>
      <c r="F314" s="55">
        <v>0</v>
      </c>
      <c r="G314" s="55">
        <v>0</v>
      </c>
      <c r="H314" s="55">
        <f t="shared" si="4"/>
        <v>1</v>
      </c>
      <c r="I314" s="63"/>
      <c r="J314" s="55"/>
      <c r="K314" s="55"/>
      <c r="L314" s="55"/>
      <c r="M314" s="55"/>
      <c r="N314" s="55"/>
      <c r="O314" s="55"/>
      <c r="P314" s="55"/>
      <c r="Q314" s="56"/>
    </row>
    <row r="315" spans="2:17">
      <c r="B315" s="54">
        <v>41036</v>
      </c>
      <c r="C315" s="55">
        <v>21</v>
      </c>
      <c r="D315" s="55">
        <v>0</v>
      </c>
      <c r="E315" s="55">
        <v>0</v>
      </c>
      <c r="F315" s="55">
        <v>0</v>
      </c>
      <c r="G315" s="55">
        <v>0</v>
      </c>
      <c r="H315" s="55">
        <f t="shared" si="4"/>
        <v>1</v>
      </c>
      <c r="I315" s="63"/>
      <c r="J315" s="55"/>
      <c r="K315" s="55"/>
      <c r="L315" s="55"/>
      <c r="M315" s="55"/>
      <c r="N315" s="55"/>
      <c r="O315" s="55"/>
      <c r="P315" s="55"/>
      <c r="Q315" s="56"/>
    </row>
    <row r="316" spans="2:17">
      <c r="B316" s="54">
        <v>41037</v>
      </c>
      <c r="C316" s="55">
        <v>22</v>
      </c>
      <c r="D316" s="55">
        <v>0</v>
      </c>
      <c r="E316" s="55">
        <v>0</v>
      </c>
      <c r="F316" s="55">
        <v>0</v>
      </c>
      <c r="G316" s="55">
        <v>0</v>
      </c>
      <c r="H316" s="55">
        <f t="shared" si="4"/>
        <v>1</v>
      </c>
      <c r="I316" s="63"/>
      <c r="J316" s="55"/>
      <c r="K316" s="55"/>
      <c r="L316" s="55"/>
      <c r="M316" s="55"/>
      <c r="N316" s="55"/>
      <c r="O316" s="55"/>
      <c r="P316" s="55"/>
      <c r="Q316" s="56"/>
    </row>
    <row r="317" spans="2:17">
      <c r="B317" s="54">
        <v>41038</v>
      </c>
      <c r="C317" s="55">
        <v>19</v>
      </c>
      <c r="D317" s="55">
        <v>0</v>
      </c>
      <c r="E317" s="55">
        <v>0</v>
      </c>
      <c r="F317" s="55">
        <v>0</v>
      </c>
      <c r="G317" s="55">
        <v>0</v>
      </c>
      <c r="H317" s="55">
        <f t="shared" si="4"/>
        <v>1</v>
      </c>
      <c r="I317" s="63"/>
      <c r="J317" s="55"/>
      <c r="K317" s="55"/>
      <c r="L317" s="55"/>
      <c r="M317" s="55"/>
      <c r="N317" s="55"/>
      <c r="O317" s="55"/>
      <c r="P317" s="55"/>
      <c r="Q317" s="56"/>
    </row>
    <row r="318" spans="2:17">
      <c r="B318" s="54">
        <v>41039</v>
      </c>
      <c r="C318" s="55">
        <v>16</v>
      </c>
      <c r="D318" s="55">
        <v>0</v>
      </c>
      <c r="E318" s="55">
        <v>0</v>
      </c>
      <c r="F318" s="55">
        <v>0</v>
      </c>
      <c r="G318" s="55">
        <v>0</v>
      </c>
      <c r="H318" s="55">
        <f t="shared" si="4"/>
        <v>1</v>
      </c>
      <c r="I318" s="63"/>
      <c r="J318" s="55"/>
      <c r="K318" s="55"/>
      <c r="L318" s="55"/>
      <c r="M318" s="55"/>
      <c r="N318" s="55"/>
      <c r="O318" s="55"/>
      <c r="P318" s="55"/>
      <c r="Q318" s="56"/>
    </row>
    <row r="319" spans="2:17">
      <c r="B319" s="54">
        <v>41040</v>
      </c>
      <c r="C319" s="55">
        <v>19</v>
      </c>
      <c r="D319" s="55">
        <v>0</v>
      </c>
      <c r="E319" s="55">
        <v>0</v>
      </c>
      <c r="F319" s="55">
        <v>0</v>
      </c>
      <c r="G319" s="55">
        <v>0</v>
      </c>
      <c r="H319" s="55">
        <f t="shared" si="4"/>
        <v>1</v>
      </c>
      <c r="I319" s="63"/>
      <c r="J319" s="55"/>
      <c r="K319" s="55"/>
      <c r="L319" s="55"/>
      <c r="M319" s="55"/>
      <c r="N319" s="55"/>
      <c r="O319" s="55"/>
      <c r="P319" s="55"/>
      <c r="Q319" s="56"/>
    </row>
    <row r="320" spans="2:17">
      <c r="B320" s="54">
        <v>41041</v>
      </c>
      <c r="C320" s="55">
        <v>32</v>
      </c>
      <c r="D320" s="55">
        <v>0</v>
      </c>
      <c r="E320" s="55">
        <v>0</v>
      </c>
      <c r="F320" s="55">
        <v>1</v>
      </c>
      <c r="G320" s="55">
        <v>1</v>
      </c>
      <c r="H320" s="55">
        <f t="shared" si="4"/>
        <v>4</v>
      </c>
      <c r="I320" s="63"/>
      <c r="J320" s="55"/>
      <c r="K320" s="55"/>
      <c r="L320" s="55"/>
      <c r="M320" s="55"/>
      <c r="N320" s="55"/>
      <c r="O320" s="55"/>
      <c r="P320" s="55"/>
      <c r="Q320" s="56"/>
    </row>
    <row r="321" spans="2:17">
      <c r="B321" s="54">
        <v>41042</v>
      </c>
      <c r="C321" s="55">
        <v>26</v>
      </c>
      <c r="D321" s="55">
        <v>0</v>
      </c>
      <c r="E321" s="55">
        <v>0</v>
      </c>
      <c r="F321" s="55">
        <v>1</v>
      </c>
      <c r="G321" s="55">
        <v>0</v>
      </c>
      <c r="H321" s="55">
        <f t="shared" si="4"/>
        <v>2</v>
      </c>
      <c r="I321" s="63"/>
      <c r="J321" s="55"/>
      <c r="K321" s="55"/>
      <c r="L321" s="55"/>
      <c r="M321" s="55"/>
      <c r="N321" s="55"/>
      <c r="O321" s="55"/>
      <c r="P321" s="55"/>
      <c r="Q321" s="56"/>
    </row>
    <row r="322" spans="2:17">
      <c r="B322" s="54">
        <v>41043</v>
      </c>
      <c r="C322" s="55">
        <v>22</v>
      </c>
      <c r="D322" s="55">
        <v>0</v>
      </c>
      <c r="E322" s="55">
        <v>0</v>
      </c>
      <c r="F322" s="55">
        <v>0</v>
      </c>
      <c r="G322" s="55">
        <v>0</v>
      </c>
      <c r="H322" s="55">
        <f t="shared" si="4"/>
        <v>1</v>
      </c>
      <c r="I322" s="63"/>
      <c r="J322" s="55"/>
      <c r="K322" s="55"/>
      <c r="L322" s="55"/>
      <c r="M322" s="55"/>
      <c r="N322" s="55"/>
      <c r="O322" s="55"/>
      <c r="P322" s="55"/>
      <c r="Q322" s="56"/>
    </row>
    <row r="323" spans="2:17">
      <c r="B323" s="54">
        <v>41044</v>
      </c>
      <c r="C323" s="55">
        <v>21</v>
      </c>
      <c r="D323" s="55">
        <v>0</v>
      </c>
      <c r="E323" s="55">
        <v>0</v>
      </c>
      <c r="F323" s="55">
        <v>0</v>
      </c>
      <c r="G323" s="55">
        <v>0</v>
      </c>
      <c r="H323" s="55">
        <f t="shared" si="4"/>
        <v>1</v>
      </c>
      <c r="I323" s="63"/>
      <c r="J323" s="55"/>
      <c r="K323" s="55"/>
      <c r="L323" s="55"/>
      <c r="M323" s="55"/>
      <c r="N323" s="55"/>
      <c r="O323" s="55"/>
      <c r="P323" s="55"/>
      <c r="Q323" s="56"/>
    </row>
    <row r="324" spans="2:17">
      <c r="B324" s="54">
        <v>41045</v>
      </c>
      <c r="C324" s="55">
        <v>11</v>
      </c>
      <c r="D324" s="55">
        <v>0</v>
      </c>
      <c r="E324" s="55">
        <v>0</v>
      </c>
      <c r="F324" s="55">
        <v>0</v>
      </c>
      <c r="G324" s="55">
        <v>0</v>
      </c>
      <c r="H324" s="55">
        <f t="shared" ref="H324:H369" si="5">(F324+1)*(G324+1)</f>
        <v>1</v>
      </c>
      <c r="I324" s="63"/>
      <c r="J324" s="55"/>
      <c r="K324" s="55"/>
      <c r="L324" s="55"/>
      <c r="M324" s="55"/>
      <c r="N324" s="55"/>
      <c r="O324" s="55"/>
      <c r="P324" s="55"/>
      <c r="Q324" s="56"/>
    </row>
    <row r="325" spans="2:17">
      <c r="B325" s="54">
        <v>41046</v>
      </c>
      <c r="C325" s="55">
        <v>14</v>
      </c>
      <c r="D325" s="55">
        <v>0</v>
      </c>
      <c r="E325" s="55">
        <v>0</v>
      </c>
      <c r="F325" s="55">
        <v>0</v>
      </c>
      <c r="G325" s="55">
        <v>0</v>
      </c>
      <c r="H325" s="55">
        <f t="shared" si="5"/>
        <v>1</v>
      </c>
      <c r="I325" s="63"/>
      <c r="J325" s="55"/>
      <c r="K325" s="55"/>
      <c r="L325" s="55"/>
      <c r="M325" s="55"/>
      <c r="N325" s="55"/>
      <c r="O325" s="55"/>
      <c r="P325" s="55"/>
      <c r="Q325" s="56"/>
    </row>
    <row r="326" spans="2:17">
      <c r="B326" s="54">
        <v>41047</v>
      </c>
      <c r="C326" s="55">
        <v>19</v>
      </c>
      <c r="D326" s="55">
        <v>0</v>
      </c>
      <c r="E326" s="55">
        <v>0</v>
      </c>
      <c r="F326" s="55">
        <v>0</v>
      </c>
      <c r="G326" s="55">
        <v>0</v>
      </c>
      <c r="H326" s="55">
        <f t="shared" si="5"/>
        <v>1</v>
      </c>
      <c r="I326" s="63"/>
      <c r="J326" s="55"/>
      <c r="K326" s="55"/>
      <c r="L326" s="55"/>
      <c r="M326" s="55"/>
      <c r="N326" s="55"/>
      <c r="O326" s="55"/>
      <c r="P326" s="55"/>
      <c r="Q326" s="56"/>
    </row>
    <row r="327" spans="2:17">
      <c r="B327" s="54">
        <v>41048</v>
      </c>
      <c r="C327" s="55">
        <v>33</v>
      </c>
      <c r="D327" s="55">
        <v>0</v>
      </c>
      <c r="E327" s="55">
        <v>0</v>
      </c>
      <c r="F327" s="55">
        <v>1</v>
      </c>
      <c r="G327" s="55">
        <v>1</v>
      </c>
      <c r="H327" s="55">
        <f t="shared" si="5"/>
        <v>4</v>
      </c>
      <c r="I327" s="63"/>
      <c r="J327" s="55"/>
      <c r="K327" s="55"/>
      <c r="L327" s="55"/>
      <c r="M327" s="55"/>
      <c r="N327" s="55"/>
      <c r="O327" s="55"/>
      <c r="P327" s="55"/>
      <c r="Q327" s="56"/>
    </row>
    <row r="328" spans="2:17">
      <c r="B328" s="54">
        <v>41049</v>
      </c>
      <c r="C328" s="55">
        <v>25</v>
      </c>
      <c r="D328" s="55">
        <v>0</v>
      </c>
      <c r="E328" s="55">
        <v>0</v>
      </c>
      <c r="F328" s="55">
        <v>1</v>
      </c>
      <c r="G328" s="55">
        <v>0</v>
      </c>
      <c r="H328" s="55">
        <f t="shared" si="5"/>
        <v>2</v>
      </c>
      <c r="I328" s="63"/>
      <c r="J328" s="55"/>
      <c r="K328" s="55"/>
      <c r="L328" s="55"/>
      <c r="M328" s="55"/>
      <c r="N328" s="55"/>
      <c r="O328" s="55"/>
      <c r="P328" s="55"/>
      <c r="Q328" s="56"/>
    </row>
    <row r="329" spans="2:17">
      <c r="B329" s="54">
        <v>41050</v>
      </c>
      <c r="C329" s="55">
        <v>15</v>
      </c>
      <c r="D329" s="55">
        <v>0</v>
      </c>
      <c r="E329" s="55">
        <v>0</v>
      </c>
      <c r="F329" s="55">
        <v>0</v>
      </c>
      <c r="G329" s="55">
        <v>0</v>
      </c>
      <c r="H329" s="55">
        <f t="shared" si="5"/>
        <v>1</v>
      </c>
      <c r="I329" s="63"/>
      <c r="J329" s="55"/>
      <c r="K329" s="55"/>
      <c r="L329" s="55"/>
      <c r="M329" s="55"/>
      <c r="N329" s="55"/>
      <c r="O329" s="55"/>
      <c r="P329" s="55"/>
      <c r="Q329" s="56"/>
    </row>
    <row r="330" spans="2:17">
      <c r="B330" s="54">
        <v>41051</v>
      </c>
      <c r="C330" s="55">
        <v>21</v>
      </c>
      <c r="D330" s="55">
        <v>0</v>
      </c>
      <c r="E330" s="55">
        <v>0</v>
      </c>
      <c r="F330" s="55">
        <v>0</v>
      </c>
      <c r="G330" s="55">
        <v>0</v>
      </c>
      <c r="H330" s="55">
        <f t="shared" si="5"/>
        <v>1</v>
      </c>
      <c r="I330" s="63"/>
      <c r="J330" s="55"/>
      <c r="K330" s="55"/>
      <c r="L330" s="55"/>
      <c r="M330" s="55"/>
      <c r="N330" s="55"/>
      <c r="O330" s="55"/>
      <c r="P330" s="55"/>
      <c r="Q330" s="56"/>
    </row>
    <row r="331" spans="2:17">
      <c r="B331" s="54">
        <v>41052</v>
      </c>
      <c r="C331" s="55">
        <v>19</v>
      </c>
      <c r="D331" s="55">
        <v>0</v>
      </c>
      <c r="E331" s="55">
        <v>0</v>
      </c>
      <c r="F331" s="55">
        <v>0</v>
      </c>
      <c r="G331" s="55">
        <v>0</v>
      </c>
      <c r="H331" s="55">
        <f t="shared" si="5"/>
        <v>1</v>
      </c>
      <c r="I331" s="63"/>
      <c r="J331" s="55"/>
      <c r="K331" s="55"/>
      <c r="L331" s="55"/>
      <c r="M331" s="55"/>
      <c r="N331" s="55"/>
      <c r="O331" s="55"/>
      <c r="P331" s="55"/>
      <c r="Q331" s="56"/>
    </row>
    <row r="332" spans="2:17">
      <c r="B332" s="54">
        <v>41053</v>
      </c>
      <c r="C332" s="55">
        <v>23</v>
      </c>
      <c r="D332" s="55">
        <v>0</v>
      </c>
      <c r="E332" s="55">
        <v>0</v>
      </c>
      <c r="F332" s="55">
        <v>0</v>
      </c>
      <c r="G332" s="55">
        <v>0</v>
      </c>
      <c r="H332" s="55">
        <f t="shared" si="5"/>
        <v>1</v>
      </c>
      <c r="I332" s="63"/>
      <c r="J332" s="55"/>
      <c r="K332" s="55"/>
      <c r="L332" s="55"/>
      <c r="M332" s="55"/>
      <c r="N332" s="55"/>
      <c r="O332" s="55"/>
      <c r="P332" s="55"/>
      <c r="Q332" s="56"/>
    </row>
    <row r="333" spans="2:17">
      <c r="B333" s="54">
        <v>41054</v>
      </c>
      <c r="C333" s="55">
        <v>32</v>
      </c>
      <c r="D333" s="55">
        <v>0</v>
      </c>
      <c r="E333" s="55">
        <v>0</v>
      </c>
      <c r="F333" s="55">
        <v>1</v>
      </c>
      <c r="G333" s="55">
        <v>0</v>
      </c>
      <c r="H333" s="55">
        <f t="shared" si="5"/>
        <v>2</v>
      </c>
      <c r="I333" s="63"/>
      <c r="J333" s="55"/>
      <c r="K333" s="55"/>
      <c r="L333" s="55"/>
      <c r="M333" s="55"/>
      <c r="N333" s="55"/>
      <c r="O333" s="55"/>
      <c r="P333" s="55"/>
      <c r="Q333" s="56"/>
    </row>
    <row r="334" spans="2:17">
      <c r="B334" s="54">
        <v>41055</v>
      </c>
      <c r="C334" s="55">
        <v>39</v>
      </c>
      <c r="D334" s="55">
        <v>0</v>
      </c>
      <c r="E334" s="55">
        <v>0</v>
      </c>
      <c r="F334" s="55">
        <v>2</v>
      </c>
      <c r="G334" s="55">
        <v>1</v>
      </c>
      <c r="H334" s="55">
        <f t="shared" si="5"/>
        <v>6</v>
      </c>
      <c r="I334" s="63"/>
      <c r="J334" s="55"/>
      <c r="K334" s="55"/>
      <c r="L334" s="55"/>
      <c r="M334" s="55"/>
      <c r="N334" s="55"/>
      <c r="O334" s="55"/>
      <c r="P334" s="55"/>
      <c r="Q334" s="56"/>
    </row>
    <row r="335" spans="2:17">
      <c r="B335" s="54">
        <v>41056</v>
      </c>
      <c r="C335" s="55">
        <v>32</v>
      </c>
      <c r="D335" s="55">
        <v>0</v>
      </c>
      <c r="E335" s="55">
        <v>0</v>
      </c>
      <c r="F335" s="55">
        <v>1</v>
      </c>
      <c r="G335" s="55">
        <v>1</v>
      </c>
      <c r="H335" s="55">
        <f t="shared" si="5"/>
        <v>4</v>
      </c>
      <c r="I335" s="63"/>
      <c r="J335" s="55"/>
      <c r="K335" s="55"/>
      <c r="L335" s="55"/>
      <c r="M335" s="55"/>
      <c r="N335" s="55"/>
      <c r="O335" s="55"/>
      <c r="P335" s="55"/>
      <c r="Q335" s="56"/>
    </row>
    <row r="336" spans="2:17">
      <c r="B336" s="54">
        <v>41057</v>
      </c>
      <c r="C336" s="55">
        <v>30</v>
      </c>
      <c r="D336" s="55">
        <v>0</v>
      </c>
      <c r="E336" s="55">
        <v>0</v>
      </c>
      <c r="F336" s="55">
        <v>1</v>
      </c>
      <c r="G336" s="55">
        <v>0</v>
      </c>
      <c r="H336" s="55">
        <f t="shared" si="5"/>
        <v>2</v>
      </c>
      <c r="I336" s="63"/>
      <c r="J336" s="55"/>
      <c r="K336" s="55"/>
      <c r="L336" s="55"/>
      <c r="M336" s="55"/>
      <c r="N336" s="55"/>
      <c r="O336" s="55"/>
      <c r="P336" s="55"/>
      <c r="Q336" s="56"/>
    </row>
    <row r="337" spans="2:17">
      <c r="B337" s="54">
        <v>41058</v>
      </c>
      <c r="C337" s="55">
        <v>33</v>
      </c>
      <c r="D337" s="55">
        <v>0</v>
      </c>
      <c r="E337" s="55">
        <v>0</v>
      </c>
      <c r="F337" s="55">
        <v>0</v>
      </c>
      <c r="G337" s="55">
        <v>0</v>
      </c>
      <c r="H337" s="55">
        <f t="shared" si="5"/>
        <v>1</v>
      </c>
      <c r="I337" s="63"/>
      <c r="J337" s="55"/>
      <c r="K337" s="55"/>
      <c r="L337" s="55"/>
      <c r="M337" s="55"/>
      <c r="N337" s="55"/>
      <c r="O337" s="55"/>
      <c r="P337" s="55"/>
      <c r="Q337" s="56"/>
    </row>
    <row r="338" spans="2:17">
      <c r="B338" s="54">
        <v>41059</v>
      </c>
      <c r="C338" s="55">
        <v>27</v>
      </c>
      <c r="D338" s="55">
        <v>0</v>
      </c>
      <c r="E338" s="55">
        <v>0</v>
      </c>
      <c r="F338" s="55">
        <v>1</v>
      </c>
      <c r="G338" s="55">
        <v>0</v>
      </c>
      <c r="H338" s="55">
        <f t="shared" si="5"/>
        <v>2</v>
      </c>
      <c r="I338" s="63"/>
      <c r="J338" s="55"/>
      <c r="K338" s="55"/>
      <c r="L338" s="55"/>
      <c r="M338" s="55"/>
      <c r="N338" s="55"/>
      <c r="O338" s="55"/>
      <c r="P338" s="55"/>
      <c r="Q338" s="56"/>
    </row>
    <row r="339" spans="2:17">
      <c r="B339" s="54">
        <v>41060</v>
      </c>
      <c r="C339" s="55">
        <v>35</v>
      </c>
      <c r="D339" s="55">
        <v>0</v>
      </c>
      <c r="E339" s="55">
        <v>0</v>
      </c>
      <c r="F339" s="55">
        <v>1</v>
      </c>
      <c r="G339" s="55">
        <v>1</v>
      </c>
      <c r="H339" s="55">
        <f t="shared" si="5"/>
        <v>4</v>
      </c>
      <c r="I339" s="63"/>
      <c r="J339" s="55"/>
      <c r="K339" s="55"/>
      <c r="L339" s="55"/>
      <c r="M339" s="55"/>
      <c r="N339" s="55"/>
      <c r="O339" s="55"/>
      <c r="P339" s="55"/>
      <c r="Q339" s="56"/>
    </row>
    <row r="340" spans="2:17">
      <c r="B340" s="54">
        <v>41061</v>
      </c>
      <c r="C340" s="55">
        <v>30</v>
      </c>
      <c r="D340" s="55">
        <v>0</v>
      </c>
      <c r="E340" s="55">
        <v>0</v>
      </c>
      <c r="F340" s="55">
        <v>0</v>
      </c>
      <c r="G340" s="55">
        <v>0</v>
      </c>
      <c r="H340" s="55">
        <f t="shared" si="5"/>
        <v>1</v>
      </c>
      <c r="I340" s="63"/>
      <c r="J340" s="55"/>
      <c r="K340" s="55"/>
      <c r="L340" s="55"/>
      <c r="M340" s="55"/>
      <c r="N340" s="55"/>
      <c r="O340" s="55"/>
      <c r="P340" s="55"/>
      <c r="Q340" s="56"/>
    </row>
    <row r="341" spans="2:17">
      <c r="B341" s="54">
        <v>41062</v>
      </c>
      <c r="C341" s="55">
        <v>36</v>
      </c>
      <c r="D341" s="55">
        <v>0</v>
      </c>
      <c r="E341" s="55">
        <v>0</v>
      </c>
      <c r="F341" s="55">
        <v>1</v>
      </c>
      <c r="G341" s="55">
        <v>1</v>
      </c>
      <c r="H341" s="55">
        <f t="shared" si="5"/>
        <v>4</v>
      </c>
      <c r="I341" s="63"/>
      <c r="J341" s="55"/>
      <c r="K341" s="55"/>
      <c r="L341" s="55"/>
      <c r="M341" s="55"/>
      <c r="N341" s="55"/>
      <c r="O341" s="55"/>
      <c r="P341" s="55"/>
      <c r="Q341" s="56"/>
    </row>
    <row r="342" spans="2:17">
      <c r="B342" s="54">
        <v>41063</v>
      </c>
      <c r="C342" s="55">
        <v>28</v>
      </c>
      <c r="D342" s="55">
        <v>0</v>
      </c>
      <c r="E342" s="55">
        <v>0</v>
      </c>
      <c r="F342" s="55">
        <v>1</v>
      </c>
      <c r="G342" s="55">
        <v>1</v>
      </c>
      <c r="H342" s="55">
        <f t="shared" si="5"/>
        <v>4</v>
      </c>
      <c r="I342" s="63"/>
      <c r="J342" s="55"/>
      <c r="K342" s="55"/>
      <c r="L342" s="55"/>
      <c r="M342" s="55"/>
      <c r="N342" s="55"/>
      <c r="O342" s="55"/>
      <c r="P342" s="55"/>
      <c r="Q342" s="56"/>
    </row>
    <row r="343" spans="2:17">
      <c r="B343" s="54">
        <v>41064</v>
      </c>
      <c r="C343" s="55">
        <v>22</v>
      </c>
      <c r="D343" s="55">
        <v>0</v>
      </c>
      <c r="E343" s="55">
        <v>0</v>
      </c>
      <c r="F343" s="55">
        <v>0</v>
      </c>
      <c r="G343" s="55">
        <v>0</v>
      </c>
      <c r="H343" s="55">
        <f t="shared" si="5"/>
        <v>1</v>
      </c>
      <c r="I343" s="63"/>
      <c r="J343" s="55"/>
      <c r="K343" s="55"/>
      <c r="L343" s="55"/>
      <c r="M343" s="55"/>
      <c r="N343" s="55"/>
      <c r="O343" s="55"/>
      <c r="P343" s="55"/>
      <c r="Q343" s="56"/>
    </row>
    <row r="344" spans="2:17">
      <c r="B344" s="54">
        <v>41065</v>
      </c>
      <c r="C344" s="55">
        <v>23</v>
      </c>
      <c r="D344" s="55">
        <v>0</v>
      </c>
      <c r="E344" s="55">
        <v>0</v>
      </c>
      <c r="F344" s="55">
        <v>0</v>
      </c>
      <c r="G344" s="55">
        <v>0</v>
      </c>
      <c r="H344" s="55">
        <f t="shared" si="5"/>
        <v>1</v>
      </c>
      <c r="I344" s="63"/>
      <c r="J344" s="55"/>
      <c r="K344" s="55"/>
      <c r="L344" s="55"/>
      <c r="M344" s="55"/>
      <c r="N344" s="55"/>
      <c r="O344" s="55"/>
      <c r="P344" s="55"/>
      <c r="Q344" s="56"/>
    </row>
    <row r="345" spans="2:17">
      <c r="B345" s="54">
        <v>41066</v>
      </c>
      <c r="C345" s="55">
        <v>13</v>
      </c>
      <c r="D345" s="55">
        <v>0</v>
      </c>
      <c r="E345" s="55">
        <v>0</v>
      </c>
      <c r="F345" s="55">
        <v>0</v>
      </c>
      <c r="G345" s="55">
        <v>0</v>
      </c>
      <c r="H345" s="55">
        <f t="shared" si="5"/>
        <v>1</v>
      </c>
      <c r="I345" s="63"/>
      <c r="J345" s="55"/>
      <c r="K345" s="55"/>
      <c r="L345" s="55"/>
      <c r="M345" s="55"/>
      <c r="N345" s="55"/>
      <c r="O345" s="55"/>
      <c r="P345" s="55"/>
      <c r="Q345" s="56"/>
    </row>
    <row r="346" spans="2:17">
      <c r="B346" s="54">
        <v>41067</v>
      </c>
      <c r="C346" s="55">
        <v>13</v>
      </c>
      <c r="D346" s="55">
        <v>0</v>
      </c>
      <c r="E346" s="55">
        <v>0</v>
      </c>
      <c r="F346" s="55">
        <v>0</v>
      </c>
      <c r="G346" s="55">
        <v>0</v>
      </c>
      <c r="H346" s="55">
        <f t="shared" si="5"/>
        <v>1</v>
      </c>
      <c r="I346" s="63"/>
      <c r="J346" s="55"/>
      <c r="K346" s="55"/>
      <c r="L346" s="55"/>
      <c r="M346" s="55"/>
      <c r="N346" s="55"/>
      <c r="O346" s="55"/>
      <c r="P346" s="55"/>
      <c r="Q346" s="56"/>
    </row>
    <row r="347" spans="2:17">
      <c r="B347" s="54">
        <v>41068</v>
      </c>
      <c r="C347" s="55">
        <v>12</v>
      </c>
      <c r="D347" s="55">
        <v>0</v>
      </c>
      <c r="E347" s="55">
        <v>0</v>
      </c>
      <c r="F347" s="55">
        <v>0</v>
      </c>
      <c r="G347" s="55">
        <v>0</v>
      </c>
      <c r="H347" s="55">
        <f t="shared" si="5"/>
        <v>1</v>
      </c>
      <c r="I347" s="63"/>
      <c r="J347" s="55"/>
      <c r="K347" s="55"/>
      <c r="L347" s="55"/>
      <c r="M347" s="55"/>
      <c r="N347" s="55"/>
      <c r="O347" s="55"/>
      <c r="P347" s="55"/>
      <c r="Q347" s="56"/>
    </row>
    <row r="348" spans="2:17">
      <c r="B348" s="54">
        <v>41069</v>
      </c>
      <c r="C348" s="55">
        <v>38</v>
      </c>
      <c r="D348" s="55">
        <v>0</v>
      </c>
      <c r="E348" s="55">
        <v>0</v>
      </c>
      <c r="F348" s="55">
        <v>1</v>
      </c>
      <c r="G348" s="55">
        <v>1</v>
      </c>
      <c r="H348" s="55">
        <f t="shared" si="5"/>
        <v>4</v>
      </c>
      <c r="I348" s="63"/>
      <c r="J348" s="55"/>
      <c r="K348" s="55"/>
      <c r="L348" s="55"/>
      <c r="M348" s="55"/>
      <c r="N348" s="55"/>
      <c r="O348" s="55"/>
      <c r="P348" s="55"/>
      <c r="Q348" s="56"/>
    </row>
    <row r="349" spans="2:17">
      <c r="B349" s="54">
        <v>41070</v>
      </c>
      <c r="C349" s="55">
        <v>17</v>
      </c>
      <c r="D349" s="55">
        <v>0</v>
      </c>
      <c r="E349" s="55">
        <v>0</v>
      </c>
      <c r="F349" s="55">
        <v>1</v>
      </c>
      <c r="G349" s="55">
        <v>0</v>
      </c>
      <c r="H349" s="55">
        <f t="shared" si="5"/>
        <v>2</v>
      </c>
      <c r="I349" s="63"/>
      <c r="J349" s="55"/>
      <c r="K349" s="55"/>
      <c r="L349" s="55"/>
      <c r="M349" s="55"/>
      <c r="N349" s="55"/>
      <c r="O349" s="55"/>
      <c r="P349" s="55"/>
      <c r="Q349" s="56"/>
    </row>
    <row r="350" spans="2:17">
      <c r="B350" s="54">
        <v>41071</v>
      </c>
      <c r="C350" s="55">
        <v>22</v>
      </c>
      <c r="D350" s="55">
        <v>0</v>
      </c>
      <c r="E350" s="55">
        <v>0</v>
      </c>
      <c r="F350" s="55">
        <v>0</v>
      </c>
      <c r="G350" s="55">
        <v>0</v>
      </c>
      <c r="H350" s="55">
        <f t="shared" si="5"/>
        <v>1</v>
      </c>
      <c r="I350" s="63"/>
      <c r="J350" s="55"/>
      <c r="K350" s="55"/>
      <c r="L350" s="55"/>
      <c r="M350" s="55"/>
      <c r="N350" s="55"/>
      <c r="O350" s="55"/>
      <c r="P350" s="55"/>
      <c r="Q350" s="56"/>
    </row>
    <row r="351" spans="2:17">
      <c r="B351" s="54">
        <v>41072</v>
      </c>
      <c r="C351" s="55">
        <v>12</v>
      </c>
      <c r="D351" s="55">
        <v>0</v>
      </c>
      <c r="E351" s="55">
        <v>0</v>
      </c>
      <c r="F351" s="55">
        <v>0</v>
      </c>
      <c r="G351" s="55">
        <v>0</v>
      </c>
      <c r="H351" s="55">
        <f t="shared" si="5"/>
        <v>1</v>
      </c>
      <c r="I351" s="63"/>
      <c r="J351" s="55"/>
      <c r="K351" s="55"/>
      <c r="L351" s="55"/>
      <c r="M351" s="55"/>
      <c r="N351" s="55"/>
      <c r="O351" s="55"/>
      <c r="P351" s="55"/>
      <c r="Q351" s="56"/>
    </row>
    <row r="352" spans="2:17">
      <c r="B352" s="54">
        <v>41073</v>
      </c>
      <c r="C352" s="55">
        <v>22</v>
      </c>
      <c r="D352" s="55">
        <v>0</v>
      </c>
      <c r="E352" s="55">
        <v>0</v>
      </c>
      <c r="F352" s="55">
        <v>0</v>
      </c>
      <c r="G352" s="55">
        <v>0</v>
      </c>
      <c r="H352" s="55">
        <f t="shared" si="5"/>
        <v>1</v>
      </c>
      <c r="I352" s="63"/>
      <c r="J352" s="55"/>
      <c r="K352" s="55"/>
      <c r="L352" s="55"/>
      <c r="M352" s="55"/>
      <c r="N352" s="55"/>
      <c r="O352" s="55"/>
      <c r="P352" s="55"/>
      <c r="Q352" s="56"/>
    </row>
    <row r="353" spans="2:17">
      <c r="B353" s="54">
        <v>41074</v>
      </c>
      <c r="C353" s="55">
        <v>20</v>
      </c>
      <c r="D353" s="55">
        <v>0</v>
      </c>
      <c r="E353" s="55">
        <v>0</v>
      </c>
      <c r="F353" s="55">
        <v>0</v>
      </c>
      <c r="G353" s="55">
        <v>0</v>
      </c>
      <c r="H353" s="55">
        <f t="shared" si="5"/>
        <v>1</v>
      </c>
      <c r="I353" s="63"/>
      <c r="J353" s="55"/>
      <c r="K353" s="55"/>
      <c r="L353" s="55"/>
      <c r="M353" s="55"/>
      <c r="N353" s="55"/>
      <c r="O353" s="55"/>
      <c r="P353" s="55"/>
      <c r="Q353" s="56"/>
    </row>
    <row r="354" spans="2:17">
      <c r="B354" s="54">
        <v>41075</v>
      </c>
      <c r="C354" s="55">
        <v>20</v>
      </c>
      <c r="D354" s="55">
        <v>0</v>
      </c>
      <c r="E354" s="55">
        <v>0</v>
      </c>
      <c r="F354" s="55">
        <v>0</v>
      </c>
      <c r="G354" s="55">
        <v>0</v>
      </c>
      <c r="H354" s="55">
        <f t="shared" si="5"/>
        <v>1</v>
      </c>
      <c r="I354" s="63"/>
      <c r="J354" s="55"/>
      <c r="K354" s="55"/>
      <c r="L354" s="55"/>
      <c r="M354" s="55"/>
      <c r="N354" s="55"/>
      <c r="O354" s="55"/>
      <c r="P354" s="55"/>
      <c r="Q354" s="56"/>
    </row>
    <row r="355" spans="2:17">
      <c r="B355" s="54">
        <v>41076</v>
      </c>
      <c r="C355" s="55">
        <v>42</v>
      </c>
      <c r="D355" s="55">
        <v>0</v>
      </c>
      <c r="E355" s="55">
        <v>0</v>
      </c>
      <c r="F355" s="55">
        <v>1</v>
      </c>
      <c r="G355" s="55">
        <v>1</v>
      </c>
      <c r="H355" s="55">
        <f t="shared" si="5"/>
        <v>4</v>
      </c>
      <c r="I355" s="63"/>
      <c r="J355" s="55"/>
      <c r="K355" s="55"/>
      <c r="L355" s="55"/>
      <c r="M355" s="55"/>
      <c r="N355" s="55"/>
      <c r="O355" s="55"/>
      <c r="P355" s="55"/>
      <c r="Q355" s="56"/>
    </row>
    <row r="356" spans="2:17">
      <c r="B356" s="54">
        <v>41077</v>
      </c>
      <c r="C356" s="55">
        <v>22</v>
      </c>
      <c r="D356" s="55">
        <v>0</v>
      </c>
      <c r="E356" s="55">
        <v>0</v>
      </c>
      <c r="F356" s="55">
        <v>1</v>
      </c>
      <c r="G356" s="55">
        <v>0</v>
      </c>
      <c r="H356" s="55">
        <f t="shared" si="5"/>
        <v>2</v>
      </c>
      <c r="I356" s="63"/>
      <c r="J356" s="55"/>
      <c r="K356" s="55"/>
      <c r="L356" s="55"/>
      <c r="M356" s="55"/>
      <c r="N356" s="55"/>
      <c r="O356" s="55"/>
      <c r="P356" s="55"/>
      <c r="Q356" s="56"/>
    </row>
    <row r="357" spans="2:17">
      <c r="B357" s="54">
        <v>41078</v>
      </c>
      <c r="C357" s="55">
        <v>23</v>
      </c>
      <c r="D357" s="55">
        <v>0</v>
      </c>
      <c r="E357" s="55">
        <v>0</v>
      </c>
      <c r="F357" s="55">
        <v>0</v>
      </c>
      <c r="G357" s="55">
        <v>0</v>
      </c>
      <c r="H357" s="55">
        <f t="shared" si="5"/>
        <v>1</v>
      </c>
      <c r="I357" s="63"/>
      <c r="J357" s="55"/>
      <c r="K357" s="55"/>
      <c r="L357" s="55"/>
      <c r="M357" s="55"/>
      <c r="N357" s="55"/>
      <c r="O357" s="55"/>
      <c r="P357" s="55"/>
      <c r="Q357" s="56"/>
    </row>
    <row r="358" spans="2:17">
      <c r="B358" s="54">
        <v>41079</v>
      </c>
      <c r="C358" s="55">
        <v>19</v>
      </c>
      <c r="D358" s="55">
        <v>0</v>
      </c>
      <c r="E358" s="55">
        <v>0</v>
      </c>
      <c r="F358" s="55">
        <v>0</v>
      </c>
      <c r="G358" s="55">
        <v>0</v>
      </c>
      <c r="H358" s="55">
        <f t="shared" si="5"/>
        <v>1</v>
      </c>
      <c r="I358" s="63"/>
      <c r="J358" s="55"/>
      <c r="K358" s="55"/>
      <c r="L358" s="55"/>
      <c r="M358" s="55"/>
      <c r="N358" s="55"/>
      <c r="O358" s="55"/>
      <c r="P358" s="55"/>
      <c r="Q358" s="56"/>
    </row>
    <row r="359" spans="2:17">
      <c r="B359" s="54">
        <v>41080</v>
      </c>
      <c r="C359" s="55">
        <v>21</v>
      </c>
      <c r="D359" s="55">
        <v>0</v>
      </c>
      <c r="E359" s="55">
        <v>0</v>
      </c>
      <c r="F359" s="55">
        <v>0</v>
      </c>
      <c r="G359" s="55">
        <v>0</v>
      </c>
      <c r="H359" s="55">
        <f t="shared" si="5"/>
        <v>1</v>
      </c>
      <c r="I359" s="63"/>
      <c r="J359" s="55"/>
      <c r="K359" s="55"/>
      <c r="L359" s="55"/>
      <c r="M359" s="55"/>
      <c r="N359" s="55"/>
      <c r="O359" s="55"/>
      <c r="P359" s="55"/>
      <c r="Q359" s="56"/>
    </row>
    <row r="360" spans="2:17">
      <c r="B360" s="54">
        <v>41081</v>
      </c>
      <c r="C360" s="55">
        <v>20</v>
      </c>
      <c r="D360" s="55">
        <v>0</v>
      </c>
      <c r="E360" s="55">
        <v>0</v>
      </c>
      <c r="F360" s="55">
        <v>0</v>
      </c>
      <c r="G360" s="55">
        <v>0</v>
      </c>
      <c r="H360" s="55">
        <f t="shared" si="5"/>
        <v>1</v>
      </c>
      <c r="I360" s="63"/>
      <c r="J360" s="55"/>
      <c r="K360" s="55"/>
      <c r="L360" s="55"/>
      <c r="M360" s="55"/>
      <c r="N360" s="55"/>
      <c r="O360" s="55"/>
      <c r="P360" s="55"/>
      <c r="Q360" s="56"/>
    </row>
    <row r="361" spans="2:17">
      <c r="B361" s="54">
        <v>41082</v>
      </c>
      <c r="C361" s="55">
        <v>32</v>
      </c>
      <c r="D361" s="55">
        <v>0</v>
      </c>
      <c r="E361" s="55">
        <v>0</v>
      </c>
      <c r="F361" s="55">
        <v>0</v>
      </c>
      <c r="G361" s="55">
        <v>0</v>
      </c>
      <c r="H361" s="55">
        <f t="shared" si="5"/>
        <v>1</v>
      </c>
      <c r="I361" s="63"/>
      <c r="J361" s="55"/>
      <c r="K361" s="55"/>
      <c r="L361" s="55"/>
      <c r="M361" s="55"/>
      <c r="N361" s="55"/>
      <c r="O361" s="55"/>
      <c r="P361" s="55"/>
      <c r="Q361" s="56"/>
    </row>
    <row r="362" spans="2:17">
      <c r="B362" s="54">
        <v>41083</v>
      </c>
      <c r="C362" s="55">
        <v>38</v>
      </c>
      <c r="D362" s="55">
        <v>0</v>
      </c>
      <c r="E362" s="55">
        <v>0</v>
      </c>
      <c r="F362" s="55">
        <v>2</v>
      </c>
      <c r="G362" s="55">
        <v>1</v>
      </c>
      <c r="H362" s="55">
        <f t="shared" si="5"/>
        <v>6</v>
      </c>
      <c r="I362" s="63"/>
      <c r="J362" s="55"/>
      <c r="K362" s="55"/>
      <c r="L362" s="55"/>
      <c r="M362" s="55"/>
      <c r="N362" s="55"/>
      <c r="O362" s="55"/>
      <c r="P362" s="55"/>
      <c r="Q362" s="56"/>
    </row>
    <row r="363" spans="2:17">
      <c r="B363" s="54">
        <v>41084</v>
      </c>
      <c r="C363" s="55">
        <v>34</v>
      </c>
      <c r="D363" s="55">
        <v>0</v>
      </c>
      <c r="E363" s="55">
        <v>0</v>
      </c>
      <c r="F363" s="55">
        <v>1</v>
      </c>
      <c r="G363" s="55">
        <v>1</v>
      </c>
      <c r="H363" s="55">
        <f t="shared" si="5"/>
        <v>4</v>
      </c>
      <c r="I363" s="63"/>
      <c r="J363" s="55"/>
      <c r="K363" s="55"/>
      <c r="L363" s="55"/>
      <c r="M363" s="55"/>
      <c r="N363" s="55"/>
      <c r="O363" s="55"/>
      <c r="P363" s="55"/>
      <c r="Q363" s="56"/>
    </row>
    <row r="364" spans="2:17">
      <c r="B364" s="54">
        <v>41085</v>
      </c>
      <c r="C364" s="55">
        <v>31</v>
      </c>
      <c r="D364" s="55">
        <v>0</v>
      </c>
      <c r="E364" s="55">
        <v>0</v>
      </c>
      <c r="F364" s="55">
        <v>0</v>
      </c>
      <c r="G364" s="55">
        <v>0</v>
      </c>
      <c r="H364" s="55">
        <f t="shared" si="5"/>
        <v>1</v>
      </c>
      <c r="I364" s="63"/>
      <c r="J364" s="55"/>
      <c r="K364" s="55"/>
      <c r="L364" s="55"/>
      <c r="M364" s="55"/>
      <c r="N364" s="55"/>
      <c r="O364" s="55"/>
      <c r="P364" s="55"/>
      <c r="Q364" s="56"/>
    </row>
    <row r="365" spans="2:17">
      <c r="B365" s="54">
        <v>41086</v>
      </c>
      <c r="C365" s="55">
        <v>33</v>
      </c>
      <c r="D365" s="55">
        <v>0</v>
      </c>
      <c r="E365" s="55">
        <v>0</v>
      </c>
      <c r="F365" s="55">
        <v>1</v>
      </c>
      <c r="G365" s="55">
        <v>0</v>
      </c>
      <c r="H365" s="55">
        <f t="shared" si="5"/>
        <v>2</v>
      </c>
      <c r="I365" s="63"/>
      <c r="J365" s="55"/>
      <c r="K365" s="55"/>
      <c r="L365" s="55"/>
      <c r="M365" s="55"/>
      <c r="N365" s="55"/>
      <c r="O365" s="55"/>
      <c r="P365" s="55"/>
      <c r="Q365" s="56"/>
    </row>
    <row r="366" spans="2:17">
      <c r="B366" s="54">
        <v>41087</v>
      </c>
      <c r="C366" s="55">
        <v>31</v>
      </c>
      <c r="D366" s="55">
        <v>0</v>
      </c>
      <c r="E366" s="55">
        <v>0</v>
      </c>
      <c r="F366" s="55">
        <v>0</v>
      </c>
      <c r="G366" s="55">
        <v>0</v>
      </c>
      <c r="H366" s="55">
        <f t="shared" si="5"/>
        <v>1</v>
      </c>
      <c r="I366" s="63"/>
      <c r="J366" s="55"/>
      <c r="K366" s="55"/>
      <c r="L366" s="55"/>
      <c r="M366" s="55"/>
      <c r="N366" s="55"/>
      <c r="O366" s="55"/>
      <c r="P366" s="55"/>
      <c r="Q366" s="56"/>
    </row>
    <row r="367" spans="2:17">
      <c r="B367" s="54">
        <v>41088</v>
      </c>
      <c r="C367" s="55">
        <v>42</v>
      </c>
      <c r="D367" s="55">
        <v>0</v>
      </c>
      <c r="E367" s="55">
        <v>0</v>
      </c>
      <c r="F367" s="55">
        <v>1</v>
      </c>
      <c r="G367" s="55">
        <v>0</v>
      </c>
      <c r="H367" s="55">
        <f t="shared" si="5"/>
        <v>2</v>
      </c>
      <c r="I367" s="63"/>
      <c r="J367" s="55"/>
      <c r="K367" s="55"/>
      <c r="L367" s="55"/>
      <c r="M367" s="55"/>
      <c r="N367" s="55"/>
      <c r="O367" s="55"/>
      <c r="P367" s="55"/>
      <c r="Q367" s="56"/>
    </row>
    <row r="368" spans="2:17">
      <c r="B368" s="54">
        <v>41089</v>
      </c>
      <c r="C368" s="55">
        <v>52</v>
      </c>
      <c r="D368" s="55">
        <v>0</v>
      </c>
      <c r="E368" s="55">
        <v>0</v>
      </c>
      <c r="F368" s="55">
        <v>1</v>
      </c>
      <c r="G368" s="55">
        <v>1</v>
      </c>
      <c r="H368" s="55">
        <f t="shared" si="5"/>
        <v>4</v>
      </c>
      <c r="I368" s="63"/>
      <c r="J368" s="55"/>
      <c r="K368" s="55"/>
      <c r="L368" s="55"/>
      <c r="M368" s="55"/>
      <c r="N368" s="55"/>
      <c r="O368" s="55"/>
      <c r="P368" s="55"/>
      <c r="Q368" s="56"/>
    </row>
    <row r="369" spans="2:17" ht="21" thickBot="1">
      <c r="B369" s="57">
        <v>41090</v>
      </c>
      <c r="C369" s="58">
        <v>55</v>
      </c>
      <c r="D369" s="58">
        <v>0</v>
      </c>
      <c r="E369" s="58">
        <v>0</v>
      </c>
      <c r="F369" s="58">
        <v>2</v>
      </c>
      <c r="G369" s="58">
        <v>2</v>
      </c>
      <c r="H369" s="58">
        <f t="shared" si="5"/>
        <v>9</v>
      </c>
      <c r="I369" s="64"/>
      <c r="J369" s="58"/>
      <c r="K369" s="58"/>
      <c r="L369" s="58"/>
      <c r="M369" s="58"/>
      <c r="N369" s="58"/>
      <c r="O369" s="58"/>
      <c r="P369" s="58"/>
      <c r="Q369" s="59"/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4C127-69D9-D244-A995-C56D0B1AEEAE}">
  <dimension ref="B1:AB369"/>
  <sheetViews>
    <sheetView workbookViewId="0">
      <selection activeCell="AD1" sqref="AD1:AO1048576"/>
    </sheetView>
  </sheetViews>
  <sheetFormatPr baseColWidth="10" defaultRowHeight="20"/>
  <sheetData>
    <row r="1" spans="2:25" ht="21" thickBot="1"/>
    <row r="2" spans="2:25" ht="21" thickBot="1">
      <c r="B2" s="60" t="s">
        <v>0</v>
      </c>
      <c r="C2" s="61" t="s">
        <v>1</v>
      </c>
      <c r="D2" s="61" t="s">
        <v>2</v>
      </c>
      <c r="E2" s="61" t="s">
        <v>3</v>
      </c>
      <c r="F2" s="61" t="s">
        <v>4</v>
      </c>
      <c r="G2" s="61" t="s">
        <v>5</v>
      </c>
      <c r="H2" s="61" t="s">
        <v>6</v>
      </c>
      <c r="I2" s="60" t="s">
        <v>57</v>
      </c>
      <c r="J2" s="61" t="s">
        <v>43</v>
      </c>
      <c r="K2" s="61" t="s">
        <v>44</v>
      </c>
      <c r="L2" s="61" t="s">
        <v>45</v>
      </c>
      <c r="M2" s="61" t="s">
        <v>46</v>
      </c>
      <c r="N2" s="61" t="s">
        <v>47</v>
      </c>
      <c r="O2" s="61" t="s">
        <v>48</v>
      </c>
      <c r="P2" s="61" t="s">
        <v>49</v>
      </c>
      <c r="Q2" s="62" t="s">
        <v>50</v>
      </c>
      <c r="T2" t="s">
        <v>11</v>
      </c>
    </row>
    <row r="3" spans="2:25" ht="21" thickBot="1">
      <c r="B3" s="54">
        <v>40724</v>
      </c>
      <c r="C3" s="55">
        <v>24</v>
      </c>
      <c r="D3" s="55">
        <v>0</v>
      </c>
      <c r="E3" s="55">
        <v>0</v>
      </c>
      <c r="F3" s="55">
        <v>1</v>
      </c>
      <c r="G3" s="55">
        <v>2</v>
      </c>
      <c r="H3" s="55">
        <v>6</v>
      </c>
      <c r="I3" s="63">
        <v>0</v>
      </c>
      <c r="J3" s="55">
        <v>0</v>
      </c>
      <c r="K3" s="55">
        <v>0</v>
      </c>
      <c r="L3" s="55">
        <v>0</v>
      </c>
      <c r="M3" s="55">
        <v>1</v>
      </c>
      <c r="N3" s="55">
        <v>0</v>
      </c>
      <c r="O3" s="55">
        <v>0</v>
      </c>
      <c r="P3" s="55">
        <v>0</v>
      </c>
      <c r="Q3" s="56">
        <v>17</v>
      </c>
    </row>
    <row r="4" spans="2:25">
      <c r="B4" s="54">
        <v>40725</v>
      </c>
      <c r="C4" s="55">
        <v>16</v>
      </c>
      <c r="D4" s="55">
        <v>0</v>
      </c>
      <c r="E4" s="55">
        <v>0</v>
      </c>
      <c r="F4" s="55">
        <v>-1</v>
      </c>
      <c r="G4" s="55">
        <v>-1</v>
      </c>
      <c r="H4" s="55">
        <v>0</v>
      </c>
      <c r="I4" s="63">
        <v>0</v>
      </c>
      <c r="J4" s="55">
        <v>0</v>
      </c>
      <c r="K4" s="55">
        <v>0</v>
      </c>
      <c r="L4" s="55">
        <v>0</v>
      </c>
      <c r="M4" s="55">
        <v>0</v>
      </c>
      <c r="N4" s="55">
        <v>1</v>
      </c>
      <c r="O4" s="55">
        <v>0</v>
      </c>
      <c r="P4" s="55">
        <v>0</v>
      </c>
      <c r="Q4" s="56">
        <v>18</v>
      </c>
      <c r="T4" s="69" t="s">
        <v>12</v>
      </c>
      <c r="U4" s="69"/>
    </row>
    <row r="5" spans="2:25">
      <c r="B5" s="54">
        <v>40726</v>
      </c>
      <c r="C5" s="55">
        <v>25</v>
      </c>
      <c r="D5" s="55">
        <v>0</v>
      </c>
      <c r="E5" s="55">
        <v>0</v>
      </c>
      <c r="F5" s="55">
        <v>2</v>
      </c>
      <c r="G5" s="55">
        <v>1</v>
      </c>
      <c r="H5" s="55">
        <v>6</v>
      </c>
      <c r="I5" s="63">
        <v>0</v>
      </c>
      <c r="J5" s="55">
        <v>0</v>
      </c>
      <c r="K5" s="55">
        <v>0</v>
      </c>
      <c r="L5" s="55">
        <v>0</v>
      </c>
      <c r="M5" s="55">
        <v>0</v>
      </c>
      <c r="N5" s="55">
        <v>0</v>
      </c>
      <c r="O5" s="55">
        <v>1</v>
      </c>
      <c r="P5" s="55">
        <v>0</v>
      </c>
      <c r="Q5" s="56">
        <v>20</v>
      </c>
      <c r="T5" t="s">
        <v>13</v>
      </c>
      <c r="U5">
        <v>0.8330357669672287</v>
      </c>
    </row>
    <row r="6" spans="2:25">
      <c r="B6" s="54">
        <v>40727</v>
      </c>
      <c r="C6" s="55">
        <v>17</v>
      </c>
      <c r="D6" s="55">
        <v>0</v>
      </c>
      <c r="E6" s="55">
        <v>0</v>
      </c>
      <c r="F6" s="55">
        <v>1</v>
      </c>
      <c r="G6" s="55">
        <v>1</v>
      </c>
      <c r="H6" s="55">
        <v>4</v>
      </c>
      <c r="I6" s="63">
        <v>0</v>
      </c>
      <c r="J6" s="55">
        <v>0</v>
      </c>
      <c r="K6" s="55">
        <v>0</v>
      </c>
      <c r="L6" s="55">
        <v>0</v>
      </c>
      <c r="M6" s="55">
        <v>0</v>
      </c>
      <c r="N6" s="55">
        <v>0</v>
      </c>
      <c r="O6" s="55">
        <v>0</v>
      </c>
      <c r="P6" s="55">
        <v>0</v>
      </c>
      <c r="Q6" s="56">
        <v>20</v>
      </c>
      <c r="T6" t="s">
        <v>14</v>
      </c>
      <c r="U6">
        <v>0.693948589046679</v>
      </c>
    </row>
    <row r="7" spans="2:25">
      <c r="B7" s="54">
        <v>40728</v>
      </c>
      <c r="C7" s="55">
        <v>11</v>
      </c>
      <c r="D7" s="55">
        <v>0</v>
      </c>
      <c r="E7" s="55">
        <v>0</v>
      </c>
      <c r="F7" s="55">
        <v>0</v>
      </c>
      <c r="G7" s="55">
        <v>0</v>
      </c>
      <c r="H7" s="55">
        <v>1</v>
      </c>
      <c r="I7" s="63">
        <v>0</v>
      </c>
      <c r="J7" s="55">
        <v>1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6">
        <v>14</v>
      </c>
      <c r="T7" t="s">
        <v>15</v>
      </c>
      <c r="U7">
        <v>0.68177608974739912</v>
      </c>
    </row>
    <row r="8" spans="2:25">
      <c r="B8" s="54">
        <v>40729</v>
      </c>
      <c r="C8" s="55">
        <v>8</v>
      </c>
      <c r="D8" s="55">
        <v>0</v>
      </c>
      <c r="E8" s="55">
        <v>0</v>
      </c>
      <c r="F8" s="55">
        <v>0</v>
      </c>
      <c r="G8" s="55">
        <v>0</v>
      </c>
      <c r="H8" s="55">
        <v>1</v>
      </c>
      <c r="I8" s="63">
        <v>0</v>
      </c>
      <c r="J8" s="55">
        <v>0</v>
      </c>
      <c r="K8" s="55">
        <v>1</v>
      </c>
      <c r="L8" s="55">
        <v>0</v>
      </c>
      <c r="M8" s="55">
        <v>0</v>
      </c>
      <c r="N8" s="55">
        <v>0</v>
      </c>
      <c r="O8" s="55">
        <v>0</v>
      </c>
      <c r="P8" s="55">
        <v>0</v>
      </c>
      <c r="Q8" s="56">
        <v>14</v>
      </c>
      <c r="T8" t="s">
        <v>16</v>
      </c>
      <c r="U8">
        <v>6.95382024074393</v>
      </c>
    </row>
    <row r="9" spans="2:25" ht="21" thickBot="1">
      <c r="B9" s="54">
        <v>40730</v>
      </c>
      <c r="C9" s="55">
        <v>11</v>
      </c>
      <c r="D9" s="55">
        <v>0</v>
      </c>
      <c r="E9" s="55">
        <v>0</v>
      </c>
      <c r="F9" s="55">
        <v>0</v>
      </c>
      <c r="G9" s="55">
        <v>0</v>
      </c>
      <c r="H9" s="55">
        <v>1</v>
      </c>
      <c r="I9" s="63">
        <v>0</v>
      </c>
      <c r="J9" s="55">
        <v>0</v>
      </c>
      <c r="K9" s="55">
        <v>0</v>
      </c>
      <c r="L9" s="55">
        <v>1</v>
      </c>
      <c r="M9" s="55">
        <v>0</v>
      </c>
      <c r="N9" s="55">
        <v>0</v>
      </c>
      <c r="O9" s="55">
        <v>0</v>
      </c>
      <c r="P9" s="55">
        <v>0</v>
      </c>
      <c r="Q9" s="56">
        <v>4</v>
      </c>
      <c r="T9" s="58" t="s">
        <v>17</v>
      </c>
      <c r="U9" s="58">
        <v>367</v>
      </c>
    </row>
    <row r="10" spans="2:25">
      <c r="B10" s="54">
        <v>40731</v>
      </c>
      <c r="C10" s="55">
        <v>10</v>
      </c>
      <c r="D10" s="55">
        <v>0</v>
      </c>
      <c r="E10" s="55">
        <v>0</v>
      </c>
      <c r="F10" s="55">
        <v>0</v>
      </c>
      <c r="G10" s="55">
        <v>0</v>
      </c>
      <c r="H10" s="55">
        <v>1</v>
      </c>
      <c r="I10" s="63">
        <v>0</v>
      </c>
      <c r="J10" s="55">
        <v>0</v>
      </c>
      <c r="K10" s="55">
        <v>0</v>
      </c>
      <c r="L10" s="55">
        <v>0</v>
      </c>
      <c r="M10" s="55">
        <v>1</v>
      </c>
      <c r="N10" s="55">
        <v>0</v>
      </c>
      <c r="O10" s="55">
        <v>0</v>
      </c>
      <c r="P10" s="55">
        <v>0</v>
      </c>
      <c r="Q10" s="56">
        <v>10</v>
      </c>
    </row>
    <row r="11" spans="2:25" ht="21" thickBot="1">
      <c r="B11" s="54">
        <v>40732</v>
      </c>
      <c r="C11" s="55">
        <v>16</v>
      </c>
      <c r="D11" s="55">
        <v>0</v>
      </c>
      <c r="E11" s="55">
        <v>0</v>
      </c>
      <c r="F11" s="55">
        <v>0</v>
      </c>
      <c r="G11" s="55">
        <v>0</v>
      </c>
      <c r="H11" s="55">
        <v>1</v>
      </c>
      <c r="I11" s="63">
        <v>0</v>
      </c>
      <c r="J11" s="55">
        <v>0</v>
      </c>
      <c r="K11" s="55">
        <v>0</v>
      </c>
      <c r="L11" s="55">
        <v>0</v>
      </c>
      <c r="M11" s="55">
        <v>0</v>
      </c>
      <c r="N11" s="55">
        <v>1</v>
      </c>
      <c r="O11" s="55">
        <v>0</v>
      </c>
      <c r="P11" s="55">
        <v>0</v>
      </c>
      <c r="Q11" s="56">
        <v>12</v>
      </c>
      <c r="T11" t="s">
        <v>18</v>
      </c>
    </row>
    <row r="12" spans="2:25">
      <c r="B12" s="54">
        <v>40733</v>
      </c>
      <c r="C12" s="55">
        <v>19</v>
      </c>
      <c r="D12" s="55">
        <v>0</v>
      </c>
      <c r="E12" s="55">
        <v>0</v>
      </c>
      <c r="F12" s="55">
        <v>1</v>
      </c>
      <c r="G12" s="55">
        <v>1</v>
      </c>
      <c r="H12" s="55">
        <v>4</v>
      </c>
      <c r="I12" s="63">
        <v>0</v>
      </c>
      <c r="J12" s="55">
        <v>0</v>
      </c>
      <c r="K12" s="55">
        <v>0</v>
      </c>
      <c r="L12" s="55">
        <v>0</v>
      </c>
      <c r="M12" s="55">
        <v>0</v>
      </c>
      <c r="N12" s="55">
        <v>0</v>
      </c>
      <c r="O12" s="55">
        <v>1</v>
      </c>
      <c r="P12" s="55">
        <v>0</v>
      </c>
      <c r="Q12" s="56">
        <v>21</v>
      </c>
      <c r="T12" s="65"/>
      <c r="U12" s="65" t="s">
        <v>23</v>
      </c>
      <c r="V12" s="65" t="s">
        <v>24</v>
      </c>
      <c r="W12" s="65" t="s">
        <v>25</v>
      </c>
      <c r="X12" s="65" t="s">
        <v>26</v>
      </c>
      <c r="Y12" s="65" t="s">
        <v>27</v>
      </c>
    </row>
    <row r="13" spans="2:25">
      <c r="B13" s="54">
        <v>40734</v>
      </c>
      <c r="C13" s="55">
        <v>20</v>
      </c>
      <c r="D13" s="55">
        <v>0</v>
      </c>
      <c r="E13" s="55">
        <v>0</v>
      </c>
      <c r="F13" s="55">
        <v>1</v>
      </c>
      <c r="G13" s="55">
        <v>1</v>
      </c>
      <c r="H13" s="55">
        <v>4</v>
      </c>
      <c r="I13" s="63">
        <v>0</v>
      </c>
      <c r="J13" s="55">
        <v>0</v>
      </c>
      <c r="K13" s="55">
        <v>0</v>
      </c>
      <c r="L13" s="55">
        <v>0</v>
      </c>
      <c r="M13" s="55">
        <v>0</v>
      </c>
      <c r="N13" s="55">
        <v>0</v>
      </c>
      <c r="O13" s="55">
        <v>0</v>
      </c>
      <c r="P13" s="55">
        <v>0</v>
      </c>
      <c r="Q13" s="56">
        <v>15</v>
      </c>
      <c r="T13" t="s">
        <v>19</v>
      </c>
      <c r="U13">
        <v>14</v>
      </c>
      <c r="V13">
        <v>38594.240082648845</v>
      </c>
      <c r="W13">
        <v>2756.7314344749175</v>
      </c>
      <c r="X13">
        <v>57.009540274751672</v>
      </c>
      <c r="Y13">
        <v>1.6643195998337049E-81</v>
      </c>
    </row>
    <row r="14" spans="2:25">
      <c r="B14" s="54">
        <v>40735</v>
      </c>
      <c r="C14" s="55">
        <v>17</v>
      </c>
      <c r="D14" s="55">
        <v>0</v>
      </c>
      <c r="E14" s="55">
        <v>0</v>
      </c>
      <c r="F14" s="55">
        <v>0</v>
      </c>
      <c r="G14" s="55">
        <v>0</v>
      </c>
      <c r="H14" s="55">
        <v>1</v>
      </c>
      <c r="I14" s="63">
        <v>0</v>
      </c>
      <c r="J14" s="55">
        <v>1</v>
      </c>
      <c r="K14" s="55">
        <v>0</v>
      </c>
      <c r="L14" s="55">
        <v>0</v>
      </c>
      <c r="M14" s="55">
        <v>0</v>
      </c>
      <c r="N14" s="55">
        <v>0</v>
      </c>
      <c r="O14" s="55">
        <v>0</v>
      </c>
      <c r="P14" s="55">
        <v>0</v>
      </c>
      <c r="Q14" s="56">
        <v>11</v>
      </c>
      <c r="T14" t="s">
        <v>20</v>
      </c>
      <c r="U14">
        <v>352</v>
      </c>
      <c r="V14">
        <v>17021.176811084148</v>
      </c>
      <c r="W14">
        <v>48.355615940579966</v>
      </c>
    </row>
    <row r="15" spans="2:25" ht="21" thickBot="1">
      <c r="B15" s="54">
        <v>40736</v>
      </c>
      <c r="C15" s="55">
        <v>10</v>
      </c>
      <c r="D15" s="55">
        <v>0</v>
      </c>
      <c r="E15" s="55">
        <v>0</v>
      </c>
      <c r="F15" s="55">
        <v>0</v>
      </c>
      <c r="G15" s="55">
        <v>0</v>
      </c>
      <c r="H15" s="55">
        <v>1</v>
      </c>
      <c r="I15" s="63">
        <v>0</v>
      </c>
      <c r="J15" s="55">
        <v>0</v>
      </c>
      <c r="K15" s="55">
        <v>1</v>
      </c>
      <c r="L15" s="55">
        <v>0</v>
      </c>
      <c r="M15" s="55">
        <v>0</v>
      </c>
      <c r="N15" s="55">
        <v>0</v>
      </c>
      <c r="O15" s="55">
        <v>0</v>
      </c>
      <c r="P15" s="55">
        <v>0</v>
      </c>
      <c r="Q15" s="56">
        <v>8</v>
      </c>
      <c r="T15" s="58" t="s">
        <v>21</v>
      </c>
      <c r="U15" s="58">
        <v>366</v>
      </c>
      <c r="V15" s="58">
        <v>55615.416893732996</v>
      </c>
      <c r="W15" s="58"/>
      <c r="X15" s="58"/>
      <c r="Y15" s="58"/>
    </row>
    <row r="16" spans="2:25" ht="21" thickBot="1">
      <c r="B16" s="54">
        <v>40737</v>
      </c>
      <c r="C16" s="55">
        <v>9</v>
      </c>
      <c r="D16" s="55">
        <v>0</v>
      </c>
      <c r="E16" s="55">
        <v>0</v>
      </c>
      <c r="F16" s="55">
        <v>0</v>
      </c>
      <c r="G16" s="55">
        <v>0</v>
      </c>
      <c r="H16" s="55">
        <v>1</v>
      </c>
      <c r="I16" s="63">
        <v>0</v>
      </c>
      <c r="J16" s="55">
        <v>0</v>
      </c>
      <c r="K16" s="55">
        <v>0</v>
      </c>
      <c r="L16" s="55">
        <v>1</v>
      </c>
      <c r="M16" s="55">
        <v>0</v>
      </c>
      <c r="N16" s="55">
        <v>0</v>
      </c>
      <c r="O16" s="55">
        <v>0</v>
      </c>
      <c r="P16" s="55">
        <v>0</v>
      </c>
      <c r="Q16" s="56">
        <v>13</v>
      </c>
    </row>
    <row r="17" spans="2:28">
      <c r="B17" s="54">
        <v>40738</v>
      </c>
      <c r="C17" s="55">
        <v>16</v>
      </c>
      <c r="D17" s="55">
        <v>0</v>
      </c>
      <c r="E17" s="55">
        <v>0</v>
      </c>
      <c r="F17" s="55">
        <v>0</v>
      </c>
      <c r="G17" s="55">
        <v>0</v>
      </c>
      <c r="H17" s="55">
        <v>1</v>
      </c>
      <c r="I17" s="63">
        <v>0</v>
      </c>
      <c r="J17" s="55">
        <v>0</v>
      </c>
      <c r="K17" s="55">
        <v>0</v>
      </c>
      <c r="L17" s="55">
        <v>0</v>
      </c>
      <c r="M17" s="55">
        <v>1</v>
      </c>
      <c r="N17" s="55">
        <v>0</v>
      </c>
      <c r="O17" s="55">
        <v>0</v>
      </c>
      <c r="P17" s="55">
        <v>0</v>
      </c>
      <c r="Q17" s="56">
        <v>8</v>
      </c>
      <c r="T17" s="65"/>
      <c r="U17" s="65" t="s">
        <v>28</v>
      </c>
      <c r="V17" s="65" t="s">
        <v>16</v>
      </c>
      <c r="W17" s="65" t="s">
        <v>29</v>
      </c>
      <c r="X17" s="65" t="s">
        <v>30</v>
      </c>
      <c r="Y17" s="65" t="s">
        <v>31</v>
      </c>
      <c r="Z17" s="65" t="s">
        <v>32</v>
      </c>
      <c r="AA17" s="65" t="s">
        <v>33</v>
      </c>
      <c r="AB17" s="65" t="s">
        <v>34</v>
      </c>
    </row>
    <row r="18" spans="2:28">
      <c r="B18" s="54">
        <v>40739</v>
      </c>
      <c r="C18" s="55">
        <v>19</v>
      </c>
      <c r="D18" s="55">
        <v>0</v>
      </c>
      <c r="E18" s="55">
        <v>0</v>
      </c>
      <c r="F18" s="55">
        <v>0</v>
      </c>
      <c r="G18" s="55">
        <v>0</v>
      </c>
      <c r="H18" s="55">
        <v>1</v>
      </c>
      <c r="I18" s="63">
        <v>0</v>
      </c>
      <c r="J18" s="55">
        <v>0</v>
      </c>
      <c r="K18" s="55">
        <v>0</v>
      </c>
      <c r="L18" s="55">
        <v>0</v>
      </c>
      <c r="M18" s="55">
        <v>0</v>
      </c>
      <c r="N18" s="55">
        <v>1</v>
      </c>
      <c r="O18" s="55">
        <v>0</v>
      </c>
      <c r="P18" s="55">
        <v>0</v>
      </c>
      <c r="Q18" s="56">
        <v>16</v>
      </c>
      <c r="T18" t="s">
        <v>22</v>
      </c>
      <c r="U18">
        <v>5.5180473793158065</v>
      </c>
      <c r="V18">
        <v>1.4531408454041765</v>
      </c>
      <c r="W18">
        <v>3.7973245310443509</v>
      </c>
      <c r="X18">
        <v>1.7222715268069231E-4</v>
      </c>
      <c r="Y18">
        <v>2.6601171629627474</v>
      </c>
      <c r="Z18">
        <v>8.375977595668866</v>
      </c>
      <c r="AA18">
        <v>2.6601171629627474</v>
      </c>
      <c r="AB18">
        <v>8.375977595668866</v>
      </c>
    </row>
    <row r="19" spans="2:28">
      <c r="B19" s="54">
        <v>40740</v>
      </c>
      <c r="C19" s="55">
        <v>17</v>
      </c>
      <c r="D19" s="55">
        <v>0</v>
      </c>
      <c r="E19" s="55">
        <v>0</v>
      </c>
      <c r="F19" s="55">
        <v>2</v>
      </c>
      <c r="G19" s="55">
        <v>1</v>
      </c>
      <c r="H19" s="55">
        <v>6</v>
      </c>
      <c r="I19" s="63">
        <v>0</v>
      </c>
      <c r="J19" s="55">
        <v>0</v>
      </c>
      <c r="K19" s="55">
        <v>0</v>
      </c>
      <c r="L19" s="55">
        <v>0</v>
      </c>
      <c r="M19" s="55">
        <v>0</v>
      </c>
      <c r="N19" s="55">
        <v>0</v>
      </c>
      <c r="O19" s="55">
        <v>1</v>
      </c>
      <c r="P19" s="55">
        <v>0</v>
      </c>
      <c r="Q19" s="56">
        <v>23</v>
      </c>
      <c r="T19" t="s">
        <v>2</v>
      </c>
      <c r="U19">
        <v>0</v>
      </c>
      <c r="V19">
        <v>0</v>
      </c>
      <c r="W19">
        <v>65535</v>
      </c>
      <c r="X19" t="e">
        <v>#NUM!</v>
      </c>
      <c r="Y19">
        <v>0</v>
      </c>
      <c r="Z19">
        <v>0</v>
      </c>
      <c r="AA19">
        <v>0</v>
      </c>
      <c r="AB19">
        <v>0</v>
      </c>
    </row>
    <row r="20" spans="2:28">
      <c r="B20" s="54">
        <v>40741</v>
      </c>
      <c r="C20" s="55">
        <v>23</v>
      </c>
      <c r="D20" s="55">
        <v>0</v>
      </c>
      <c r="E20" s="55">
        <v>0</v>
      </c>
      <c r="F20" s="55">
        <v>2</v>
      </c>
      <c r="G20" s="55">
        <v>1</v>
      </c>
      <c r="H20" s="55">
        <v>6</v>
      </c>
      <c r="I20" s="63">
        <v>0</v>
      </c>
      <c r="J20" s="55">
        <v>0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6">
        <v>25</v>
      </c>
      <c r="T20" t="s">
        <v>3</v>
      </c>
      <c r="U20">
        <v>-2.1294975117565249</v>
      </c>
      <c r="V20">
        <v>3.9195955578528658</v>
      </c>
      <c r="W20">
        <v>-0.54329521511220724</v>
      </c>
      <c r="X20" t="e">
        <v>#NUM!</v>
      </c>
      <c r="Y20">
        <v>-9.8382689058709243</v>
      </c>
      <c r="Z20">
        <v>5.5792738823578745</v>
      </c>
      <c r="AA20">
        <v>-9.8382689058709243</v>
      </c>
      <c r="AB20">
        <v>5.5792738823578745</v>
      </c>
    </row>
    <row r="21" spans="2:28">
      <c r="B21" s="54">
        <v>40742</v>
      </c>
      <c r="C21" s="55">
        <v>19</v>
      </c>
      <c r="D21" s="55">
        <v>0</v>
      </c>
      <c r="E21" s="55">
        <v>0</v>
      </c>
      <c r="F21" s="55">
        <v>1</v>
      </c>
      <c r="G21" s="55">
        <v>0</v>
      </c>
      <c r="H21" s="55">
        <v>2</v>
      </c>
      <c r="I21" s="63">
        <v>1</v>
      </c>
      <c r="J21" s="55">
        <v>1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0</v>
      </c>
      <c r="Q21" s="56">
        <v>18</v>
      </c>
      <c r="T21" t="s">
        <v>4</v>
      </c>
      <c r="U21">
        <v>5.1682518228472345</v>
      </c>
      <c r="V21">
        <v>1.0802518507967136</v>
      </c>
      <c r="W21">
        <v>4.7843026781537246</v>
      </c>
      <c r="X21">
        <v>2.5284173994862705E-6</v>
      </c>
      <c r="Y21">
        <v>3.0436921730188331</v>
      </c>
      <c r="Z21">
        <v>7.2928114726756359</v>
      </c>
      <c r="AA21">
        <v>3.0436921730188331</v>
      </c>
      <c r="AB21">
        <v>7.2928114726756359</v>
      </c>
    </row>
    <row r="22" spans="2:28">
      <c r="B22" s="54">
        <v>40743</v>
      </c>
      <c r="C22" s="55">
        <v>13</v>
      </c>
      <c r="D22" s="55">
        <v>0</v>
      </c>
      <c r="E22" s="55">
        <v>0</v>
      </c>
      <c r="F22" s="55">
        <v>0</v>
      </c>
      <c r="G22" s="55">
        <v>0</v>
      </c>
      <c r="H22" s="55">
        <v>1</v>
      </c>
      <c r="I22" s="63">
        <v>0</v>
      </c>
      <c r="J22" s="55">
        <v>0</v>
      </c>
      <c r="K22" s="55">
        <v>1</v>
      </c>
      <c r="L22" s="55">
        <v>0</v>
      </c>
      <c r="M22" s="55">
        <v>0</v>
      </c>
      <c r="N22" s="55">
        <v>0</v>
      </c>
      <c r="O22" s="55">
        <v>0</v>
      </c>
      <c r="P22" s="55">
        <v>0</v>
      </c>
      <c r="Q22" s="56">
        <v>21</v>
      </c>
      <c r="T22" t="s">
        <v>5</v>
      </c>
      <c r="U22">
        <v>3.6010632639698108</v>
      </c>
      <c r="V22">
        <v>1.2891626430965404</v>
      </c>
      <c r="W22">
        <v>2.7933351026369611</v>
      </c>
      <c r="X22">
        <v>5.502041636247023E-3</v>
      </c>
      <c r="Y22">
        <v>1.065633279222244</v>
      </c>
      <c r="Z22">
        <v>6.1364932487173771</v>
      </c>
      <c r="AA22">
        <v>1.065633279222244</v>
      </c>
      <c r="AB22">
        <v>6.1364932487173771</v>
      </c>
    </row>
    <row r="23" spans="2:28">
      <c r="B23" s="54">
        <v>40744</v>
      </c>
      <c r="C23" s="55">
        <v>15</v>
      </c>
      <c r="D23" s="55">
        <v>0</v>
      </c>
      <c r="E23" s="55">
        <v>0</v>
      </c>
      <c r="F23" s="55">
        <v>0</v>
      </c>
      <c r="G23" s="55">
        <v>0</v>
      </c>
      <c r="H23" s="55">
        <v>1</v>
      </c>
      <c r="I23" s="63">
        <v>0</v>
      </c>
      <c r="J23" s="55">
        <v>0</v>
      </c>
      <c r="K23" s="55">
        <v>0</v>
      </c>
      <c r="L23" s="55">
        <v>1</v>
      </c>
      <c r="M23" s="55">
        <v>0</v>
      </c>
      <c r="N23" s="55">
        <v>0</v>
      </c>
      <c r="O23" s="55">
        <v>0</v>
      </c>
      <c r="P23" s="55">
        <v>0</v>
      </c>
      <c r="Q23" s="56">
        <v>9</v>
      </c>
      <c r="T23" t="s">
        <v>6</v>
      </c>
      <c r="U23">
        <v>-0.69650394877445587</v>
      </c>
      <c r="V23">
        <v>0.29234913234426074</v>
      </c>
      <c r="W23">
        <v>-2.3824389119591287</v>
      </c>
      <c r="X23">
        <v>1.7728745049516791E-2</v>
      </c>
      <c r="Y23">
        <v>-1.2714746556358905</v>
      </c>
      <c r="Z23">
        <v>-0.12153324191302117</v>
      </c>
      <c r="AA23">
        <v>-1.2714746556358905</v>
      </c>
      <c r="AB23">
        <v>-0.12153324191302117</v>
      </c>
    </row>
    <row r="24" spans="2:28">
      <c r="B24" s="54">
        <v>40745</v>
      </c>
      <c r="C24" s="55">
        <v>14</v>
      </c>
      <c r="D24" s="55">
        <v>0</v>
      </c>
      <c r="E24" s="55">
        <v>0</v>
      </c>
      <c r="F24" s="55">
        <v>0</v>
      </c>
      <c r="G24" s="55">
        <v>0</v>
      </c>
      <c r="H24" s="55">
        <v>1</v>
      </c>
      <c r="I24" s="63">
        <v>0</v>
      </c>
      <c r="J24" s="55">
        <v>0</v>
      </c>
      <c r="K24" s="55">
        <v>0</v>
      </c>
      <c r="L24" s="55">
        <v>0</v>
      </c>
      <c r="M24" s="55">
        <v>1</v>
      </c>
      <c r="N24" s="55">
        <v>0</v>
      </c>
      <c r="O24" s="55">
        <v>0</v>
      </c>
      <c r="P24" s="55">
        <v>0</v>
      </c>
      <c r="Q24" s="56">
        <v>8</v>
      </c>
      <c r="T24" t="s">
        <v>57</v>
      </c>
      <c r="U24">
        <v>-0.89965305350327907</v>
      </c>
      <c r="V24">
        <v>1.9200610831235065</v>
      </c>
      <c r="W24">
        <v>-0.46855439205077076</v>
      </c>
      <c r="X24">
        <v>0.63967820859853197</v>
      </c>
      <c r="Y24">
        <v>-4.6758875486364655</v>
      </c>
      <c r="Z24">
        <v>2.8765814416299076</v>
      </c>
      <c r="AA24">
        <v>-4.6758875486364655</v>
      </c>
      <c r="AB24">
        <v>2.8765814416299076</v>
      </c>
    </row>
    <row r="25" spans="2:28">
      <c r="B25" s="54">
        <v>40746</v>
      </c>
      <c r="C25" s="55">
        <v>18</v>
      </c>
      <c r="D25" s="55">
        <v>0</v>
      </c>
      <c r="E25" s="55">
        <v>0</v>
      </c>
      <c r="F25" s="55">
        <v>1</v>
      </c>
      <c r="G25" s="55">
        <v>0</v>
      </c>
      <c r="H25" s="55">
        <v>2</v>
      </c>
      <c r="I25" s="63">
        <v>0</v>
      </c>
      <c r="J25" s="55">
        <v>0</v>
      </c>
      <c r="K25" s="55">
        <v>0</v>
      </c>
      <c r="L25" s="55">
        <v>0</v>
      </c>
      <c r="M25" s="55">
        <v>0</v>
      </c>
      <c r="N25" s="55">
        <v>1</v>
      </c>
      <c r="O25" s="55">
        <v>0</v>
      </c>
      <c r="P25" s="55">
        <v>0</v>
      </c>
      <c r="Q25" s="56">
        <v>12</v>
      </c>
      <c r="T25" t="s">
        <v>56</v>
      </c>
      <c r="U25">
        <v>4.81178388141978</v>
      </c>
      <c r="V25">
        <v>1.4662352660285736</v>
      </c>
      <c r="W25">
        <v>3.2817270140097756</v>
      </c>
      <c r="X25">
        <v>1.1350170998094698E-3</v>
      </c>
      <c r="Y25">
        <v>1.9281005245597576</v>
      </c>
      <c r="Z25">
        <v>7.6954672382798019</v>
      </c>
      <c r="AA25">
        <v>1.9281005245597576</v>
      </c>
      <c r="AB25">
        <v>7.6954672382798019</v>
      </c>
    </row>
    <row r="26" spans="2:28">
      <c r="B26" s="54">
        <v>40747</v>
      </c>
      <c r="C26" s="55">
        <v>22</v>
      </c>
      <c r="D26" s="55">
        <v>0</v>
      </c>
      <c r="E26" s="55">
        <v>0</v>
      </c>
      <c r="F26" s="55">
        <v>1</v>
      </c>
      <c r="G26" s="55">
        <v>1</v>
      </c>
      <c r="H26" s="55">
        <v>4</v>
      </c>
      <c r="I26" s="63">
        <v>0</v>
      </c>
      <c r="J26" s="55">
        <v>0</v>
      </c>
      <c r="K26" s="55">
        <v>0</v>
      </c>
      <c r="L26" s="55">
        <v>0</v>
      </c>
      <c r="M26" s="55">
        <v>0</v>
      </c>
      <c r="N26" s="55">
        <v>0</v>
      </c>
      <c r="O26" s="55">
        <v>1</v>
      </c>
      <c r="P26" s="55">
        <v>0</v>
      </c>
      <c r="Q26" s="56">
        <v>23</v>
      </c>
      <c r="T26" t="s">
        <v>55</v>
      </c>
      <c r="U26">
        <v>4.8052107715944832</v>
      </c>
      <c r="V26">
        <v>1.4783039355232661</v>
      </c>
      <c r="W26">
        <v>3.2504890612319262</v>
      </c>
      <c r="X26">
        <v>1.2632471843223153E-3</v>
      </c>
      <c r="Y26">
        <v>1.8977916458796074</v>
      </c>
      <c r="Z26">
        <v>7.712629897309359</v>
      </c>
      <c r="AA26">
        <v>1.8977916458796074</v>
      </c>
      <c r="AB26">
        <v>7.712629897309359</v>
      </c>
    </row>
    <row r="27" spans="2:28">
      <c r="B27" s="54">
        <v>40748</v>
      </c>
      <c r="C27" s="55">
        <v>23</v>
      </c>
      <c r="D27" s="55">
        <v>0</v>
      </c>
      <c r="E27" s="55">
        <v>0</v>
      </c>
      <c r="F27" s="55">
        <v>1</v>
      </c>
      <c r="G27" s="55">
        <v>1</v>
      </c>
      <c r="H27" s="55">
        <v>4</v>
      </c>
      <c r="I27" s="63">
        <v>0</v>
      </c>
      <c r="J27" s="55">
        <v>0</v>
      </c>
      <c r="K27" s="55">
        <v>0</v>
      </c>
      <c r="L27" s="55">
        <v>0</v>
      </c>
      <c r="M27" s="55">
        <v>0</v>
      </c>
      <c r="N27" s="55">
        <v>0</v>
      </c>
      <c r="O27" s="55">
        <v>0</v>
      </c>
      <c r="P27" s="55">
        <v>0</v>
      </c>
      <c r="Q27" s="56">
        <v>18</v>
      </c>
      <c r="T27" t="s">
        <v>54</v>
      </c>
      <c r="U27">
        <v>4.3768878575403782</v>
      </c>
      <c r="V27">
        <v>1.4747170909250111</v>
      </c>
      <c r="W27">
        <v>2.967950859506884</v>
      </c>
      <c r="X27">
        <v>3.2031284607459808E-3</v>
      </c>
      <c r="Y27">
        <v>1.4765230731793606</v>
      </c>
      <c r="Z27">
        <v>7.2772526419013959</v>
      </c>
      <c r="AA27">
        <v>1.4765230731793606</v>
      </c>
      <c r="AB27">
        <v>7.2772526419013959</v>
      </c>
    </row>
    <row r="28" spans="2:28">
      <c r="B28" s="54">
        <v>40749</v>
      </c>
      <c r="C28" s="55">
        <v>14</v>
      </c>
      <c r="D28" s="55">
        <v>0</v>
      </c>
      <c r="E28" s="55">
        <v>0</v>
      </c>
      <c r="F28" s="55">
        <v>1</v>
      </c>
      <c r="G28" s="55">
        <v>0</v>
      </c>
      <c r="H28" s="55">
        <v>2</v>
      </c>
      <c r="I28" s="63">
        <v>0</v>
      </c>
      <c r="J28" s="55">
        <v>1</v>
      </c>
      <c r="K28" s="55">
        <v>0</v>
      </c>
      <c r="L28" s="55">
        <v>0</v>
      </c>
      <c r="M28" s="55">
        <v>0</v>
      </c>
      <c r="N28" s="55">
        <v>0</v>
      </c>
      <c r="O28" s="55">
        <v>0</v>
      </c>
      <c r="P28" s="55">
        <v>0</v>
      </c>
      <c r="Q28" s="56">
        <v>18</v>
      </c>
      <c r="T28" t="s">
        <v>53</v>
      </c>
      <c r="U28">
        <v>3.0272407094774985</v>
      </c>
      <c r="V28">
        <v>1.4434571209367852</v>
      </c>
      <c r="W28">
        <v>2.09721554285787</v>
      </c>
      <c r="X28">
        <v>3.66874364830512E-2</v>
      </c>
      <c r="Y28">
        <v>0.18835572803729983</v>
      </c>
      <c r="Z28">
        <v>5.8661256909176966</v>
      </c>
      <c r="AA28">
        <v>0.18835572803729983</v>
      </c>
      <c r="AB28">
        <v>5.8661256909176966</v>
      </c>
    </row>
    <row r="29" spans="2:28">
      <c r="B29" s="54">
        <v>40750</v>
      </c>
      <c r="C29" s="55">
        <v>11</v>
      </c>
      <c r="D29" s="55">
        <v>0</v>
      </c>
      <c r="E29" s="55">
        <v>0</v>
      </c>
      <c r="F29" s="55">
        <v>1</v>
      </c>
      <c r="G29" s="55">
        <v>0</v>
      </c>
      <c r="H29" s="55">
        <v>2</v>
      </c>
      <c r="I29" s="63">
        <v>0</v>
      </c>
      <c r="J29" s="55">
        <v>0</v>
      </c>
      <c r="K29" s="55">
        <v>1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6">
        <v>14</v>
      </c>
      <c r="T29" t="s">
        <v>52</v>
      </c>
      <c r="U29">
        <v>4.4698245285973615</v>
      </c>
      <c r="V29">
        <v>1.4434581499051178</v>
      </c>
      <c r="W29">
        <v>3.0966083283337134</v>
      </c>
      <c r="X29">
        <v>2.1146015240589388E-3</v>
      </c>
      <c r="Y29">
        <v>1.6309375234581531</v>
      </c>
      <c r="Z29">
        <v>7.3087115337365702</v>
      </c>
      <c r="AA29">
        <v>1.6309375234581531</v>
      </c>
      <c r="AB29">
        <v>7.3087115337365702</v>
      </c>
    </row>
    <row r="30" spans="2:28">
      <c r="B30" s="54">
        <v>40751</v>
      </c>
      <c r="C30" s="55">
        <v>14</v>
      </c>
      <c r="D30" s="55">
        <v>0</v>
      </c>
      <c r="E30" s="55">
        <v>0</v>
      </c>
      <c r="F30" s="55">
        <v>1</v>
      </c>
      <c r="G30" s="55">
        <v>0</v>
      </c>
      <c r="H30" s="55">
        <v>2</v>
      </c>
      <c r="I30" s="63">
        <v>0</v>
      </c>
      <c r="J30" s="55">
        <v>0</v>
      </c>
      <c r="K30" s="55">
        <v>0</v>
      </c>
      <c r="L30" s="55">
        <v>1</v>
      </c>
      <c r="M30" s="55">
        <v>0</v>
      </c>
      <c r="N30" s="55">
        <v>0</v>
      </c>
      <c r="O30" s="55">
        <v>0</v>
      </c>
      <c r="P30" s="55">
        <v>0</v>
      </c>
      <c r="Q30" s="56">
        <v>18</v>
      </c>
      <c r="T30" t="s">
        <v>51</v>
      </c>
      <c r="U30">
        <v>2.7339765827960827</v>
      </c>
      <c r="V30">
        <v>1.3738254774577443</v>
      </c>
      <c r="W30">
        <v>1.9900464998329261</v>
      </c>
      <c r="X30">
        <v>4.7359015784243896E-2</v>
      </c>
      <c r="Y30">
        <v>3.2037981015127226E-2</v>
      </c>
      <c r="Z30">
        <v>5.4359151845770377</v>
      </c>
      <c r="AA30">
        <v>3.2037981015127226E-2</v>
      </c>
      <c r="AB30">
        <v>5.4359151845770377</v>
      </c>
    </row>
    <row r="31" spans="2:28">
      <c r="B31" s="54">
        <v>40752</v>
      </c>
      <c r="C31" s="55">
        <v>17</v>
      </c>
      <c r="D31" s="55">
        <v>0</v>
      </c>
      <c r="E31" s="55">
        <v>0</v>
      </c>
      <c r="F31" s="55">
        <v>1</v>
      </c>
      <c r="G31" s="55">
        <v>0</v>
      </c>
      <c r="H31" s="55">
        <v>2</v>
      </c>
      <c r="I31" s="63">
        <v>0</v>
      </c>
      <c r="J31" s="55">
        <v>0</v>
      </c>
      <c r="K31" s="55">
        <v>0</v>
      </c>
      <c r="L31" s="55">
        <v>0</v>
      </c>
      <c r="M31" s="55">
        <v>1</v>
      </c>
      <c r="N31" s="55">
        <v>0</v>
      </c>
      <c r="O31" s="55">
        <v>0</v>
      </c>
      <c r="P31" s="55">
        <v>0</v>
      </c>
      <c r="Q31" s="56">
        <v>19</v>
      </c>
      <c r="T31" t="s">
        <v>49</v>
      </c>
      <c r="U31">
        <v>8.1635806720348132</v>
      </c>
      <c r="V31">
        <v>1.1923268859796903</v>
      </c>
      <c r="W31">
        <v>6.8467638933823967</v>
      </c>
      <c r="X31">
        <v>3.3739980119537492E-11</v>
      </c>
      <c r="Y31">
        <v>5.8186001107983563</v>
      </c>
      <c r="Z31">
        <v>10.508561233271269</v>
      </c>
      <c r="AA31">
        <v>5.8186001107983563</v>
      </c>
      <c r="AB31">
        <v>10.508561233271269</v>
      </c>
    </row>
    <row r="32" spans="2:28" ht="21" thickBot="1">
      <c r="B32" s="54">
        <v>40753</v>
      </c>
      <c r="C32" s="55">
        <v>24</v>
      </c>
      <c r="D32" s="55">
        <v>0</v>
      </c>
      <c r="E32" s="55">
        <v>0</v>
      </c>
      <c r="F32" s="55">
        <v>1</v>
      </c>
      <c r="G32" s="55">
        <v>1</v>
      </c>
      <c r="H32" s="55">
        <v>4</v>
      </c>
      <c r="I32" s="63">
        <v>0</v>
      </c>
      <c r="J32" s="55">
        <v>0</v>
      </c>
      <c r="K32" s="55">
        <v>0</v>
      </c>
      <c r="L32" s="55">
        <v>0</v>
      </c>
      <c r="M32" s="55">
        <v>0</v>
      </c>
      <c r="N32" s="55">
        <v>1</v>
      </c>
      <c r="O32" s="55">
        <v>0</v>
      </c>
      <c r="P32" s="55">
        <v>0</v>
      </c>
      <c r="Q32" s="56">
        <v>15</v>
      </c>
      <c r="T32" s="58" t="s">
        <v>50</v>
      </c>
      <c r="U32" s="58">
        <v>0.57325560257629127</v>
      </c>
      <c r="V32" s="58">
        <v>6.4923578474351415E-2</v>
      </c>
      <c r="W32" s="58">
        <v>8.8296981781859198</v>
      </c>
      <c r="X32" s="58">
        <v>5.0268188784300191E-17</v>
      </c>
      <c r="Y32" s="58">
        <v>0.44556869785370745</v>
      </c>
      <c r="Z32" s="58">
        <v>0.70094250729887508</v>
      </c>
      <c r="AA32" s="58">
        <v>0.44556869785370745</v>
      </c>
      <c r="AB32" s="58">
        <v>0.70094250729887508</v>
      </c>
    </row>
    <row r="33" spans="2:17">
      <c r="B33" s="54">
        <v>40754</v>
      </c>
      <c r="C33" s="55">
        <v>23</v>
      </c>
      <c r="D33" s="55">
        <v>0</v>
      </c>
      <c r="E33" s="55">
        <v>0</v>
      </c>
      <c r="F33" s="55">
        <v>2</v>
      </c>
      <c r="G33" s="55">
        <v>2</v>
      </c>
      <c r="H33" s="55">
        <v>9</v>
      </c>
      <c r="I33" s="63">
        <v>0</v>
      </c>
      <c r="J33" s="55">
        <v>0</v>
      </c>
      <c r="K33" s="55">
        <v>0</v>
      </c>
      <c r="L33" s="55">
        <v>0</v>
      </c>
      <c r="M33" s="55">
        <v>0</v>
      </c>
      <c r="N33" s="55">
        <v>0</v>
      </c>
      <c r="O33" s="55">
        <v>1</v>
      </c>
      <c r="P33" s="55">
        <v>0</v>
      </c>
      <c r="Q33" s="56">
        <v>18</v>
      </c>
    </row>
    <row r="34" spans="2:17">
      <c r="B34" s="54">
        <v>40755</v>
      </c>
      <c r="C34" s="55">
        <v>31</v>
      </c>
      <c r="D34" s="55">
        <v>0</v>
      </c>
      <c r="E34" s="55">
        <v>0</v>
      </c>
      <c r="F34" s="55">
        <v>2</v>
      </c>
      <c r="G34" s="55">
        <v>1</v>
      </c>
      <c r="H34" s="55">
        <v>6</v>
      </c>
      <c r="I34" s="63">
        <v>0</v>
      </c>
      <c r="J34" s="55">
        <v>0</v>
      </c>
      <c r="K34" s="55">
        <v>0</v>
      </c>
      <c r="L34" s="55">
        <v>0</v>
      </c>
      <c r="M34" s="55">
        <v>0</v>
      </c>
      <c r="N34" s="55">
        <v>0</v>
      </c>
      <c r="O34" s="55">
        <v>0</v>
      </c>
      <c r="P34" s="55">
        <v>0</v>
      </c>
      <c r="Q34" s="56">
        <v>20</v>
      </c>
    </row>
    <row r="35" spans="2:17">
      <c r="B35" s="54">
        <v>40756</v>
      </c>
      <c r="C35" s="55">
        <v>19</v>
      </c>
      <c r="D35" s="55">
        <v>0</v>
      </c>
      <c r="E35" s="55">
        <v>0</v>
      </c>
      <c r="F35" s="55">
        <v>1</v>
      </c>
      <c r="G35" s="55">
        <v>0</v>
      </c>
      <c r="H35" s="55">
        <v>2</v>
      </c>
      <c r="I35" s="63">
        <v>0</v>
      </c>
      <c r="J35" s="55">
        <v>1</v>
      </c>
      <c r="K35" s="55">
        <v>0</v>
      </c>
      <c r="L35" s="55">
        <v>0</v>
      </c>
      <c r="M35" s="55">
        <v>0</v>
      </c>
      <c r="N35" s="55">
        <v>0</v>
      </c>
      <c r="O35" s="55">
        <v>0</v>
      </c>
      <c r="P35" s="55">
        <v>0</v>
      </c>
      <c r="Q35" s="56">
        <v>17</v>
      </c>
    </row>
    <row r="36" spans="2:17">
      <c r="B36" s="54">
        <v>40757</v>
      </c>
      <c r="C36" s="55">
        <v>10</v>
      </c>
      <c r="D36" s="55">
        <v>0</v>
      </c>
      <c r="E36" s="55">
        <v>0</v>
      </c>
      <c r="F36" s="55">
        <v>0</v>
      </c>
      <c r="G36" s="55">
        <v>0</v>
      </c>
      <c r="H36" s="55">
        <v>1</v>
      </c>
      <c r="I36" s="63">
        <v>0</v>
      </c>
      <c r="J36" s="55">
        <v>0</v>
      </c>
      <c r="K36" s="55">
        <v>1</v>
      </c>
      <c r="L36" s="55">
        <v>0</v>
      </c>
      <c r="M36" s="55">
        <v>0</v>
      </c>
      <c r="N36" s="55">
        <v>0</v>
      </c>
      <c r="O36" s="55">
        <v>0</v>
      </c>
      <c r="P36" s="55">
        <v>0</v>
      </c>
      <c r="Q36" s="56">
        <v>15</v>
      </c>
    </row>
    <row r="37" spans="2:17">
      <c r="B37" s="54">
        <v>40758</v>
      </c>
      <c r="C37" s="55">
        <v>11</v>
      </c>
      <c r="D37" s="55">
        <v>0</v>
      </c>
      <c r="E37" s="55">
        <v>0</v>
      </c>
      <c r="F37" s="55">
        <v>0</v>
      </c>
      <c r="G37" s="55">
        <v>0</v>
      </c>
      <c r="H37" s="55">
        <v>1</v>
      </c>
      <c r="I37" s="63">
        <v>0</v>
      </c>
      <c r="J37" s="55">
        <v>0</v>
      </c>
      <c r="K37" s="55">
        <v>0</v>
      </c>
      <c r="L37" s="55">
        <v>1</v>
      </c>
      <c r="M37" s="55">
        <v>0</v>
      </c>
      <c r="N37" s="55">
        <v>0</v>
      </c>
      <c r="O37" s="55">
        <v>0</v>
      </c>
      <c r="P37" s="55">
        <v>0</v>
      </c>
      <c r="Q37" s="56">
        <v>14</v>
      </c>
    </row>
    <row r="38" spans="2:17">
      <c r="B38" s="54">
        <v>40759</v>
      </c>
      <c r="C38" s="55">
        <v>12</v>
      </c>
      <c r="D38" s="55">
        <v>0</v>
      </c>
      <c r="E38" s="55">
        <v>0</v>
      </c>
      <c r="F38" s="55">
        <v>0</v>
      </c>
      <c r="G38" s="55">
        <v>0</v>
      </c>
      <c r="H38" s="55">
        <v>1</v>
      </c>
      <c r="I38" s="63">
        <v>0</v>
      </c>
      <c r="J38" s="55">
        <v>0</v>
      </c>
      <c r="K38" s="55">
        <v>0</v>
      </c>
      <c r="L38" s="55">
        <v>0</v>
      </c>
      <c r="M38" s="55">
        <v>1</v>
      </c>
      <c r="N38" s="55">
        <v>0</v>
      </c>
      <c r="O38" s="55">
        <v>0</v>
      </c>
      <c r="P38" s="55">
        <v>0</v>
      </c>
      <c r="Q38" s="56">
        <v>15</v>
      </c>
    </row>
    <row r="39" spans="2:17">
      <c r="B39" s="54">
        <v>40760</v>
      </c>
      <c r="C39" s="55">
        <v>15</v>
      </c>
      <c r="D39" s="55">
        <v>0</v>
      </c>
      <c r="E39" s="55">
        <v>0</v>
      </c>
      <c r="F39" s="55">
        <v>0</v>
      </c>
      <c r="G39" s="55">
        <v>0</v>
      </c>
      <c r="H39" s="55">
        <v>1</v>
      </c>
      <c r="I39" s="63">
        <v>0</v>
      </c>
      <c r="J39" s="55">
        <v>0</v>
      </c>
      <c r="K39" s="55">
        <v>0</v>
      </c>
      <c r="L39" s="55">
        <v>0</v>
      </c>
      <c r="M39" s="55">
        <v>0</v>
      </c>
      <c r="N39" s="55">
        <v>1</v>
      </c>
      <c r="O39" s="55">
        <v>0</v>
      </c>
      <c r="P39" s="55">
        <v>0</v>
      </c>
      <c r="Q39" s="56">
        <v>17</v>
      </c>
    </row>
    <row r="40" spans="2:17">
      <c r="B40" s="54">
        <v>40761</v>
      </c>
      <c r="C40" s="55">
        <v>22</v>
      </c>
      <c r="D40" s="55">
        <v>0</v>
      </c>
      <c r="E40" s="55">
        <v>0</v>
      </c>
      <c r="F40" s="55">
        <v>1</v>
      </c>
      <c r="G40" s="55">
        <v>1</v>
      </c>
      <c r="H40" s="55">
        <v>4</v>
      </c>
      <c r="I40" s="63">
        <v>0</v>
      </c>
      <c r="J40" s="55">
        <v>0</v>
      </c>
      <c r="K40" s="55">
        <v>0</v>
      </c>
      <c r="L40" s="55">
        <v>0</v>
      </c>
      <c r="M40" s="55">
        <v>0</v>
      </c>
      <c r="N40" s="55">
        <v>0</v>
      </c>
      <c r="O40" s="55">
        <v>1</v>
      </c>
      <c r="P40" s="55">
        <v>0</v>
      </c>
      <c r="Q40" s="56">
        <v>18</v>
      </c>
    </row>
    <row r="41" spans="2:17">
      <c r="B41" s="54">
        <v>40762</v>
      </c>
      <c r="C41" s="55">
        <v>12</v>
      </c>
      <c r="D41" s="55">
        <v>0</v>
      </c>
      <c r="E41" s="55">
        <v>0</v>
      </c>
      <c r="F41" s="55">
        <v>1</v>
      </c>
      <c r="G41" s="55">
        <v>0</v>
      </c>
      <c r="H41" s="55">
        <v>2</v>
      </c>
      <c r="I41" s="63">
        <v>0</v>
      </c>
      <c r="J41" s="55">
        <v>0</v>
      </c>
      <c r="K41" s="55">
        <v>0</v>
      </c>
      <c r="L41" s="55">
        <v>0</v>
      </c>
      <c r="M41" s="55">
        <v>0</v>
      </c>
      <c r="N41" s="55">
        <v>0</v>
      </c>
      <c r="O41" s="55">
        <v>0</v>
      </c>
      <c r="P41" s="55">
        <v>0</v>
      </c>
      <c r="Q41" s="56">
        <v>20</v>
      </c>
    </row>
    <row r="42" spans="2:17">
      <c r="B42" s="54">
        <v>40763</v>
      </c>
      <c r="C42" s="55">
        <v>15</v>
      </c>
      <c r="D42" s="55">
        <v>0</v>
      </c>
      <c r="E42" s="55">
        <v>0</v>
      </c>
      <c r="F42" s="55">
        <v>0</v>
      </c>
      <c r="G42" s="55">
        <v>0</v>
      </c>
      <c r="H42" s="55">
        <v>1</v>
      </c>
      <c r="I42" s="63">
        <v>0</v>
      </c>
      <c r="J42" s="55">
        <v>1</v>
      </c>
      <c r="K42" s="55">
        <v>0</v>
      </c>
      <c r="L42" s="55">
        <v>0</v>
      </c>
      <c r="M42" s="55">
        <v>0</v>
      </c>
      <c r="N42" s="55">
        <v>0</v>
      </c>
      <c r="O42" s="55">
        <v>0</v>
      </c>
      <c r="P42" s="55">
        <v>0</v>
      </c>
      <c r="Q42" s="56">
        <v>11</v>
      </c>
    </row>
    <row r="43" spans="2:17">
      <c r="B43" s="54">
        <v>40764</v>
      </c>
      <c r="C43" s="55">
        <v>13</v>
      </c>
      <c r="D43" s="55">
        <v>0</v>
      </c>
      <c r="E43" s="55">
        <v>0</v>
      </c>
      <c r="F43" s="55">
        <v>0</v>
      </c>
      <c r="G43" s="55">
        <v>0</v>
      </c>
      <c r="H43" s="55">
        <v>1</v>
      </c>
      <c r="I43" s="63">
        <v>0</v>
      </c>
      <c r="J43" s="55">
        <v>0</v>
      </c>
      <c r="K43" s="55">
        <v>1</v>
      </c>
      <c r="L43" s="55">
        <v>0</v>
      </c>
      <c r="M43" s="55">
        <v>0</v>
      </c>
      <c r="N43" s="55">
        <v>0</v>
      </c>
      <c r="O43" s="55">
        <v>0</v>
      </c>
      <c r="P43" s="55">
        <v>0</v>
      </c>
      <c r="Q43" s="56">
        <v>13</v>
      </c>
    </row>
    <row r="44" spans="2:17">
      <c r="B44" s="54">
        <v>40765</v>
      </c>
      <c r="C44" s="55">
        <v>15</v>
      </c>
      <c r="D44" s="55">
        <v>0</v>
      </c>
      <c r="E44" s="55">
        <v>0</v>
      </c>
      <c r="F44" s="55">
        <v>0</v>
      </c>
      <c r="G44" s="55">
        <v>0</v>
      </c>
      <c r="H44" s="55">
        <v>1</v>
      </c>
      <c r="I44" s="63">
        <v>0</v>
      </c>
      <c r="J44" s="55">
        <v>0</v>
      </c>
      <c r="K44" s="55">
        <v>0</v>
      </c>
      <c r="L44" s="55">
        <v>1</v>
      </c>
      <c r="M44" s="55">
        <v>0</v>
      </c>
      <c r="N44" s="55">
        <v>0</v>
      </c>
      <c r="O44" s="55">
        <v>0</v>
      </c>
      <c r="P44" s="55">
        <v>0</v>
      </c>
      <c r="Q44" s="56">
        <v>15</v>
      </c>
    </row>
    <row r="45" spans="2:17">
      <c r="B45" s="54">
        <v>40766</v>
      </c>
      <c r="C45" s="55">
        <v>11</v>
      </c>
      <c r="D45" s="55">
        <v>0</v>
      </c>
      <c r="E45" s="55">
        <v>0</v>
      </c>
      <c r="F45" s="55">
        <v>0</v>
      </c>
      <c r="G45" s="55">
        <v>0</v>
      </c>
      <c r="H45" s="55">
        <v>1</v>
      </c>
      <c r="I45" s="63">
        <v>0</v>
      </c>
      <c r="J45" s="55">
        <v>0</v>
      </c>
      <c r="K45" s="55">
        <v>0</v>
      </c>
      <c r="L45" s="55">
        <v>0</v>
      </c>
      <c r="M45" s="55">
        <v>1</v>
      </c>
      <c r="N45" s="55">
        <v>0</v>
      </c>
      <c r="O45" s="55">
        <v>0</v>
      </c>
      <c r="P45" s="55">
        <v>0</v>
      </c>
      <c r="Q45" s="56">
        <v>15</v>
      </c>
    </row>
    <row r="46" spans="2:17">
      <c r="B46" s="54">
        <v>40767</v>
      </c>
      <c r="C46" s="55">
        <v>16</v>
      </c>
      <c r="D46" s="55">
        <v>0</v>
      </c>
      <c r="E46" s="55">
        <v>0</v>
      </c>
      <c r="F46" s="55">
        <v>0</v>
      </c>
      <c r="G46" s="55">
        <v>0</v>
      </c>
      <c r="H46" s="55">
        <v>1</v>
      </c>
      <c r="I46" s="63">
        <v>0</v>
      </c>
      <c r="J46" s="55">
        <v>0</v>
      </c>
      <c r="K46" s="55">
        <v>0</v>
      </c>
      <c r="L46" s="55">
        <v>0</v>
      </c>
      <c r="M46" s="55">
        <v>0</v>
      </c>
      <c r="N46" s="55">
        <v>1</v>
      </c>
      <c r="O46" s="55">
        <v>0</v>
      </c>
      <c r="P46" s="55">
        <v>0</v>
      </c>
      <c r="Q46" s="56">
        <v>15</v>
      </c>
    </row>
    <row r="47" spans="2:17">
      <c r="B47" s="54">
        <v>40768</v>
      </c>
      <c r="C47" s="55">
        <v>13</v>
      </c>
      <c r="D47" s="55">
        <v>0</v>
      </c>
      <c r="E47" s="55">
        <v>0</v>
      </c>
      <c r="F47" s="55">
        <v>0</v>
      </c>
      <c r="G47" s="55">
        <v>0</v>
      </c>
      <c r="H47" s="55">
        <v>1</v>
      </c>
      <c r="I47" s="63">
        <v>0</v>
      </c>
      <c r="J47" s="55">
        <v>0</v>
      </c>
      <c r="K47" s="55">
        <v>0</v>
      </c>
      <c r="L47" s="55">
        <v>0</v>
      </c>
      <c r="M47" s="55">
        <v>0</v>
      </c>
      <c r="N47" s="55">
        <v>0</v>
      </c>
      <c r="O47" s="55">
        <v>1</v>
      </c>
      <c r="P47" s="55">
        <v>0</v>
      </c>
      <c r="Q47" s="56">
        <v>18</v>
      </c>
    </row>
    <row r="48" spans="2:17">
      <c r="B48" s="54">
        <v>40769</v>
      </c>
      <c r="C48" s="55">
        <v>0</v>
      </c>
      <c r="D48" s="55">
        <v>0</v>
      </c>
      <c r="E48" s="55">
        <v>0</v>
      </c>
      <c r="F48" s="55">
        <v>0</v>
      </c>
      <c r="G48" s="55">
        <v>0</v>
      </c>
      <c r="H48" s="55">
        <v>1</v>
      </c>
      <c r="I48" s="63">
        <v>0</v>
      </c>
      <c r="J48" s="55">
        <v>0</v>
      </c>
      <c r="K48" s="55">
        <v>0</v>
      </c>
      <c r="L48" s="55">
        <v>0</v>
      </c>
      <c r="M48" s="55">
        <v>0</v>
      </c>
      <c r="N48" s="55">
        <v>0</v>
      </c>
      <c r="O48" s="55">
        <v>0</v>
      </c>
      <c r="P48" s="55">
        <v>0</v>
      </c>
      <c r="Q48" s="56">
        <v>12</v>
      </c>
    </row>
    <row r="49" spans="2:17">
      <c r="B49" s="54">
        <v>40770</v>
      </c>
      <c r="C49" s="55">
        <v>19</v>
      </c>
      <c r="D49" s="55">
        <v>0</v>
      </c>
      <c r="E49" s="55">
        <v>0</v>
      </c>
      <c r="F49" s="55">
        <v>0</v>
      </c>
      <c r="G49" s="55">
        <v>0</v>
      </c>
      <c r="H49" s="55">
        <v>1</v>
      </c>
      <c r="I49" s="63">
        <v>0</v>
      </c>
      <c r="J49" s="55">
        <v>1</v>
      </c>
      <c r="K49" s="55">
        <v>0</v>
      </c>
      <c r="L49" s="55">
        <v>0</v>
      </c>
      <c r="M49" s="55">
        <v>0</v>
      </c>
      <c r="N49" s="55">
        <v>0</v>
      </c>
      <c r="O49" s="55">
        <v>0</v>
      </c>
      <c r="P49" s="55">
        <v>0</v>
      </c>
      <c r="Q49" s="56">
        <v>18</v>
      </c>
    </row>
    <row r="50" spans="2:17">
      <c r="B50" s="54">
        <v>40771</v>
      </c>
      <c r="C50" s="55">
        <v>17</v>
      </c>
      <c r="D50" s="55">
        <v>0</v>
      </c>
      <c r="E50" s="55">
        <v>0</v>
      </c>
      <c r="F50" s="55">
        <v>0</v>
      </c>
      <c r="G50" s="55">
        <v>0</v>
      </c>
      <c r="H50" s="55">
        <v>1</v>
      </c>
      <c r="I50" s="63">
        <v>0</v>
      </c>
      <c r="J50" s="55">
        <v>0</v>
      </c>
      <c r="K50" s="55">
        <v>1</v>
      </c>
      <c r="L50" s="55">
        <v>0</v>
      </c>
      <c r="M50" s="55">
        <v>0</v>
      </c>
      <c r="N50" s="55">
        <v>0</v>
      </c>
      <c r="O50" s="55">
        <v>0</v>
      </c>
      <c r="P50" s="55">
        <v>0</v>
      </c>
      <c r="Q50" s="56">
        <v>15</v>
      </c>
    </row>
    <row r="51" spans="2:17">
      <c r="B51" s="54">
        <v>40772</v>
      </c>
      <c r="C51" s="55">
        <v>5</v>
      </c>
      <c r="D51" s="55">
        <v>0</v>
      </c>
      <c r="E51" s="55">
        <v>0</v>
      </c>
      <c r="F51" s="55">
        <v>0</v>
      </c>
      <c r="G51" s="55">
        <v>0</v>
      </c>
      <c r="H51" s="55">
        <v>1</v>
      </c>
      <c r="I51" s="63">
        <v>0</v>
      </c>
      <c r="J51" s="55">
        <v>0</v>
      </c>
      <c r="K51" s="55">
        <v>0</v>
      </c>
      <c r="L51" s="55">
        <v>1</v>
      </c>
      <c r="M51" s="55">
        <v>0</v>
      </c>
      <c r="N51" s="55">
        <v>0</v>
      </c>
      <c r="O51" s="55">
        <v>0</v>
      </c>
      <c r="P51" s="55">
        <v>0</v>
      </c>
      <c r="Q51" s="56">
        <v>0</v>
      </c>
    </row>
    <row r="52" spans="2:17">
      <c r="B52" s="54">
        <v>40773</v>
      </c>
      <c r="C52" s="55">
        <v>11</v>
      </c>
      <c r="D52" s="55">
        <v>0</v>
      </c>
      <c r="E52" s="55">
        <v>0</v>
      </c>
      <c r="F52" s="55">
        <v>0</v>
      </c>
      <c r="G52" s="55">
        <v>0</v>
      </c>
      <c r="H52" s="55">
        <v>1</v>
      </c>
      <c r="I52" s="63">
        <v>0</v>
      </c>
      <c r="J52" s="55">
        <v>0</v>
      </c>
      <c r="K52" s="55">
        <v>0</v>
      </c>
      <c r="L52" s="55">
        <v>0</v>
      </c>
      <c r="M52" s="55">
        <v>1</v>
      </c>
      <c r="N52" s="55">
        <v>0</v>
      </c>
      <c r="O52" s="55">
        <v>0</v>
      </c>
      <c r="P52" s="55">
        <v>0</v>
      </c>
      <c r="Q52" s="56">
        <v>17</v>
      </c>
    </row>
    <row r="53" spans="2:17">
      <c r="B53" s="54">
        <v>40774</v>
      </c>
      <c r="C53" s="55">
        <v>16</v>
      </c>
      <c r="D53" s="55">
        <v>0</v>
      </c>
      <c r="E53" s="55">
        <v>0</v>
      </c>
      <c r="F53" s="55">
        <v>0</v>
      </c>
      <c r="G53" s="55">
        <v>0</v>
      </c>
      <c r="H53" s="55">
        <v>1</v>
      </c>
      <c r="I53" s="63">
        <v>0</v>
      </c>
      <c r="J53" s="55">
        <v>0</v>
      </c>
      <c r="K53" s="55">
        <v>0</v>
      </c>
      <c r="L53" s="55">
        <v>0</v>
      </c>
      <c r="M53" s="55">
        <v>0</v>
      </c>
      <c r="N53" s="55">
        <v>1</v>
      </c>
      <c r="O53" s="55">
        <v>0</v>
      </c>
      <c r="P53" s="55">
        <v>0</v>
      </c>
      <c r="Q53" s="56">
        <v>15</v>
      </c>
    </row>
    <row r="54" spans="2:17">
      <c r="B54" s="54">
        <v>40775</v>
      </c>
      <c r="C54" s="55">
        <v>16</v>
      </c>
      <c r="D54" s="55">
        <v>0</v>
      </c>
      <c r="E54" s="55">
        <v>0</v>
      </c>
      <c r="F54" s="55">
        <v>1</v>
      </c>
      <c r="G54" s="55">
        <v>1</v>
      </c>
      <c r="H54" s="55">
        <v>4</v>
      </c>
      <c r="I54" s="63">
        <v>0</v>
      </c>
      <c r="J54" s="55">
        <v>0</v>
      </c>
      <c r="K54" s="55">
        <v>0</v>
      </c>
      <c r="L54" s="55">
        <v>0</v>
      </c>
      <c r="M54" s="55">
        <v>0</v>
      </c>
      <c r="N54" s="55">
        <v>0</v>
      </c>
      <c r="O54" s="55">
        <v>1</v>
      </c>
      <c r="P54" s="55">
        <v>0</v>
      </c>
      <c r="Q54" s="56">
        <v>19</v>
      </c>
    </row>
    <row r="55" spans="2:17">
      <c r="B55" s="54">
        <v>40776</v>
      </c>
      <c r="C55" s="55">
        <v>13</v>
      </c>
      <c r="D55" s="55">
        <v>0</v>
      </c>
      <c r="E55" s="55">
        <v>0</v>
      </c>
      <c r="F55" s="55">
        <v>1</v>
      </c>
      <c r="G55" s="55">
        <v>0</v>
      </c>
      <c r="H55" s="55">
        <v>2</v>
      </c>
      <c r="I55" s="63">
        <v>0</v>
      </c>
      <c r="J55" s="55">
        <v>0</v>
      </c>
      <c r="K55" s="55">
        <v>0</v>
      </c>
      <c r="L55" s="55">
        <v>0</v>
      </c>
      <c r="M55" s="55">
        <v>0</v>
      </c>
      <c r="N55" s="55">
        <v>0</v>
      </c>
      <c r="O55" s="55">
        <v>0</v>
      </c>
      <c r="P55" s="55">
        <v>0</v>
      </c>
      <c r="Q55" s="56">
        <v>18</v>
      </c>
    </row>
    <row r="56" spans="2:17">
      <c r="B56" s="54">
        <v>40777</v>
      </c>
      <c r="C56" s="55">
        <v>13</v>
      </c>
      <c r="D56" s="55">
        <v>0</v>
      </c>
      <c r="E56" s="55">
        <v>0</v>
      </c>
      <c r="F56" s="55">
        <v>0</v>
      </c>
      <c r="G56" s="55">
        <v>0</v>
      </c>
      <c r="H56" s="55">
        <v>1</v>
      </c>
      <c r="I56" s="63">
        <v>0</v>
      </c>
      <c r="J56" s="55">
        <v>1</v>
      </c>
      <c r="K56" s="55">
        <v>0</v>
      </c>
      <c r="L56" s="55">
        <v>0</v>
      </c>
      <c r="M56" s="55">
        <v>0</v>
      </c>
      <c r="N56" s="55">
        <v>0</v>
      </c>
      <c r="O56" s="55">
        <v>0</v>
      </c>
      <c r="P56" s="55">
        <v>0</v>
      </c>
      <c r="Q56" s="56">
        <v>19</v>
      </c>
    </row>
    <row r="57" spans="2:17">
      <c r="B57" s="54">
        <v>40778</v>
      </c>
      <c r="C57" s="55">
        <v>13</v>
      </c>
      <c r="D57" s="55">
        <v>0</v>
      </c>
      <c r="E57" s="55">
        <v>0</v>
      </c>
      <c r="F57" s="55">
        <v>0</v>
      </c>
      <c r="G57" s="55">
        <v>0</v>
      </c>
      <c r="H57" s="55">
        <v>1</v>
      </c>
      <c r="I57" s="63">
        <v>0</v>
      </c>
      <c r="J57" s="55">
        <v>0</v>
      </c>
      <c r="K57" s="55">
        <v>1</v>
      </c>
      <c r="L57" s="55">
        <v>0</v>
      </c>
      <c r="M57" s="55">
        <v>0</v>
      </c>
      <c r="N57" s="55">
        <v>0</v>
      </c>
      <c r="O57" s="55">
        <v>0</v>
      </c>
      <c r="P57" s="55">
        <v>0</v>
      </c>
      <c r="Q57" s="56">
        <v>11</v>
      </c>
    </row>
    <row r="58" spans="2:17">
      <c r="B58" s="54">
        <v>40779</v>
      </c>
      <c r="C58" s="55">
        <v>8</v>
      </c>
      <c r="D58" s="55">
        <v>0</v>
      </c>
      <c r="E58" s="55">
        <v>0</v>
      </c>
      <c r="F58" s="55">
        <v>0</v>
      </c>
      <c r="G58" s="55">
        <v>0</v>
      </c>
      <c r="H58" s="55">
        <v>1</v>
      </c>
      <c r="I58" s="63">
        <v>0</v>
      </c>
      <c r="J58" s="55">
        <v>0</v>
      </c>
      <c r="K58" s="55">
        <v>0</v>
      </c>
      <c r="L58" s="55">
        <v>1</v>
      </c>
      <c r="M58" s="55">
        <v>0</v>
      </c>
      <c r="N58" s="55">
        <v>0</v>
      </c>
      <c r="O58" s="55">
        <v>0</v>
      </c>
      <c r="P58" s="55">
        <v>0</v>
      </c>
      <c r="Q58" s="56">
        <v>13</v>
      </c>
    </row>
    <row r="59" spans="2:17">
      <c r="B59" s="54">
        <v>40780</v>
      </c>
      <c r="C59" s="55">
        <v>9</v>
      </c>
      <c r="D59" s="55">
        <v>0</v>
      </c>
      <c r="E59" s="55">
        <v>0</v>
      </c>
      <c r="F59" s="55">
        <v>0</v>
      </c>
      <c r="G59" s="55">
        <v>0</v>
      </c>
      <c r="H59" s="55">
        <v>1</v>
      </c>
      <c r="I59" s="63">
        <v>0</v>
      </c>
      <c r="J59" s="55">
        <v>0</v>
      </c>
      <c r="K59" s="55">
        <v>0</v>
      </c>
      <c r="L59" s="55">
        <v>0</v>
      </c>
      <c r="M59" s="55">
        <v>1</v>
      </c>
      <c r="N59" s="55">
        <v>0</v>
      </c>
      <c r="O59" s="55">
        <v>0</v>
      </c>
      <c r="P59" s="55">
        <v>0</v>
      </c>
      <c r="Q59" s="56">
        <v>20</v>
      </c>
    </row>
    <row r="60" spans="2:17">
      <c r="B60" s="54">
        <v>40781</v>
      </c>
      <c r="C60" s="55">
        <v>22</v>
      </c>
      <c r="D60" s="55">
        <v>0</v>
      </c>
      <c r="E60" s="55">
        <v>0</v>
      </c>
      <c r="F60" s="55">
        <v>0</v>
      </c>
      <c r="G60" s="55">
        <v>0</v>
      </c>
      <c r="H60" s="55">
        <v>1</v>
      </c>
      <c r="I60" s="63">
        <v>0</v>
      </c>
      <c r="J60" s="55">
        <v>0</v>
      </c>
      <c r="K60" s="55">
        <v>0</v>
      </c>
      <c r="L60" s="55">
        <v>0</v>
      </c>
      <c r="M60" s="55">
        <v>0</v>
      </c>
      <c r="N60" s="55">
        <v>1</v>
      </c>
      <c r="O60" s="55">
        <v>0</v>
      </c>
      <c r="P60" s="55">
        <v>0</v>
      </c>
      <c r="Q60" s="56">
        <v>20</v>
      </c>
    </row>
    <row r="61" spans="2:17">
      <c r="B61" s="54">
        <v>40782</v>
      </c>
      <c r="C61" s="55">
        <v>23</v>
      </c>
      <c r="D61" s="55">
        <v>0</v>
      </c>
      <c r="E61" s="55">
        <v>0</v>
      </c>
      <c r="F61" s="55">
        <v>1</v>
      </c>
      <c r="G61" s="55">
        <v>1</v>
      </c>
      <c r="H61" s="55">
        <v>4</v>
      </c>
      <c r="I61" s="63">
        <v>0</v>
      </c>
      <c r="J61" s="55">
        <v>0</v>
      </c>
      <c r="K61" s="55">
        <v>0</v>
      </c>
      <c r="L61" s="55">
        <v>0</v>
      </c>
      <c r="M61" s="55">
        <v>0</v>
      </c>
      <c r="N61" s="55">
        <v>0</v>
      </c>
      <c r="O61" s="55">
        <v>1</v>
      </c>
      <c r="P61" s="55">
        <v>0</v>
      </c>
      <c r="Q61" s="56">
        <v>27</v>
      </c>
    </row>
    <row r="62" spans="2:17">
      <c r="B62" s="54">
        <v>40783</v>
      </c>
      <c r="C62" s="55">
        <v>25</v>
      </c>
      <c r="D62" s="55">
        <v>0</v>
      </c>
      <c r="E62" s="55">
        <v>0</v>
      </c>
      <c r="F62" s="55">
        <v>1</v>
      </c>
      <c r="G62" s="55">
        <v>1</v>
      </c>
      <c r="H62" s="55">
        <v>4</v>
      </c>
      <c r="I62" s="63">
        <v>0</v>
      </c>
      <c r="J62" s="55">
        <v>0</v>
      </c>
      <c r="K62" s="55">
        <v>0</v>
      </c>
      <c r="L62" s="55">
        <v>0</v>
      </c>
      <c r="M62" s="55">
        <v>0</v>
      </c>
      <c r="N62" s="55">
        <v>0</v>
      </c>
      <c r="O62" s="55">
        <v>0</v>
      </c>
      <c r="P62" s="55">
        <v>0</v>
      </c>
      <c r="Q62" s="56">
        <v>23</v>
      </c>
    </row>
    <row r="63" spans="2:17">
      <c r="B63" s="54">
        <v>40784</v>
      </c>
      <c r="C63" s="55">
        <v>24</v>
      </c>
      <c r="D63" s="55">
        <v>0</v>
      </c>
      <c r="E63" s="55">
        <v>0</v>
      </c>
      <c r="F63" s="55">
        <v>0</v>
      </c>
      <c r="G63" s="55">
        <v>0</v>
      </c>
      <c r="H63" s="55">
        <v>1</v>
      </c>
      <c r="I63" s="63">
        <v>0</v>
      </c>
      <c r="J63" s="55">
        <v>1</v>
      </c>
      <c r="K63" s="55">
        <v>0</v>
      </c>
      <c r="L63" s="55">
        <v>0</v>
      </c>
      <c r="M63" s="55">
        <v>0</v>
      </c>
      <c r="N63" s="55">
        <v>0</v>
      </c>
      <c r="O63" s="55">
        <v>0</v>
      </c>
      <c r="P63" s="55">
        <v>0</v>
      </c>
      <c r="Q63" s="56">
        <v>24</v>
      </c>
    </row>
    <row r="64" spans="2:17">
      <c r="B64" s="54">
        <v>40785</v>
      </c>
      <c r="C64" s="55">
        <v>21</v>
      </c>
      <c r="D64" s="55">
        <v>0</v>
      </c>
      <c r="E64" s="55">
        <v>0</v>
      </c>
      <c r="F64" s="55">
        <v>0</v>
      </c>
      <c r="G64" s="55">
        <v>0</v>
      </c>
      <c r="H64" s="55">
        <v>1</v>
      </c>
      <c r="I64" s="63">
        <v>0</v>
      </c>
      <c r="J64" s="55">
        <v>0</v>
      </c>
      <c r="K64" s="55">
        <v>1</v>
      </c>
      <c r="L64" s="55">
        <v>0</v>
      </c>
      <c r="M64" s="55">
        <v>0</v>
      </c>
      <c r="N64" s="55">
        <v>0</v>
      </c>
      <c r="O64" s="55">
        <v>0</v>
      </c>
      <c r="P64" s="55">
        <v>0</v>
      </c>
      <c r="Q64" s="56">
        <v>18</v>
      </c>
    </row>
    <row r="65" spans="2:17">
      <c r="B65" s="54">
        <v>40786</v>
      </c>
      <c r="C65" s="55">
        <v>21</v>
      </c>
      <c r="D65" s="55">
        <v>0</v>
      </c>
      <c r="E65" s="55">
        <v>0</v>
      </c>
      <c r="F65" s="55">
        <v>1</v>
      </c>
      <c r="G65" s="55">
        <v>1</v>
      </c>
      <c r="H65" s="55">
        <v>4</v>
      </c>
      <c r="I65" s="63">
        <v>0</v>
      </c>
      <c r="J65" s="55">
        <v>0</v>
      </c>
      <c r="K65" s="55">
        <v>0</v>
      </c>
      <c r="L65" s="55">
        <v>1</v>
      </c>
      <c r="M65" s="55">
        <v>0</v>
      </c>
      <c r="N65" s="55">
        <v>0</v>
      </c>
      <c r="O65" s="55">
        <v>0</v>
      </c>
      <c r="P65" s="55">
        <v>0</v>
      </c>
      <c r="Q65" s="56">
        <v>19</v>
      </c>
    </row>
    <row r="66" spans="2:17">
      <c r="B66" s="54">
        <v>40787</v>
      </c>
      <c r="C66" s="55">
        <v>14</v>
      </c>
      <c r="D66" s="55">
        <v>0</v>
      </c>
      <c r="E66" s="55">
        <v>0</v>
      </c>
      <c r="F66" s="55">
        <v>1</v>
      </c>
      <c r="G66" s="55">
        <v>1</v>
      </c>
      <c r="H66" s="55">
        <v>4</v>
      </c>
      <c r="I66" s="63">
        <v>0</v>
      </c>
      <c r="J66" s="55">
        <v>0</v>
      </c>
      <c r="K66" s="55">
        <v>0</v>
      </c>
      <c r="L66" s="55">
        <v>0</v>
      </c>
      <c r="M66" s="55">
        <v>1</v>
      </c>
      <c r="N66" s="55">
        <v>0</v>
      </c>
      <c r="O66" s="55">
        <v>0</v>
      </c>
      <c r="P66" s="55">
        <v>0</v>
      </c>
      <c r="Q66" s="56">
        <v>16</v>
      </c>
    </row>
    <row r="67" spans="2:17">
      <c r="B67" s="54">
        <v>40788</v>
      </c>
      <c r="C67" s="55">
        <v>6</v>
      </c>
      <c r="D67" s="55">
        <v>0</v>
      </c>
      <c r="E67" s="55">
        <v>0</v>
      </c>
      <c r="F67" s="55">
        <v>1</v>
      </c>
      <c r="G67" s="55">
        <v>1</v>
      </c>
      <c r="H67" s="55">
        <v>4</v>
      </c>
      <c r="I67" s="63">
        <v>0</v>
      </c>
      <c r="J67" s="55">
        <v>0</v>
      </c>
      <c r="K67" s="55">
        <v>0</v>
      </c>
      <c r="L67" s="55">
        <v>0</v>
      </c>
      <c r="M67" s="55">
        <v>0</v>
      </c>
      <c r="N67" s="55">
        <v>1</v>
      </c>
      <c r="O67" s="55">
        <v>0</v>
      </c>
      <c r="P67" s="55">
        <v>0</v>
      </c>
      <c r="Q67" s="56">
        <v>13</v>
      </c>
    </row>
    <row r="68" spans="2:17">
      <c r="B68" s="54">
        <v>40789</v>
      </c>
      <c r="C68" s="55">
        <v>14</v>
      </c>
      <c r="D68" s="55">
        <v>0</v>
      </c>
      <c r="E68" s="55">
        <v>0</v>
      </c>
      <c r="F68" s="55">
        <v>2</v>
      </c>
      <c r="G68" s="55">
        <v>1</v>
      </c>
      <c r="H68" s="55">
        <v>6</v>
      </c>
      <c r="I68" s="63">
        <v>0</v>
      </c>
      <c r="J68" s="55">
        <v>0</v>
      </c>
      <c r="K68" s="55">
        <v>0</v>
      </c>
      <c r="L68" s="55">
        <v>0</v>
      </c>
      <c r="M68" s="55">
        <v>0</v>
      </c>
      <c r="N68" s="55">
        <v>0</v>
      </c>
      <c r="O68" s="55">
        <v>1</v>
      </c>
      <c r="P68" s="55">
        <v>0</v>
      </c>
      <c r="Q68" s="56">
        <v>15</v>
      </c>
    </row>
    <row r="69" spans="2:17">
      <c r="B69" s="54">
        <v>40790</v>
      </c>
      <c r="C69" s="55">
        <v>11</v>
      </c>
      <c r="D69" s="55">
        <v>0</v>
      </c>
      <c r="E69" s="55">
        <v>0</v>
      </c>
      <c r="F69" s="55">
        <v>1</v>
      </c>
      <c r="G69" s="55">
        <v>1</v>
      </c>
      <c r="H69" s="55">
        <v>4</v>
      </c>
      <c r="I69" s="63">
        <v>0</v>
      </c>
      <c r="J69" s="55">
        <v>0</v>
      </c>
      <c r="K69" s="55">
        <v>0</v>
      </c>
      <c r="L69" s="55">
        <v>0</v>
      </c>
      <c r="M69" s="55">
        <v>0</v>
      </c>
      <c r="N69" s="55">
        <v>0</v>
      </c>
      <c r="O69" s="55">
        <v>0</v>
      </c>
      <c r="P69" s="55">
        <v>0</v>
      </c>
      <c r="Q69" s="56">
        <v>21</v>
      </c>
    </row>
    <row r="70" spans="2:17">
      <c r="B70" s="54">
        <v>40791</v>
      </c>
      <c r="C70" s="55">
        <v>9</v>
      </c>
      <c r="D70" s="55">
        <v>0</v>
      </c>
      <c r="E70" s="55">
        <v>0</v>
      </c>
      <c r="F70" s="55">
        <v>0</v>
      </c>
      <c r="G70" s="55">
        <v>0</v>
      </c>
      <c r="H70" s="55">
        <v>1</v>
      </c>
      <c r="I70" s="63">
        <v>0</v>
      </c>
      <c r="J70" s="55">
        <v>1</v>
      </c>
      <c r="K70" s="55">
        <v>0</v>
      </c>
      <c r="L70" s="55">
        <v>0</v>
      </c>
      <c r="M70" s="55">
        <v>0</v>
      </c>
      <c r="N70" s="55">
        <v>0</v>
      </c>
      <c r="O70" s="55">
        <v>0</v>
      </c>
      <c r="P70" s="55">
        <v>0</v>
      </c>
      <c r="Q70" s="56">
        <v>11</v>
      </c>
    </row>
    <row r="71" spans="2:17">
      <c r="B71" s="54">
        <v>40792</v>
      </c>
      <c r="C71" s="55">
        <v>10</v>
      </c>
      <c r="D71" s="55">
        <v>0</v>
      </c>
      <c r="E71" s="55">
        <v>0</v>
      </c>
      <c r="F71" s="55">
        <v>0</v>
      </c>
      <c r="G71" s="55">
        <v>0</v>
      </c>
      <c r="H71" s="55">
        <v>1</v>
      </c>
      <c r="I71" s="63">
        <v>0</v>
      </c>
      <c r="J71" s="55">
        <v>0</v>
      </c>
      <c r="K71" s="55">
        <v>1</v>
      </c>
      <c r="L71" s="55">
        <v>0</v>
      </c>
      <c r="M71" s="55">
        <v>0</v>
      </c>
      <c r="N71" s="55">
        <v>0</v>
      </c>
      <c r="O71" s="55">
        <v>0</v>
      </c>
      <c r="P71" s="55">
        <v>0</v>
      </c>
      <c r="Q71" s="56">
        <v>19</v>
      </c>
    </row>
    <row r="72" spans="2:17">
      <c r="B72" s="54">
        <v>40793</v>
      </c>
      <c r="C72" s="55">
        <v>6</v>
      </c>
      <c r="D72" s="55">
        <v>0</v>
      </c>
      <c r="E72" s="55">
        <v>0</v>
      </c>
      <c r="F72" s="55">
        <v>0</v>
      </c>
      <c r="G72" s="55">
        <v>0</v>
      </c>
      <c r="H72" s="55">
        <v>1</v>
      </c>
      <c r="I72" s="63">
        <v>0</v>
      </c>
      <c r="J72" s="55">
        <v>0</v>
      </c>
      <c r="K72" s="55">
        <v>0</v>
      </c>
      <c r="L72" s="55">
        <v>1</v>
      </c>
      <c r="M72" s="55">
        <v>0</v>
      </c>
      <c r="N72" s="55">
        <v>0</v>
      </c>
      <c r="O72" s="55">
        <v>0</v>
      </c>
      <c r="P72" s="55">
        <v>0</v>
      </c>
      <c r="Q72" s="56">
        <v>9</v>
      </c>
    </row>
    <row r="73" spans="2:17">
      <c r="B73" s="54">
        <v>40794</v>
      </c>
      <c r="C73" s="55">
        <v>10</v>
      </c>
      <c r="D73" s="55">
        <v>0</v>
      </c>
      <c r="E73" s="55">
        <v>0</v>
      </c>
      <c r="F73" s="55">
        <v>0</v>
      </c>
      <c r="G73" s="55">
        <v>0</v>
      </c>
      <c r="H73" s="55">
        <v>1</v>
      </c>
      <c r="I73" s="63">
        <v>0</v>
      </c>
      <c r="J73" s="55">
        <v>0</v>
      </c>
      <c r="K73" s="55">
        <v>0</v>
      </c>
      <c r="L73" s="55">
        <v>0</v>
      </c>
      <c r="M73" s="55">
        <v>1</v>
      </c>
      <c r="N73" s="55">
        <v>0</v>
      </c>
      <c r="O73" s="55">
        <v>0</v>
      </c>
      <c r="P73" s="55">
        <v>0</v>
      </c>
      <c r="Q73" s="56">
        <v>4</v>
      </c>
    </row>
    <row r="74" spans="2:17">
      <c r="B74" s="54">
        <v>40795</v>
      </c>
      <c r="C74" s="55">
        <v>7</v>
      </c>
      <c r="D74" s="55">
        <v>0</v>
      </c>
      <c r="E74" s="55">
        <v>0</v>
      </c>
      <c r="F74" s="55">
        <v>0</v>
      </c>
      <c r="G74" s="55">
        <v>0</v>
      </c>
      <c r="H74" s="55">
        <v>1</v>
      </c>
      <c r="I74" s="63">
        <v>0</v>
      </c>
      <c r="J74" s="55">
        <v>0</v>
      </c>
      <c r="K74" s="55">
        <v>0</v>
      </c>
      <c r="L74" s="55">
        <v>0</v>
      </c>
      <c r="M74" s="55">
        <v>0</v>
      </c>
      <c r="N74" s="55">
        <v>1</v>
      </c>
      <c r="O74" s="55">
        <v>0</v>
      </c>
      <c r="P74" s="55">
        <v>0</v>
      </c>
      <c r="Q74" s="56">
        <v>9</v>
      </c>
    </row>
    <row r="75" spans="2:17">
      <c r="B75" s="54">
        <v>40796</v>
      </c>
      <c r="C75" s="55">
        <v>15</v>
      </c>
      <c r="D75" s="55">
        <v>0</v>
      </c>
      <c r="E75" s="55">
        <v>0</v>
      </c>
      <c r="F75" s="55">
        <v>1</v>
      </c>
      <c r="G75" s="55">
        <v>1</v>
      </c>
      <c r="H75" s="55">
        <v>4</v>
      </c>
      <c r="I75" s="63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5">
        <v>1</v>
      </c>
      <c r="P75" s="55">
        <v>0</v>
      </c>
      <c r="Q75" s="56">
        <v>13</v>
      </c>
    </row>
    <row r="76" spans="2:17">
      <c r="B76" s="54">
        <v>40797</v>
      </c>
      <c r="C76" s="55">
        <v>13</v>
      </c>
      <c r="D76" s="55">
        <v>0</v>
      </c>
      <c r="E76" s="55">
        <v>0</v>
      </c>
      <c r="F76" s="55">
        <v>1</v>
      </c>
      <c r="G76" s="55">
        <v>0</v>
      </c>
      <c r="H76" s="55">
        <v>2</v>
      </c>
      <c r="I76" s="63">
        <v>0</v>
      </c>
      <c r="J76" s="55">
        <v>0</v>
      </c>
      <c r="K76" s="55">
        <v>0</v>
      </c>
      <c r="L76" s="55">
        <v>0</v>
      </c>
      <c r="M76" s="55">
        <v>0</v>
      </c>
      <c r="N76" s="55">
        <v>0</v>
      </c>
      <c r="O76" s="55">
        <v>0</v>
      </c>
      <c r="P76" s="55">
        <v>0</v>
      </c>
      <c r="Q76" s="56">
        <v>12</v>
      </c>
    </row>
    <row r="77" spans="2:17">
      <c r="B77" s="54">
        <v>40798</v>
      </c>
      <c r="C77" s="55">
        <v>14</v>
      </c>
      <c r="D77" s="55">
        <v>0</v>
      </c>
      <c r="E77" s="55">
        <v>0</v>
      </c>
      <c r="F77" s="55">
        <v>0</v>
      </c>
      <c r="G77" s="55">
        <v>0</v>
      </c>
      <c r="H77" s="55">
        <v>1</v>
      </c>
      <c r="I77" s="63">
        <v>0</v>
      </c>
      <c r="J77" s="55">
        <v>1</v>
      </c>
      <c r="K77" s="55">
        <v>0</v>
      </c>
      <c r="L77" s="55">
        <v>0</v>
      </c>
      <c r="M77" s="55">
        <v>0</v>
      </c>
      <c r="N77" s="55">
        <v>0</v>
      </c>
      <c r="O77" s="55">
        <v>0</v>
      </c>
      <c r="P77" s="55">
        <v>0</v>
      </c>
      <c r="Q77" s="56">
        <v>11</v>
      </c>
    </row>
    <row r="78" spans="2:17">
      <c r="B78" s="54">
        <v>40799</v>
      </c>
      <c r="C78" s="55">
        <v>16</v>
      </c>
      <c r="D78" s="55">
        <v>0</v>
      </c>
      <c r="E78" s="55">
        <v>0</v>
      </c>
      <c r="F78" s="55">
        <v>0</v>
      </c>
      <c r="G78" s="55">
        <v>0</v>
      </c>
      <c r="H78" s="55">
        <v>1</v>
      </c>
      <c r="I78" s="63">
        <v>0</v>
      </c>
      <c r="J78" s="55">
        <v>0</v>
      </c>
      <c r="K78" s="55">
        <v>1</v>
      </c>
      <c r="L78" s="55">
        <v>0</v>
      </c>
      <c r="M78" s="55">
        <v>0</v>
      </c>
      <c r="N78" s="55">
        <v>0</v>
      </c>
      <c r="O78" s="55">
        <v>0</v>
      </c>
      <c r="P78" s="55">
        <v>0</v>
      </c>
      <c r="Q78" s="56">
        <v>10</v>
      </c>
    </row>
    <row r="79" spans="2:17">
      <c r="B79" s="54">
        <v>40800</v>
      </c>
      <c r="C79" s="55">
        <v>10</v>
      </c>
      <c r="D79" s="55">
        <v>0</v>
      </c>
      <c r="E79" s="55">
        <v>0</v>
      </c>
      <c r="F79" s="55">
        <v>0</v>
      </c>
      <c r="G79" s="55">
        <v>0</v>
      </c>
      <c r="H79" s="55">
        <v>1</v>
      </c>
      <c r="I79" s="63">
        <v>0</v>
      </c>
      <c r="J79" s="55">
        <v>0</v>
      </c>
      <c r="K79" s="55">
        <v>0</v>
      </c>
      <c r="L79" s="55">
        <v>1</v>
      </c>
      <c r="M79" s="55">
        <v>0</v>
      </c>
      <c r="N79" s="55">
        <v>0</v>
      </c>
      <c r="O79" s="55">
        <v>0</v>
      </c>
      <c r="P79" s="55">
        <v>0</v>
      </c>
      <c r="Q79" s="56">
        <v>14</v>
      </c>
    </row>
    <row r="80" spans="2:17">
      <c r="B80" s="54">
        <v>40801</v>
      </c>
      <c r="C80" s="55">
        <v>11</v>
      </c>
      <c r="D80" s="55">
        <v>0</v>
      </c>
      <c r="E80" s="55">
        <v>0</v>
      </c>
      <c r="F80" s="55">
        <v>0</v>
      </c>
      <c r="G80" s="55">
        <v>0</v>
      </c>
      <c r="H80" s="55">
        <v>1</v>
      </c>
      <c r="I80" s="63">
        <v>0</v>
      </c>
      <c r="J80" s="55">
        <v>0</v>
      </c>
      <c r="K80" s="55">
        <v>0</v>
      </c>
      <c r="L80" s="55">
        <v>0</v>
      </c>
      <c r="M80" s="55">
        <v>1</v>
      </c>
      <c r="N80" s="55">
        <v>0</v>
      </c>
      <c r="O80" s="55">
        <v>0</v>
      </c>
      <c r="P80" s="55">
        <v>0</v>
      </c>
      <c r="Q80" s="56">
        <v>7</v>
      </c>
    </row>
    <row r="81" spans="2:17">
      <c r="B81" s="54">
        <v>40802</v>
      </c>
      <c r="C81" s="55">
        <v>14</v>
      </c>
      <c r="D81" s="55">
        <v>0</v>
      </c>
      <c r="E81" s="55">
        <v>0</v>
      </c>
      <c r="F81" s="55">
        <v>0</v>
      </c>
      <c r="G81" s="55">
        <v>0</v>
      </c>
      <c r="H81" s="55">
        <v>1</v>
      </c>
      <c r="I81" s="63">
        <v>0</v>
      </c>
      <c r="J81" s="55">
        <v>0</v>
      </c>
      <c r="K81" s="55">
        <v>0</v>
      </c>
      <c r="L81" s="55">
        <v>0</v>
      </c>
      <c r="M81" s="55">
        <v>0</v>
      </c>
      <c r="N81" s="55">
        <v>1</v>
      </c>
      <c r="O81" s="55">
        <v>0</v>
      </c>
      <c r="P81" s="55">
        <v>0</v>
      </c>
      <c r="Q81" s="56">
        <v>19</v>
      </c>
    </row>
    <row r="82" spans="2:17">
      <c r="B82" s="54">
        <v>40803</v>
      </c>
      <c r="C82" s="55">
        <v>21</v>
      </c>
      <c r="D82" s="55">
        <v>0</v>
      </c>
      <c r="E82" s="55">
        <v>0</v>
      </c>
      <c r="F82" s="55">
        <v>2</v>
      </c>
      <c r="G82" s="55">
        <v>1</v>
      </c>
      <c r="H82" s="55">
        <v>6</v>
      </c>
      <c r="I82" s="63">
        <v>0</v>
      </c>
      <c r="J82" s="55">
        <v>0</v>
      </c>
      <c r="K82" s="55">
        <v>0</v>
      </c>
      <c r="L82" s="55">
        <v>0</v>
      </c>
      <c r="M82" s="55">
        <v>0</v>
      </c>
      <c r="N82" s="55">
        <v>0</v>
      </c>
      <c r="O82" s="55">
        <v>1</v>
      </c>
      <c r="P82" s="55">
        <v>0</v>
      </c>
      <c r="Q82" s="56">
        <v>19</v>
      </c>
    </row>
    <row r="83" spans="2:17">
      <c r="B83" s="54">
        <v>40804</v>
      </c>
      <c r="C83" s="55">
        <v>19</v>
      </c>
      <c r="D83" s="55">
        <v>0</v>
      </c>
      <c r="E83" s="55">
        <v>0</v>
      </c>
      <c r="F83" s="55">
        <v>2</v>
      </c>
      <c r="G83" s="55">
        <v>2</v>
      </c>
      <c r="H83" s="55">
        <v>9</v>
      </c>
      <c r="I83" s="63">
        <v>0</v>
      </c>
      <c r="J83" s="55">
        <v>0</v>
      </c>
      <c r="K83" s="55">
        <v>0</v>
      </c>
      <c r="L83" s="55">
        <v>0</v>
      </c>
      <c r="M83" s="55">
        <v>0</v>
      </c>
      <c r="N83" s="55">
        <v>0</v>
      </c>
      <c r="O83" s="55">
        <v>0</v>
      </c>
      <c r="P83" s="55">
        <v>0</v>
      </c>
      <c r="Q83" s="56">
        <v>13</v>
      </c>
    </row>
    <row r="84" spans="2:17">
      <c r="B84" s="54">
        <v>40805</v>
      </c>
      <c r="C84" s="55">
        <v>18</v>
      </c>
      <c r="D84" s="55">
        <v>0</v>
      </c>
      <c r="E84" s="55">
        <v>0</v>
      </c>
      <c r="F84" s="55">
        <v>1</v>
      </c>
      <c r="G84" s="55">
        <v>1</v>
      </c>
      <c r="H84" s="55">
        <v>4</v>
      </c>
      <c r="I84" s="63">
        <v>1</v>
      </c>
      <c r="J84" s="55">
        <v>1</v>
      </c>
      <c r="K84" s="55">
        <v>0</v>
      </c>
      <c r="L84" s="55">
        <v>0</v>
      </c>
      <c r="M84" s="55">
        <v>0</v>
      </c>
      <c r="N84" s="55">
        <v>0</v>
      </c>
      <c r="O84" s="55">
        <v>0</v>
      </c>
      <c r="P84" s="55">
        <v>0</v>
      </c>
      <c r="Q84" s="56">
        <v>16</v>
      </c>
    </row>
    <row r="85" spans="2:17">
      <c r="B85" s="54">
        <v>40806</v>
      </c>
      <c r="C85" s="55">
        <v>21</v>
      </c>
      <c r="D85" s="55">
        <v>0</v>
      </c>
      <c r="E85" s="55">
        <v>0</v>
      </c>
      <c r="F85" s="55">
        <v>0</v>
      </c>
      <c r="G85" s="55">
        <v>0</v>
      </c>
      <c r="H85" s="55">
        <v>1</v>
      </c>
      <c r="I85" s="63">
        <v>0</v>
      </c>
      <c r="J85" s="55">
        <v>0</v>
      </c>
      <c r="K85" s="55">
        <v>1</v>
      </c>
      <c r="L85" s="55">
        <v>0</v>
      </c>
      <c r="M85" s="55">
        <v>0</v>
      </c>
      <c r="N85" s="55">
        <v>0</v>
      </c>
      <c r="O85" s="55">
        <v>0</v>
      </c>
      <c r="P85" s="55">
        <v>0</v>
      </c>
      <c r="Q85" s="56">
        <v>18</v>
      </c>
    </row>
    <row r="86" spans="2:17">
      <c r="B86" s="54">
        <v>40807</v>
      </c>
      <c r="C86" s="55">
        <v>12</v>
      </c>
      <c r="D86" s="55">
        <v>0</v>
      </c>
      <c r="E86" s="55">
        <v>0</v>
      </c>
      <c r="F86" s="55">
        <v>0</v>
      </c>
      <c r="G86" s="55">
        <v>0</v>
      </c>
      <c r="H86" s="55">
        <v>1</v>
      </c>
      <c r="I86" s="63">
        <v>0</v>
      </c>
      <c r="J86" s="55">
        <v>0</v>
      </c>
      <c r="K86" s="55">
        <v>0</v>
      </c>
      <c r="L86" s="55">
        <v>1</v>
      </c>
      <c r="M86" s="55">
        <v>0</v>
      </c>
      <c r="N86" s="55">
        <v>0</v>
      </c>
      <c r="O86" s="55">
        <v>0</v>
      </c>
      <c r="P86" s="55">
        <v>0</v>
      </c>
      <c r="Q86" s="56">
        <v>12</v>
      </c>
    </row>
    <row r="87" spans="2:17">
      <c r="B87" s="54">
        <v>40808</v>
      </c>
      <c r="C87" s="55">
        <v>24</v>
      </c>
      <c r="D87" s="55">
        <v>0</v>
      </c>
      <c r="E87" s="55">
        <v>0</v>
      </c>
      <c r="F87" s="55">
        <v>0</v>
      </c>
      <c r="G87" s="55">
        <v>0</v>
      </c>
      <c r="H87" s="55">
        <v>1</v>
      </c>
      <c r="I87" s="63">
        <v>0</v>
      </c>
      <c r="J87" s="55">
        <v>0</v>
      </c>
      <c r="K87" s="55">
        <v>0</v>
      </c>
      <c r="L87" s="55">
        <v>0</v>
      </c>
      <c r="M87" s="55">
        <v>1</v>
      </c>
      <c r="N87" s="55">
        <v>0</v>
      </c>
      <c r="O87" s="55">
        <v>0</v>
      </c>
      <c r="P87" s="55">
        <v>0</v>
      </c>
      <c r="Q87" s="56">
        <v>32</v>
      </c>
    </row>
    <row r="88" spans="2:17">
      <c r="B88" s="54">
        <v>40809</v>
      </c>
      <c r="C88" s="55">
        <v>36</v>
      </c>
      <c r="D88" s="55">
        <v>0</v>
      </c>
      <c r="E88" s="55">
        <v>0</v>
      </c>
      <c r="F88" s="55">
        <v>1</v>
      </c>
      <c r="G88" s="55">
        <v>1</v>
      </c>
      <c r="H88" s="55">
        <v>4</v>
      </c>
      <c r="I88" s="63">
        <v>1</v>
      </c>
      <c r="J88" s="55">
        <v>0</v>
      </c>
      <c r="K88" s="55">
        <v>0</v>
      </c>
      <c r="L88" s="55">
        <v>0</v>
      </c>
      <c r="M88" s="55">
        <v>0</v>
      </c>
      <c r="N88" s="55">
        <v>1</v>
      </c>
      <c r="O88" s="55">
        <v>0</v>
      </c>
      <c r="P88" s="55">
        <v>0</v>
      </c>
      <c r="Q88" s="56">
        <v>30</v>
      </c>
    </row>
    <row r="89" spans="2:17">
      <c r="B89" s="54">
        <v>40810</v>
      </c>
      <c r="C89" s="55">
        <v>47</v>
      </c>
      <c r="D89" s="55">
        <v>0</v>
      </c>
      <c r="E89" s="55">
        <v>0</v>
      </c>
      <c r="F89" s="55">
        <v>2</v>
      </c>
      <c r="G89" s="55">
        <v>2</v>
      </c>
      <c r="H89" s="55">
        <v>9</v>
      </c>
      <c r="I89" s="63">
        <v>0</v>
      </c>
      <c r="J89" s="55">
        <v>0</v>
      </c>
      <c r="K89" s="55">
        <v>0</v>
      </c>
      <c r="L89" s="55">
        <v>0</v>
      </c>
      <c r="M89" s="55">
        <v>0</v>
      </c>
      <c r="N89" s="55">
        <v>0</v>
      </c>
      <c r="O89" s="55">
        <v>1</v>
      </c>
      <c r="P89" s="55">
        <v>0</v>
      </c>
      <c r="Q89" s="56">
        <v>24</v>
      </c>
    </row>
    <row r="90" spans="2:17">
      <c r="B90" s="54">
        <v>40811</v>
      </c>
      <c r="C90" s="55">
        <v>26</v>
      </c>
      <c r="D90" s="55">
        <v>0</v>
      </c>
      <c r="E90" s="55">
        <v>0</v>
      </c>
      <c r="F90" s="55">
        <v>2</v>
      </c>
      <c r="G90" s="55">
        <v>2</v>
      </c>
      <c r="H90" s="55">
        <v>9</v>
      </c>
      <c r="I90" s="63">
        <v>0</v>
      </c>
      <c r="J90" s="55">
        <v>0</v>
      </c>
      <c r="K90" s="55">
        <v>0</v>
      </c>
      <c r="L90" s="55">
        <v>0</v>
      </c>
      <c r="M90" s="55">
        <v>0</v>
      </c>
      <c r="N90" s="55">
        <v>0</v>
      </c>
      <c r="O90" s="55">
        <v>0</v>
      </c>
      <c r="P90" s="55">
        <v>0</v>
      </c>
      <c r="Q90" s="56">
        <v>26</v>
      </c>
    </row>
    <row r="91" spans="2:17">
      <c r="B91" s="54">
        <v>40812</v>
      </c>
      <c r="C91" s="55">
        <v>21</v>
      </c>
      <c r="D91" s="55">
        <v>0</v>
      </c>
      <c r="E91" s="55">
        <v>0</v>
      </c>
      <c r="F91" s="55">
        <v>1</v>
      </c>
      <c r="G91" s="55">
        <v>1</v>
      </c>
      <c r="H91" s="55">
        <v>4</v>
      </c>
      <c r="I91" s="63">
        <v>0</v>
      </c>
      <c r="J91" s="55">
        <v>1</v>
      </c>
      <c r="K91" s="55">
        <v>0</v>
      </c>
      <c r="L91" s="55">
        <v>0</v>
      </c>
      <c r="M91" s="55">
        <v>0</v>
      </c>
      <c r="N91" s="55">
        <v>0</v>
      </c>
      <c r="O91" s="55">
        <v>0</v>
      </c>
      <c r="P91" s="55">
        <v>0</v>
      </c>
      <c r="Q91" s="56">
        <v>17</v>
      </c>
    </row>
    <row r="92" spans="2:17">
      <c r="B92" s="54">
        <v>40813</v>
      </c>
      <c r="C92" s="55">
        <v>19</v>
      </c>
      <c r="D92" s="55">
        <v>0</v>
      </c>
      <c r="E92" s="55">
        <v>0</v>
      </c>
      <c r="F92" s="55">
        <v>1</v>
      </c>
      <c r="G92" s="55">
        <v>1</v>
      </c>
      <c r="H92" s="55">
        <v>4</v>
      </c>
      <c r="I92" s="63">
        <v>0</v>
      </c>
      <c r="J92" s="55">
        <v>0</v>
      </c>
      <c r="K92" s="55">
        <v>1</v>
      </c>
      <c r="L92" s="55">
        <v>0</v>
      </c>
      <c r="M92" s="55">
        <v>0</v>
      </c>
      <c r="N92" s="55">
        <v>0</v>
      </c>
      <c r="O92" s="55">
        <v>0</v>
      </c>
      <c r="P92" s="55">
        <v>0</v>
      </c>
      <c r="Q92" s="56">
        <v>23</v>
      </c>
    </row>
    <row r="93" spans="2:17">
      <c r="B93" s="54">
        <v>40814</v>
      </c>
      <c r="C93" s="55">
        <v>24</v>
      </c>
      <c r="D93" s="55">
        <v>0</v>
      </c>
      <c r="E93" s="55">
        <v>0</v>
      </c>
      <c r="F93" s="55">
        <v>1</v>
      </c>
      <c r="G93" s="55">
        <v>1</v>
      </c>
      <c r="H93" s="55">
        <v>4</v>
      </c>
      <c r="I93" s="63">
        <v>0</v>
      </c>
      <c r="J93" s="55">
        <v>0</v>
      </c>
      <c r="K93" s="55">
        <v>0</v>
      </c>
      <c r="L93" s="55">
        <v>1</v>
      </c>
      <c r="M93" s="55">
        <v>0</v>
      </c>
      <c r="N93" s="55">
        <v>0</v>
      </c>
      <c r="O93" s="55">
        <v>0</v>
      </c>
      <c r="P93" s="55">
        <v>0</v>
      </c>
      <c r="Q93" s="56">
        <v>15</v>
      </c>
    </row>
    <row r="94" spans="2:17">
      <c r="B94" s="54">
        <v>40815</v>
      </c>
      <c r="C94" s="55">
        <v>26</v>
      </c>
      <c r="D94" s="55">
        <v>0</v>
      </c>
      <c r="E94" s="55">
        <v>0</v>
      </c>
      <c r="F94" s="55">
        <v>1</v>
      </c>
      <c r="G94" s="55">
        <v>1</v>
      </c>
      <c r="H94" s="55">
        <v>4</v>
      </c>
      <c r="I94" s="63">
        <v>0</v>
      </c>
      <c r="J94" s="55">
        <v>0</v>
      </c>
      <c r="K94" s="55">
        <v>0</v>
      </c>
      <c r="L94" s="55">
        <v>0</v>
      </c>
      <c r="M94" s="55">
        <v>1</v>
      </c>
      <c r="N94" s="55">
        <v>0</v>
      </c>
      <c r="O94" s="55">
        <v>0</v>
      </c>
      <c r="P94" s="55">
        <v>0</v>
      </c>
      <c r="Q94" s="56">
        <v>27</v>
      </c>
    </row>
    <row r="95" spans="2:17">
      <c r="B95" s="54">
        <v>40816</v>
      </c>
      <c r="C95" s="55">
        <v>29</v>
      </c>
      <c r="D95" s="55">
        <v>0</v>
      </c>
      <c r="E95" s="55">
        <v>0</v>
      </c>
      <c r="F95" s="55">
        <v>1</v>
      </c>
      <c r="G95" s="55">
        <v>1</v>
      </c>
      <c r="H95" s="55">
        <v>4</v>
      </c>
      <c r="I95" s="63">
        <v>0</v>
      </c>
      <c r="J95" s="55">
        <v>0</v>
      </c>
      <c r="K95" s="55">
        <v>0</v>
      </c>
      <c r="L95" s="55">
        <v>0</v>
      </c>
      <c r="M95" s="55">
        <v>0</v>
      </c>
      <c r="N95" s="55">
        <v>1</v>
      </c>
      <c r="O95" s="55">
        <v>0</v>
      </c>
      <c r="P95" s="55">
        <v>0</v>
      </c>
      <c r="Q95" s="56">
        <v>24</v>
      </c>
    </row>
    <row r="96" spans="2:17">
      <c r="B96" s="54">
        <v>40817</v>
      </c>
      <c r="C96" s="55">
        <v>26</v>
      </c>
      <c r="D96" s="55">
        <v>0</v>
      </c>
      <c r="E96" s="55">
        <v>0</v>
      </c>
      <c r="F96" s="55">
        <v>2</v>
      </c>
      <c r="G96" s="55">
        <v>1</v>
      </c>
      <c r="H96" s="55">
        <v>6</v>
      </c>
      <c r="I96" s="63">
        <v>0</v>
      </c>
      <c r="J96" s="55">
        <v>0</v>
      </c>
      <c r="K96" s="55">
        <v>0</v>
      </c>
      <c r="L96" s="55">
        <v>0</v>
      </c>
      <c r="M96" s="55">
        <v>0</v>
      </c>
      <c r="N96" s="55">
        <v>0</v>
      </c>
      <c r="O96" s="55">
        <v>1</v>
      </c>
      <c r="P96" s="55">
        <v>0</v>
      </c>
      <c r="Q96" s="56">
        <v>18</v>
      </c>
    </row>
    <row r="97" spans="2:17">
      <c r="B97" s="54">
        <v>40818</v>
      </c>
      <c r="C97" s="55">
        <v>27</v>
      </c>
      <c r="D97" s="55">
        <v>0</v>
      </c>
      <c r="E97" s="55">
        <v>0</v>
      </c>
      <c r="F97" s="55">
        <v>1</v>
      </c>
      <c r="G97" s="55">
        <v>1</v>
      </c>
      <c r="H97" s="55">
        <v>4</v>
      </c>
      <c r="I97" s="63">
        <v>0</v>
      </c>
      <c r="J97" s="55">
        <v>0</v>
      </c>
      <c r="K97" s="55">
        <v>0</v>
      </c>
      <c r="L97" s="55">
        <v>0</v>
      </c>
      <c r="M97" s="55">
        <v>0</v>
      </c>
      <c r="N97" s="55">
        <v>0</v>
      </c>
      <c r="O97" s="55">
        <v>0</v>
      </c>
      <c r="P97" s="55">
        <v>0</v>
      </c>
      <c r="Q97" s="56">
        <v>16</v>
      </c>
    </row>
    <row r="98" spans="2:17">
      <c r="B98" s="54">
        <v>40819</v>
      </c>
      <c r="C98" s="55">
        <v>20</v>
      </c>
      <c r="D98" s="55">
        <v>0</v>
      </c>
      <c r="E98" s="55">
        <v>0</v>
      </c>
      <c r="F98" s="55">
        <v>1</v>
      </c>
      <c r="G98" s="55">
        <v>-1</v>
      </c>
      <c r="H98" s="55">
        <v>0</v>
      </c>
      <c r="I98" s="63">
        <v>0</v>
      </c>
      <c r="J98" s="55">
        <v>1</v>
      </c>
      <c r="K98" s="55">
        <v>0</v>
      </c>
      <c r="L98" s="55">
        <v>0</v>
      </c>
      <c r="M98" s="55">
        <v>0</v>
      </c>
      <c r="N98" s="55">
        <v>0</v>
      </c>
      <c r="O98" s="55">
        <v>0</v>
      </c>
      <c r="P98" s="55">
        <v>0</v>
      </c>
      <c r="Q98" s="56">
        <v>10</v>
      </c>
    </row>
    <row r="99" spans="2:17">
      <c r="B99" s="54">
        <v>40820</v>
      </c>
      <c r="C99" s="55">
        <v>14</v>
      </c>
      <c r="D99" s="55">
        <v>0</v>
      </c>
      <c r="E99" s="55">
        <v>0</v>
      </c>
      <c r="F99" s="55">
        <v>0</v>
      </c>
      <c r="G99" s="55">
        <v>0</v>
      </c>
      <c r="H99" s="55">
        <v>1</v>
      </c>
      <c r="I99" s="63">
        <v>0</v>
      </c>
      <c r="J99" s="55">
        <v>0</v>
      </c>
      <c r="K99" s="55">
        <v>1</v>
      </c>
      <c r="L99" s="55">
        <v>0</v>
      </c>
      <c r="M99" s="55">
        <v>0</v>
      </c>
      <c r="N99" s="55">
        <v>0</v>
      </c>
      <c r="O99" s="55">
        <v>0</v>
      </c>
      <c r="P99" s="55">
        <v>0</v>
      </c>
      <c r="Q99" s="56">
        <v>13</v>
      </c>
    </row>
    <row r="100" spans="2:17">
      <c r="B100" s="54">
        <v>40821</v>
      </c>
      <c r="C100" s="55">
        <v>16</v>
      </c>
      <c r="D100" s="55">
        <v>0</v>
      </c>
      <c r="E100" s="55">
        <v>0</v>
      </c>
      <c r="F100" s="55">
        <v>0</v>
      </c>
      <c r="G100" s="55">
        <v>0</v>
      </c>
      <c r="H100" s="55">
        <v>1</v>
      </c>
      <c r="I100" s="63">
        <v>0</v>
      </c>
      <c r="J100" s="55">
        <v>0</v>
      </c>
      <c r="K100" s="55">
        <v>0</v>
      </c>
      <c r="L100" s="55">
        <v>1</v>
      </c>
      <c r="M100" s="55">
        <v>0</v>
      </c>
      <c r="N100" s="55">
        <v>0</v>
      </c>
      <c r="O100" s="55">
        <v>0</v>
      </c>
      <c r="P100" s="55">
        <v>0</v>
      </c>
      <c r="Q100" s="56">
        <v>3</v>
      </c>
    </row>
    <row r="101" spans="2:17">
      <c r="B101" s="54">
        <v>40822</v>
      </c>
      <c r="C101" s="55">
        <v>15</v>
      </c>
      <c r="D101" s="55">
        <v>0</v>
      </c>
      <c r="E101" s="55">
        <v>0</v>
      </c>
      <c r="F101" s="55">
        <v>0</v>
      </c>
      <c r="G101" s="55">
        <v>0</v>
      </c>
      <c r="H101" s="55">
        <v>1</v>
      </c>
      <c r="I101" s="63">
        <v>0</v>
      </c>
      <c r="J101" s="55">
        <v>0</v>
      </c>
      <c r="K101" s="55">
        <v>0</v>
      </c>
      <c r="L101" s="55">
        <v>0</v>
      </c>
      <c r="M101" s="55">
        <v>1</v>
      </c>
      <c r="N101" s="55">
        <v>0</v>
      </c>
      <c r="O101" s="55">
        <v>0</v>
      </c>
      <c r="P101" s="55">
        <v>0</v>
      </c>
      <c r="Q101" s="56">
        <v>7</v>
      </c>
    </row>
    <row r="102" spans="2:17">
      <c r="B102" s="54">
        <v>40823</v>
      </c>
      <c r="C102" s="55">
        <v>15</v>
      </c>
      <c r="D102" s="55">
        <v>0</v>
      </c>
      <c r="E102" s="55">
        <v>0</v>
      </c>
      <c r="F102" s="55">
        <v>0</v>
      </c>
      <c r="G102" s="55">
        <v>0</v>
      </c>
      <c r="H102" s="55">
        <v>1</v>
      </c>
      <c r="I102" s="63">
        <v>0</v>
      </c>
      <c r="J102" s="55">
        <v>0</v>
      </c>
      <c r="K102" s="55">
        <v>0</v>
      </c>
      <c r="L102" s="55">
        <v>0</v>
      </c>
      <c r="M102" s="55">
        <v>0</v>
      </c>
      <c r="N102" s="55">
        <v>1</v>
      </c>
      <c r="O102" s="55">
        <v>0</v>
      </c>
      <c r="P102" s="55">
        <v>0</v>
      </c>
      <c r="Q102" s="56">
        <v>11</v>
      </c>
    </row>
    <row r="103" spans="2:17">
      <c r="B103" s="54">
        <v>40824</v>
      </c>
      <c r="C103" s="55">
        <v>21</v>
      </c>
      <c r="D103" s="55">
        <v>0</v>
      </c>
      <c r="E103" s="55">
        <v>0</v>
      </c>
      <c r="F103" s="55">
        <v>2</v>
      </c>
      <c r="G103" s="55">
        <v>1</v>
      </c>
      <c r="H103" s="55">
        <v>6</v>
      </c>
      <c r="I103" s="63">
        <v>0</v>
      </c>
      <c r="J103" s="55">
        <v>0</v>
      </c>
      <c r="K103" s="55">
        <v>0</v>
      </c>
      <c r="L103" s="55">
        <v>0</v>
      </c>
      <c r="M103" s="55">
        <v>0</v>
      </c>
      <c r="N103" s="55">
        <v>0</v>
      </c>
      <c r="O103" s="55">
        <v>1</v>
      </c>
      <c r="P103" s="55">
        <v>0</v>
      </c>
      <c r="Q103" s="56">
        <v>17</v>
      </c>
    </row>
    <row r="104" spans="2:17">
      <c r="B104" s="54">
        <v>40825</v>
      </c>
      <c r="C104" s="55">
        <v>21</v>
      </c>
      <c r="D104" s="55">
        <v>0</v>
      </c>
      <c r="E104" s="55">
        <v>0</v>
      </c>
      <c r="F104" s="55">
        <v>2</v>
      </c>
      <c r="G104" s="55">
        <v>1</v>
      </c>
      <c r="H104" s="55">
        <v>6</v>
      </c>
      <c r="I104" s="63">
        <v>0</v>
      </c>
      <c r="J104" s="55">
        <v>0</v>
      </c>
      <c r="K104" s="55">
        <v>0</v>
      </c>
      <c r="L104" s="55">
        <v>0</v>
      </c>
      <c r="M104" s="55">
        <v>0</v>
      </c>
      <c r="N104" s="55">
        <v>0</v>
      </c>
      <c r="O104" s="55">
        <v>0</v>
      </c>
      <c r="P104" s="55">
        <v>0</v>
      </c>
      <c r="Q104" s="56">
        <v>18</v>
      </c>
    </row>
    <row r="105" spans="2:17">
      <c r="B105" s="54">
        <v>40826</v>
      </c>
      <c r="C105" s="55">
        <v>17</v>
      </c>
      <c r="D105" s="55">
        <v>0</v>
      </c>
      <c r="E105" s="55">
        <v>0</v>
      </c>
      <c r="F105" s="55">
        <v>1</v>
      </c>
      <c r="G105" s="55">
        <v>0</v>
      </c>
      <c r="H105" s="55">
        <v>2</v>
      </c>
      <c r="I105" s="63">
        <v>1</v>
      </c>
      <c r="J105" s="55">
        <v>1</v>
      </c>
      <c r="K105" s="55">
        <v>0</v>
      </c>
      <c r="L105" s="55">
        <v>0</v>
      </c>
      <c r="M105" s="55">
        <v>0</v>
      </c>
      <c r="N105" s="55">
        <v>0</v>
      </c>
      <c r="O105" s="55">
        <v>0</v>
      </c>
      <c r="P105" s="55">
        <v>0</v>
      </c>
      <c r="Q105" s="56">
        <v>7</v>
      </c>
    </row>
    <row r="106" spans="2:17">
      <c r="B106" s="54">
        <v>40827</v>
      </c>
      <c r="C106" s="55">
        <v>9</v>
      </c>
      <c r="D106" s="55">
        <v>0</v>
      </c>
      <c r="E106" s="55">
        <v>0</v>
      </c>
      <c r="F106" s="55">
        <v>0</v>
      </c>
      <c r="G106" s="55">
        <v>0</v>
      </c>
      <c r="H106" s="55">
        <v>1</v>
      </c>
      <c r="I106" s="63">
        <v>0</v>
      </c>
      <c r="J106" s="55">
        <v>0</v>
      </c>
      <c r="K106" s="55">
        <v>1</v>
      </c>
      <c r="L106" s="55">
        <v>0</v>
      </c>
      <c r="M106" s="55">
        <v>0</v>
      </c>
      <c r="N106" s="55">
        <v>0</v>
      </c>
      <c r="O106" s="55">
        <v>0</v>
      </c>
      <c r="P106" s="55">
        <v>0</v>
      </c>
      <c r="Q106" s="56">
        <v>8</v>
      </c>
    </row>
    <row r="107" spans="2:17">
      <c r="B107" s="54">
        <v>40828</v>
      </c>
      <c r="C107" s="55">
        <v>10</v>
      </c>
      <c r="D107" s="55">
        <v>0</v>
      </c>
      <c r="E107" s="55">
        <v>0</v>
      </c>
      <c r="F107" s="55">
        <v>0</v>
      </c>
      <c r="G107" s="55">
        <v>0</v>
      </c>
      <c r="H107" s="55">
        <v>1</v>
      </c>
      <c r="I107" s="63">
        <v>0</v>
      </c>
      <c r="J107" s="55">
        <v>0</v>
      </c>
      <c r="K107" s="55">
        <v>0</v>
      </c>
      <c r="L107" s="55">
        <v>1</v>
      </c>
      <c r="M107" s="55">
        <v>0</v>
      </c>
      <c r="N107" s="55">
        <v>0</v>
      </c>
      <c r="O107" s="55">
        <v>0</v>
      </c>
      <c r="P107" s="55">
        <v>0</v>
      </c>
      <c r="Q107" s="56">
        <v>8</v>
      </c>
    </row>
    <row r="108" spans="2:17">
      <c r="B108" s="54">
        <v>40829</v>
      </c>
      <c r="C108" s="55">
        <v>14</v>
      </c>
      <c r="D108" s="55">
        <v>0</v>
      </c>
      <c r="E108" s="55">
        <v>0</v>
      </c>
      <c r="F108" s="55">
        <v>0</v>
      </c>
      <c r="G108" s="55">
        <v>0</v>
      </c>
      <c r="H108" s="55">
        <v>1</v>
      </c>
      <c r="I108" s="63">
        <v>0</v>
      </c>
      <c r="J108" s="55">
        <v>0</v>
      </c>
      <c r="K108" s="55">
        <v>0</v>
      </c>
      <c r="L108" s="55">
        <v>0</v>
      </c>
      <c r="M108" s="55">
        <v>1</v>
      </c>
      <c r="N108" s="55">
        <v>0</v>
      </c>
      <c r="O108" s="55">
        <v>0</v>
      </c>
      <c r="P108" s="55">
        <v>0</v>
      </c>
      <c r="Q108" s="56">
        <v>13</v>
      </c>
    </row>
    <row r="109" spans="2:17">
      <c r="B109" s="54">
        <v>40830</v>
      </c>
      <c r="C109" s="55">
        <v>14</v>
      </c>
      <c r="D109" s="55">
        <v>0</v>
      </c>
      <c r="E109" s="55">
        <v>0</v>
      </c>
      <c r="F109" s="55">
        <v>0</v>
      </c>
      <c r="G109" s="55">
        <v>0</v>
      </c>
      <c r="H109" s="55">
        <v>1</v>
      </c>
      <c r="I109" s="63">
        <v>0</v>
      </c>
      <c r="J109" s="55">
        <v>0</v>
      </c>
      <c r="K109" s="55">
        <v>0</v>
      </c>
      <c r="L109" s="55">
        <v>0</v>
      </c>
      <c r="M109" s="55">
        <v>0</v>
      </c>
      <c r="N109" s="55">
        <v>1</v>
      </c>
      <c r="O109" s="55">
        <v>0</v>
      </c>
      <c r="P109" s="55">
        <v>0</v>
      </c>
      <c r="Q109" s="56">
        <v>9</v>
      </c>
    </row>
    <row r="110" spans="2:17">
      <c r="B110" s="54">
        <v>40831</v>
      </c>
      <c r="C110" s="55">
        <v>22</v>
      </c>
      <c r="D110" s="55">
        <v>0</v>
      </c>
      <c r="E110" s="55">
        <v>0</v>
      </c>
      <c r="F110" s="55">
        <v>1</v>
      </c>
      <c r="G110" s="55">
        <v>1</v>
      </c>
      <c r="H110" s="55">
        <v>4</v>
      </c>
      <c r="I110" s="63">
        <v>0</v>
      </c>
      <c r="J110" s="55">
        <v>0</v>
      </c>
      <c r="K110" s="55">
        <v>0</v>
      </c>
      <c r="L110" s="55">
        <v>0</v>
      </c>
      <c r="M110" s="55">
        <v>0</v>
      </c>
      <c r="N110" s="55">
        <v>0</v>
      </c>
      <c r="O110" s="55">
        <v>1</v>
      </c>
      <c r="P110" s="55">
        <v>0</v>
      </c>
      <c r="Q110" s="56">
        <v>17</v>
      </c>
    </row>
    <row r="111" spans="2:17">
      <c r="B111" s="54">
        <v>40832</v>
      </c>
      <c r="C111" s="55">
        <v>24</v>
      </c>
      <c r="D111" s="55">
        <v>0</v>
      </c>
      <c r="E111" s="55">
        <v>0</v>
      </c>
      <c r="F111" s="55">
        <v>1</v>
      </c>
      <c r="G111" s="55">
        <v>0</v>
      </c>
      <c r="H111" s="55">
        <v>2</v>
      </c>
      <c r="I111" s="63">
        <v>0</v>
      </c>
      <c r="J111" s="55">
        <v>0</v>
      </c>
      <c r="K111" s="55">
        <v>0</v>
      </c>
      <c r="L111" s="55">
        <v>0</v>
      </c>
      <c r="M111" s="55">
        <v>0</v>
      </c>
      <c r="N111" s="55">
        <v>0</v>
      </c>
      <c r="O111" s="55">
        <v>0</v>
      </c>
      <c r="P111" s="55">
        <v>0</v>
      </c>
      <c r="Q111" s="56">
        <v>12</v>
      </c>
    </row>
    <row r="112" spans="2:17">
      <c r="B112" s="54">
        <v>40833</v>
      </c>
      <c r="C112" s="55">
        <v>18</v>
      </c>
      <c r="D112" s="55">
        <v>0</v>
      </c>
      <c r="E112" s="55">
        <v>0</v>
      </c>
      <c r="F112" s="55">
        <v>0</v>
      </c>
      <c r="G112" s="55">
        <v>0</v>
      </c>
      <c r="H112" s="55">
        <v>1</v>
      </c>
      <c r="I112" s="63">
        <v>0</v>
      </c>
      <c r="J112" s="55">
        <v>1</v>
      </c>
      <c r="K112" s="55">
        <v>0</v>
      </c>
      <c r="L112" s="55">
        <v>0</v>
      </c>
      <c r="M112" s="55">
        <v>0</v>
      </c>
      <c r="N112" s="55">
        <v>0</v>
      </c>
      <c r="O112" s="55">
        <v>0</v>
      </c>
      <c r="P112" s="55">
        <v>0</v>
      </c>
      <c r="Q112" s="56">
        <v>11</v>
      </c>
    </row>
    <row r="113" spans="2:17">
      <c r="B113" s="54">
        <v>40834</v>
      </c>
      <c r="C113" s="55">
        <v>13</v>
      </c>
      <c r="D113" s="55">
        <v>0</v>
      </c>
      <c r="E113" s="55">
        <v>0</v>
      </c>
      <c r="F113" s="55">
        <v>0</v>
      </c>
      <c r="G113" s="55">
        <v>0</v>
      </c>
      <c r="H113" s="55">
        <v>1</v>
      </c>
      <c r="I113" s="63">
        <v>0</v>
      </c>
      <c r="J113" s="55">
        <v>0</v>
      </c>
      <c r="K113" s="55">
        <v>1</v>
      </c>
      <c r="L113" s="55">
        <v>0</v>
      </c>
      <c r="M113" s="55">
        <v>0</v>
      </c>
      <c r="N113" s="55">
        <v>0</v>
      </c>
      <c r="O113" s="55">
        <v>0</v>
      </c>
      <c r="P113" s="55">
        <v>0</v>
      </c>
      <c r="Q113" s="56">
        <v>6</v>
      </c>
    </row>
    <row r="114" spans="2:17">
      <c r="B114" s="54">
        <v>40835</v>
      </c>
      <c r="C114" s="55">
        <v>7</v>
      </c>
      <c r="D114" s="55">
        <v>0</v>
      </c>
      <c r="E114" s="55">
        <v>0</v>
      </c>
      <c r="F114" s="55">
        <v>0</v>
      </c>
      <c r="G114" s="55">
        <v>0</v>
      </c>
      <c r="H114" s="55">
        <v>1</v>
      </c>
      <c r="I114" s="63">
        <v>0</v>
      </c>
      <c r="J114" s="55">
        <v>0</v>
      </c>
      <c r="K114" s="55">
        <v>0</v>
      </c>
      <c r="L114" s="55">
        <v>1</v>
      </c>
      <c r="M114" s="55">
        <v>0</v>
      </c>
      <c r="N114" s="55">
        <v>0</v>
      </c>
      <c r="O114" s="55">
        <v>0</v>
      </c>
      <c r="P114" s="55">
        <v>0</v>
      </c>
      <c r="Q114" s="56">
        <v>12</v>
      </c>
    </row>
    <row r="115" spans="2:17">
      <c r="B115" s="54">
        <v>40836</v>
      </c>
      <c r="C115" s="55">
        <v>13</v>
      </c>
      <c r="D115" s="55">
        <v>0</v>
      </c>
      <c r="E115" s="55">
        <v>0</v>
      </c>
      <c r="F115" s="55">
        <v>0</v>
      </c>
      <c r="G115" s="55">
        <v>0</v>
      </c>
      <c r="H115" s="55">
        <v>1</v>
      </c>
      <c r="I115" s="63">
        <v>0</v>
      </c>
      <c r="J115" s="55">
        <v>0</v>
      </c>
      <c r="K115" s="55">
        <v>0</v>
      </c>
      <c r="L115" s="55">
        <v>0</v>
      </c>
      <c r="M115" s="55">
        <v>1</v>
      </c>
      <c r="N115" s="55">
        <v>0</v>
      </c>
      <c r="O115" s="55">
        <v>0</v>
      </c>
      <c r="P115" s="55">
        <v>0</v>
      </c>
      <c r="Q115" s="56">
        <v>3</v>
      </c>
    </row>
    <row r="116" spans="2:17">
      <c r="B116" s="54">
        <v>40837</v>
      </c>
      <c r="C116" s="55">
        <v>18</v>
      </c>
      <c r="D116" s="55">
        <v>0</v>
      </c>
      <c r="E116" s="55">
        <v>0</v>
      </c>
      <c r="F116" s="55">
        <v>0</v>
      </c>
      <c r="G116" s="55">
        <v>0</v>
      </c>
      <c r="H116" s="55">
        <v>1</v>
      </c>
      <c r="I116" s="63">
        <v>0</v>
      </c>
      <c r="J116" s="55">
        <v>0</v>
      </c>
      <c r="K116" s="55">
        <v>0</v>
      </c>
      <c r="L116" s="55">
        <v>0</v>
      </c>
      <c r="M116" s="55">
        <v>0</v>
      </c>
      <c r="N116" s="55">
        <v>1</v>
      </c>
      <c r="O116" s="55">
        <v>0</v>
      </c>
      <c r="P116" s="55">
        <v>0</v>
      </c>
      <c r="Q116" s="56">
        <v>7</v>
      </c>
    </row>
    <row r="117" spans="2:17">
      <c r="B117" s="54">
        <v>40838</v>
      </c>
      <c r="C117" s="55">
        <v>17</v>
      </c>
      <c r="D117" s="55">
        <v>0</v>
      </c>
      <c r="E117" s="55">
        <v>0</v>
      </c>
      <c r="F117" s="55">
        <v>1</v>
      </c>
      <c r="G117" s="55">
        <v>1</v>
      </c>
      <c r="H117" s="55">
        <v>4</v>
      </c>
      <c r="I117" s="63">
        <v>0</v>
      </c>
      <c r="J117" s="55">
        <v>0</v>
      </c>
      <c r="K117" s="55">
        <v>0</v>
      </c>
      <c r="L117" s="55">
        <v>0</v>
      </c>
      <c r="M117" s="55">
        <v>0</v>
      </c>
      <c r="N117" s="55">
        <v>0</v>
      </c>
      <c r="O117" s="55">
        <v>1</v>
      </c>
      <c r="P117" s="55">
        <v>0</v>
      </c>
      <c r="Q117" s="56">
        <v>21</v>
      </c>
    </row>
    <row r="118" spans="2:17">
      <c r="B118" s="54">
        <v>40839</v>
      </c>
      <c r="C118" s="55">
        <v>21</v>
      </c>
      <c r="D118" s="55">
        <v>0</v>
      </c>
      <c r="E118" s="55">
        <v>0</v>
      </c>
      <c r="F118" s="55">
        <v>1</v>
      </c>
      <c r="G118" s="55">
        <v>1</v>
      </c>
      <c r="H118" s="55">
        <v>4</v>
      </c>
      <c r="I118" s="63">
        <v>0</v>
      </c>
      <c r="J118" s="55">
        <v>0</v>
      </c>
      <c r="K118" s="55">
        <v>0</v>
      </c>
      <c r="L118" s="55">
        <v>0</v>
      </c>
      <c r="M118" s="55">
        <v>0</v>
      </c>
      <c r="N118" s="55">
        <v>0</v>
      </c>
      <c r="O118" s="55">
        <v>0</v>
      </c>
      <c r="P118" s="55">
        <v>0</v>
      </c>
      <c r="Q118" s="56">
        <v>20</v>
      </c>
    </row>
    <row r="119" spans="2:17">
      <c r="B119" s="54">
        <v>40840</v>
      </c>
      <c r="C119" s="55">
        <v>14</v>
      </c>
      <c r="D119" s="55">
        <v>0</v>
      </c>
      <c r="E119" s="55">
        <v>0</v>
      </c>
      <c r="F119" s="55">
        <v>0</v>
      </c>
      <c r="G119" s="55">
        <v>0</v>
      </c>
      <c r="H119" s="55">
        <v>1</v>
      </c>
      <c r="I119" s="63">
        <v>0</v>
      </c>
      <c r="J119" s="55">
        <v>1</v>
      </c>
      <c r="K119" s="55">
        <v>0</v>
      </c>
      <c r="L119" s="55">
        <v>0</v>
      </c>
      <c r="M119" s="55">
        <v>0</v>
      </c>
      <c r="N119" s="55">
        <v>0</v>
      </c>
      <c r="O119" s="55">
        <v>0</v>
      </c>
      <c r="P119" s="55">
        <v>0</v>
      </c>
      <c r="Q119" s="56">
        <v>13</v>
      </c>
    </row>
    <row r="120" spans="2:17">
      <c r="B120" s="54">
        <v>40841</v>
      </c>
      <c r="C120" s="55">
        <v>17</v>
      </c>
      <c r="D120" s="55">
        <v>0</v>
      </c>
      <c r="E120" s="55">
        <v>0</v>
      </c>
      <c r="F120" s="55">
        <v>0</v>
      </c>
      <c r="G120" s="55">
        <v>0</v>
      </c>
      <c r="H120" s="55">
        <v>1</v>
      </c>
      <c r="I120" s="63">
        <v>0</v>
      </c>
      <c r="J120" s="55">
        <v>0</v>
      </c>
      <c r="K120" s="55">
        <v>1</v>
      </c>
      <c r="L120" s="55">
        <v>0</v>
      </c>
      <c r="M120" s="55">
        <v>0</v>
      </c>
      <c r="N120" s="55">
        <v>0</v>
      </c>
      <c r="O120" s="55">
        <v>0</v>
      </c>
      <c r="P120" s="55">
        <v>0</v>
      </c>
      <c r="Q120" s="56">
        <v>12</v>
      </c>
    </row>
    <row r="121" spans="2:17">
      <c r="B121" s="54">
        <v>40842</v>
      </c>
      <c r="C121" s="55">
        <v>23</v>
      </c>
      <c r="D121" s="55">
        <v>0</v>
      </c>
      <c r="E121" s="55">
        <v>0</v>
      </c>
      <c r="F121" s="55">
        <v>0</v>
      </c>
      <c r="G121" s="55">
        <v>0</v>
      </c>
      <c r="H121" s="55">
        <v>1</v>
      </c>
      <c r="I121" s="63">
        <v>0</v>
      </c>
      <c r="J121" s="55">
        <v>0</v>
      </c>
      <c r="K121" s="55">
        <v>0</v>
      </c>
      <c r="L121" s="55">
        <v>1</v>
      </c>
      <c r="M121" s="55">
        <v>0</v>
      </c>
      <c r="N121" s="55">
        <v>0</v>
      </c>
      <c r="O121" s="55">
        <v>0</v>
      </c>
      <c r="P121" s="55">
        <v>0</v>
      </c>
      <c r="Q121" s="56">
        <v>13</v>
      </c>
    </row>
    <row r="122" spans="2:17">
      <c r="B122" s="54">
        <v>40843</v>
      </c>
      <c r="C122" s="55">
        <v>24</v>
      </c>
      <c r="D122" s="55">
        <v>0</v>
      </c>
      <c r="E122" s="55">
        <v>0</v>
      </c>
      <c r="F122" s="55">
        <v>0</v>
      </c>
      <c r="G122" s="55">
        <v>0</v>
      </c>
      <c r="H122" s="55">
        <v>1</v>
      </c>
      <c r="I122" s="63">
        <v>0</v>
      </c>
      <c r="J122" s="55">
        <v>0</v>
      </c>
      <c r="K122" s="55">
        <v>0</v>
      </c>
      <c r="L122" s="55">
        <v>0</v>
      </c>
      <c r="M122" s="55">
        <v>1</v>
      </c>
      <c r="N122" s="55">
        <v>0</v>
      </c>
      <c r="O122" s="55">
        <v>0</v>
      </c>
      <c r="P122" s="55">
        <v>0</v>
      </c>
      <c r="Q122" s="56">
        <v>18</v>
      </c>
    </row>
    <row r="123" spans="2:17">
      <c r="B123" s="54">
        <v>40844</v>
      </c>
      <c r="C123" s="55">
        <v>25</v>
      </c>
      <c r="D123" s="55">
        <v>0</v>
      </c>
      <c r="E123" s="55">
        <v>0</v>
      </c>
      <c r="F123" s="55">
        <v>1</v>
      </c>
      <c r="G123" s="55">
        <v>1</v>
      </c>
      <c r="H123" s="55">
        <v>4</v>
      </c>
      <c r="I123" s="63">
        <v>0</v>
      </c>
      <c r="J123" s="55">
        <v>0</v>
      </c>
      <c r="K123" s="55">
        <v>0</v>
      </c>
      <c r="L123" s="55">
        <v>0</v>
      </c>
      <c r="M123" s="55">
        <v>0</v>
      </c>
      <c r="N123" s="55">
        <v>1</v>
      </c>
      <c r="O123" s="55">
        <v>0</v>
      </c>
      <c r="P123" s="55">
        <v>0</v>
      </c>
      <c r="Q123" s="56">
        <v>26</v>
      </c>
    </row>
    <row r="124" spans="2:17">
      <c r="B124" s="54">
        <v>40845</v>
      </c>
      <c r="C124" s="55">
        <v>35</v>
      </c>
      <c r="D124" s="55">
        <v>0</v>
      </c>
      <c r="E124" s="55">
        <v>0</v>
      </c>
      <c r="F124" s="55">
        <v>2</v>
      </c>
      <c r="G124" s="55">
        <v>2</v>
      </c>
      <c r="H124" s="55">
        <v>9</v>
      </c>
      <c r="I124" s="63">
        <v>0</v>
      </c>
      <c r="J124" s="55">
        <v>0</v>
      </c>
      <c r="K124" s="55">
        <v>0</v>
      </c>
      <c r="L124" s="55">
        <v>0</v>
      </c>
      <c r="M124" s="55">
        <v>0</v>
      </c>
      <c r="N124" s="55">
        <v>0</v>
      </c>
      <c r="O124" s="55">
        <v>1</v>
      </c>
      <c r="P124" s="55">
        <v>0</v>
      </c>
      <c r="Q124" s="56">
        <v>29</v>
      </c>
    </row>
    <row r="125" spans="2:17">
      <c r="B125" s="54">
        <v>40846</v>
      </c>
      <c r="C125" s="55">
        <v>22</v>
      </c>
      <c r="D125" s="55">
        <v>0</v>
      </c>
      <c r="E125" s="55">
        <v>0</v>
      </c>
      <c r="F125" s="55">
        <v>2</v>
      </c>
      <c r="G125" s="55">
        <v>1</v>
      </c>
      <c r="H125" s="55">
        <v>6</v>
      </c>
      <c r="I125" s="63">
        <v>0</v>
      </c>
      <c r="J125" s="55">
        <v>0</v>
      </c>
      <c r="K125" s="55">
        <v>0</v>
      </c>
      <c r="L125" s="55">
        <v>0</v>
      </c>
      <c r="M125" s="55">
        <v>0</v>
      </c>
      <c r="N125" s="55">
        <v>0</v>
      </c>
      <c r="O125" s="55">
        <v>0</v>
      </c>
      <c r="P125" s="55">
        <v>0</v>
      </c>
      <c r="Q125" s="56">
        <v>23</v>
      </c>
    </row>
    <row r="126" spans="2:17">
      <c r="B126" s="54">
        <v>40847</v>
      </c>
      <c r="C126" s="55">
        <v>27</v>
      </c>
      <c r="D126" s="55">
        <v>0</v>
      </c>
      <c r="E126" s="55">
        <v>0</v>
      </c>
      <c r="F126" s="55">
        <v>1</v>
      </c>
      <c r="G126" s="55">
        <v>1</v>
      </c>
      <c r="H126" s="55">
        <v>4</v>
      </c>
      <c r="I126" s="63">
        <v>0</v>
      </c>
      <c r="J126" s="55">
        <v>1</v>
      </c>
      <c r="K126" s="55">
        <v>0</v>
      </c>
      <c r="L126" s="55">
        <v>0</v>
      </c>
      <c r="M126" s="55">
        <v>0</v>
      </c>
      <c r="N126" s="55">
        <v>0</v>
      </c>
      <c r="O126" s="55">
        <v>0</v>
      </c>
      <c r="P126" s="55">
        <v>0</v>
      </c>
      <c r="Q126" s="56">
        <v>16</v>
      </c>
    </row>
    <row r="127" spans="2:17">
      <c r="B127" s="54">
        <v>40848</v>
      </c>
      <c r="C127" s="55">
        <v>21</v>
      </c>
      <c r="D127" s="55">
        <v>0</v>
      </c>
      <c r="E127" s="55">
        <v>0</v>
      </c>
      <c r="F127" s="55">
        <v>1</v>
      </c>
      <c r="G127" s="55">
        <v>1</v>
      </c>
      <c r="H127" s="55">
        <v>4</v>
      </c>
      <c r="I127" s="63">
        <v>0</v>
      </c>
      <c r="J127" s="55">
        <v>0</v>
      </c>
      <c r="K127" s="55">
        <v>1</v>
      </c>
      <c r="L127" s="55">
        <v>0</v>
      </c>
      <c r="M127" s="55">
        <v>0</v>
      </c>
      <c r="N127" s="55">
        <v>0</v>
      </c>
      <c r="O127" s="55">
        <v>0</v>
      </c>
      <c r="P127" s="55">
        <v>0</v>
      </c>
      <c r="Q127" s="56">
        <v>12</v>
      </c>
    </row>
    <row r="128" spans="2:17">
      <c r="B128" s="54">
        <v>40849</v>
      </c>
      <c r="C128" s="55">
        <v>21</v>
      </c>
      <c r="D128" s="55">
        <v>0</v>
      </c>
      <c r="E128" s="55">
        <v>0</v>
      </c>
      <c r="F128" s="55">
        <v>1</v>
      </c>
      <c r="G128" s="55">
        <v>0</v>
      </c>
      <c r="H128" s="55">
        <v>2</v>
      </c>
      <c r="I128" s="63">
        <v>0</v>
      </c>
      <c r="J128" s="55">
        <v>0</v>
      </c>
      <c r="K128" s="55">
        <v>0</v>
      </c>
      <c r="L128" s="55">
        <v>1</v>
      </c>
      <c r="M128" s="55">
        <v>0</v>
      </c>
      <c r="N128" s="55">
        <v>0</v>
      </c>
      <c r="O128" s="55">
        <v>0</v>
      </c>
      <c r="P128" s="55">
        <v>0</v>
      </c>
      <c r="Q128" s="56">
        <v>15</v>
      </c>
    </row>
    <row r="129" spans="2:17">
      <c r="B129" s="54">
        <v>40850</v>
      </c>
      <c r="C129" s="55">
        <v>22</v>
      </c>
      <c r="D129" s="55">
        <v>0</v>
      </c>
      <c r="E129" s="55">
        <v>0</v>
      </c>
      <c r="F129" s="55">
        <v>2</v>
      </c>
      <c r="G129" s="55">
        <v>1</v>
      </c>
      <c r="H129" s="55">
        <v>6</v>
      </c>
      <c r="I129" s="63">
        <v>1</v>
      </c>
      <c r="J129" s="55">
        <v>0</v>
      </c>
      <c r="K129" s="55">
        <v>0</v>
      </c>
      <c r="L129" s="55">
        <v>0</v>
      </c>
      <c r="M129" s="55">
        <v>1</v>
      </c>
      <c r="N129" s="55">
        <v>0</v>
      </c>
      <c r="O129" s="55">
        <v>0</v>
      </c>
      <c r="P129" s="55">
        <v>0</v>
      </c>
      <c r="Q129" s="56">
        <v>11</v>
      </c>
    </row>
    <row r="130" spans="2:17">
      <c r="B130" s="54">
        <v>40851</v>
      </c>
      <c r="C130" s="55">
        <v>22</v>
      </c>
      <c r="D130" s="55">
        <v>0</v>
      </c>
      <c r="E130" s="55">
        <v>0</v>
      </c>
      <c r="F130" s="55">
        <v>1</v>
      </c>
      <c r="G130" s="55">
        <v>1</v>
      </c>
      <c r="H130" s="55">
        <v>4</v>
      </c>
      <c r="I130" s="63">
        <v>0</v>
      </c>
      <c r="J130" s="55">
        <v>0</v>
      </c>
      <c r="K130" s="55">
        <v>0</v>
      </c>
      <c r="L130" s="55">
        <v>0</v>
      </c>
      <c r="M130" s="55">
        <v>0</v>
      </c>
      <c r="N130" s="55">
        <v>1</v>
      </c>
      <c r="O130" s="55">
        <v>0</v>
      </c>
      <c r="P130" s="55">
        <v>0</v>
      </c>
      <c r="Q130" s="56">
        <v>13</v>
      </c>
    </row>
    <row r="131" spans="2:17">
      <c r="B131" s="54">
        <v>40852</v>
      </c>
      <c r="C131" s="55">
        <v>28</v>
      </c>
      <c r="D131" s="55">
        <v>0</v>
      </c>
      <c r="E131" s="55">
        <v>0</v>
      </c>
      <c r="F131" s="55">
        <v>1</v>
      </c>
      <c r="G131" s="55">
        <v>0</v>
      </c>
      <c r="H131" s="55">
        <v>2</v>
      </c>
      <c r="I131" s="63">
        <v>0</v>
      </c>
      <c r="J131" s="55">
        <v>0</v>
      </c>
      <c r="K131" s="55">
        <v>0</v>
      </c>
      <c r="L131" s="55">
        <v>0</v>
      </c>
      <c r="M131" s="55">
        <v>0</v>
      </c>
      <c r="N131" s="55">
        <v>0</v>
      </c>
      <c r="O131" s="55">
        <v>1</v>
      </c>
      <c r="P131" s="55">
        <v>0</v>
      </c>
      <c r="Q131" s="56">
        <v>17</v>
      </c>
    </row>
    <row r="132" spans="2:17">
      <c r="B132" s="54">
        <v>40853</v>
      </c>
      <c r="C132" s="55">
        <v>10</v>
      </c>
      <c r="D132" s="55">
        <v>0</v>
      </c>
      <c r="E132" s="55">
        <v>0</v>
      </c>
      <c r="F132" s="55">
        <v>1</v>
      </c>
      <c r="G132" s="55">
        <v>0</v>
      </c>
      <c r="H132" s="55">
        <v>2</v>
      </c>
      <c r="I132" s="63">
        <v>0</v>
      </c>
      <c r="J132" s="55">
        <v>0</v>
      </c>
      <c r="K132" s="55">
        <v>0</v>
      </c>
      <c r="L132" s="55">
        <v>0</v>
      </c>
      <c r="M132" s="55">
        <v>0</v>
      </c>
      <c r="N132" s="55">
        <v>0</v>
      </c>
      <c r="O132" s="55">
        <v>0</v>
      </c>
      <c r="P132" s="55">
        <v>0</v>
      </c>
      <c r="Q132" s="56">
        <v>13</v>
      </c>
    </row>
    <row r="133" spans="2:17">
      <c r="B133" s="54">
        <v>40854</v>
      </c>
      <c r="C133" s="55">
        <v>14</v>
      </c>
      <c r="D133" s="55">
        <v>0</v>
      </c>
      <c r="E133" s="55">
        <v>0</v>
      </c>
      <c r="F133" s="55">
        <v>0</v>
      </c>
      <c r="G133" s="55">
        <v>0</v>
      </c>
      <c r="H133" s="55">
        <v>1</v>
      </c>
      <c r="I133" s="63">
        <v>0</v>
      </c>
      <c r="J133" s="55">
        <v>1</v>
      </c>
      <c r="K133" s="55">
        <v>0</v>
      </c>
      <c r="L133" s="55">
        <v>0</v>
      </c>
      <c r="M133" s="55">
        <v>0</v>
      </c>
      <c r="N133" s="55">
        <v>0</v>
      </c>
      <c r="O133" s="55">
        <v>0</v>
      </c>
      <c r="P133" s="55">
        <v>0</v>
      </c>
      <c r="Q133" s="56">
        <v>8</v>
      </c>
    </row>
    <row r="134" spans="2:17">
      <c r="B134" s="54">
        <v>40855</v>
      </c>
      <c r="C134" s="55">
        <v>17</v>
      </c>
      <c r="D134" s="55">
        <v>0</v>
      </c>
      <c r="E134" s="55">
        <v>0</v>
      </c>
      <c r="F134" s="55">
        <v>0</v>
      </c>
      <c r="G134" s="55">
        <v>0</v>
      </c>
      <c r="H134" s="55">
        <v>1</v>
      </c>
      <c r="I134" s="63">
        <v>0</v>
      </c>
      <c r="J134" s="55">
        <v>0</v>
      </c>
      <c r="K134" s="55">
        <v>1</v>
      </c>
      <c r="L134" s="55">
        <v>0</v>
      </c>
      <c r="M134" s="55">
        <v>0</v>
      </c>
      <c r="N134" s="55">
        <v>0</v>
      </c>
      <c r="O134" s="55">
        <v>0</v>
      </c>
      <c r="P134" s="55">
        <v>0</v>
      </c>
      <c r="Q134" s="56">
        <v>7</v>
      </c>
    </row>
    <row r="135" spans="2:17">
      <c r="B135" s="54">
        <v>40856</v>
      </c>
      <c r="C135" s="55">
        <v>11</v>
      </c>
      <c r="D135" s="55">
        <v>0</v>
      </c>
      <c r="E135" s="55">
        <v>0</v>
      </c>
      <c r="F135" s="55">
        <v>0</v>
      </c>
      <c r="G135" s="55">
        <v>0</v>
      </c>
      <c r="H135" s="55">
        <v>1</v>
      </c>
      <c r="I135" s="63">
        <v>0</v>
      </c>
      <c r="J135" s="55">
        <v>0</v>
      </c>
      <c r="K135" s="55">
        <v>0</v>
      </c>
      <c r="L135" s="55">
        <v>1</v>
      </c>
      <c r="M135" s="55">
        <v>0</v>
      </c>
      <c r="N135" s="55">
        <v>0</v>
      </c>
      <c r="O135" s="55">
        <v>0</v>
      </c>
      <c r="P135" s="55">
        <v>0</v>
      </c>
      <c r="Q135" s="56">
        <v>11</v>
      </c>
    </row>
    <row r="136" spans="2:17">
      <c r="B136" s="54">
        <v>40857</v>
      </c>
      <c r="C136" s="55">
        <v>12</v>
      </c>
      <c r="D136" s="55">
        <v>0</v>
      </c>
      <c r="E136" s="55">
        <v>0</v>
      </c>
      <c r="F136" s="55">
        <v>0</v>
      </c>
      <c r="G136" s="55">
        <v>0</v>
      </c>
      <c r="H136" s="55">
        <v>1</v>
      </c>
      <c r="I136" s="63">
        <v>0</v>
      </c>
      <c r="J136" s="55">
        <v>0</v>
      </c>
      <c r="K136" s="55">
        <v>0</v>
      </c>
      <c r="L136" s="55">
        <v>0</v>
      </c>
      <c r="M136" s="55">
        <v>1</v>
      </c>
      <c r="N136" s="55">
        <v>0</v>
      </c>
      <c r="O136" s="55">
        <v>0</v>
      </c>
      <c r="P136" s="55">
        <v>0</v>
      </c>
      <c r="Q136" s="56">
        <v>11</v>
      </c>
    </row>
    <row r="137" spans="2:17">
      <c r="B137" s="54">
        <v>40858</v>
      </c>
      <c r="C137" s="55">
        <v>25</v>
      </c>
      <c r="D137" s="55">
        <v>0</v>
      </c>
      <c r="E137" s="55">
        <v>0</v>
      </c>
      <c r="F137" s="55">
        <v>0</v>
      </c>
      <c r="G137" s="55">
        <v>0</v>
      </c>
      <c r="H137" s="55">
        <v>1</v>
      </c>
      <c r="I137" s="63">
        <v>0</v>
      </c>
      <c r="J137" s="55">
        <v>0</v>
      </c>
      <c r="K137" s="55">
        <v>0</v>
      </c>
      <c r="L137" s="55">
        <v>0</v>
      </c>
      <c r="M137" s="55">
        <v>0</v>
      </c>
      <c r="N137" s="55">
        <v>1</v>
      </c>
      <c r="O137" s="55">
        <v>0</v>
      </c>
      <c r="P137" s="55">
        <v>0</v>
      </c>
      <c r="Q137" s="56">
        <v>15</v>
      </c>
    </row>
    <row r="138" spans="2:17">
      <c r="B138" s="54">
        <v>40859</v>
      </c>
      <c r="C138" s="55">
        <v>27</v>
      </c>
      <c r="D138" s="55">
        <v>0</v>
      </c>
      <c r="E138" s="55">
        <v>0</v>
      </c>
      <c r="F138" s="55">
        <v>1</v>
      </c>
      <c r="G138" s="55">
        <v>1</v>
      </c>
      <c r="H138" s="55">
        <v>4</v>
      </c>
      <c r="I138" s="63">
        <v>0</v>
      </c>
      <c r="J138" s="55">
        <v>0</v>
      </c>
      <c r="K138" s="55">
        <v>0</v>
      </c>
      <c r="L138" s="55">
        <v>0</v>
      </c>
      <c r="M138" s="55">
        <v>0</v>
      </c>
      <c r="N138" s="55">
        <v>0</v>
      </c>
      <c r="O138" s="55">
        <v>1</v>
      </c>
      <c r="P138" s="55">
        <v>0</v>
      </c>
      <c r="Q138" s="56">
        <v>16</v>
      </c>
    </row>
    <row r="139" spans="2:17">
      <c r="B139" s="54">
        <v>40860</v>
      </c>
      <c r="C139" s="55">
        <v>21</v>
      </c>
      <c r="D139" s="55">
        <v>0</v>
      </c>
      <c r="E139" s="55">
        <v>0</v>
      </c>
      <c r="F139" s="55">
        <v>0</v>
      </c>
      <c r="G139" s="55">
        <v>0</v>
      </c>
      <c r="H139" s="55">
        <v>1</v>
      </c>
      <c r="I139" s="63">
        <v>0</v>
      </c>
      <c r="J139" s="55">
        <v>0</v>
      </c>
      <c r="K139" s="55">
        <v>0</v>
      </c>
      <c r="L139" s="55">
        <v>0</v>
      </c>
      <c r="M139" s="55">
        <v>0</v>
      </c>
      <c r="N139" s="55">
        <v>0</v>
      </c>
      <c r="O139" s="55">
        <v>0</v>
      </c>
      <c r="P139" s="55">
        <v>0</v>
      </c>
      <c r="Q139" s="56">
        <v>19</v>
      </c>
    </row>
    <row r="140" spans="2:17">
      <c r="B140" s="54">
        <v>40861</v>
      </c>
      <c r="C140" s="55">
        <v>13</v>
      </c>
      <c r="D140" s="55">
        <v>0</v>
      </c>
      <c r="E140" s="55">
        <v>0</v>
      </c>
      <c r="F140" s="55">
        <v>0</v>
      </c>
      <c r="G140" s="55">
        <v>0</v>
      </c>
      <c r="H140" s="55">
        <v>1</v>
      </c>
      <c r="I140" s="63">
        <v>0</v>
      </c>
      <c r="J140" s="55">
        <v>1</v>
      </c>
      <c r="K140" s="55">
        <v>0</v>
      </c>
      <c r="L140" s="55">
        <v>0</v>
      </c>
      <c r="M140" s="55">
        <v>0</v>
      </c>
      <c r="N140" s="55">
        <v>0</v>
      </c>
      <c r="O140" s="55">
        <v>0</v>
      </c>
      <c r="P140" s="55">
        <v>0</v>
      </c>
      <c r="Q140" s="56">
        <v>21</v>
      </c>
    </row>
    <row r="141" spans="2:17">
      <c r="B141" s="54">
        <v>40862</v>
      </c>
      <c r="C141" s="55">
        <v>11</v>
      </c>
      <c r="D141" s="55">
        <v>0</v>
      </c>
      <c r="E141" s="55">
        <v>0</v>
      </c>
      <c r="F141" s="55">
        <v>0</v>
      </c>
      <c r="G141" s="55">
        <v>0</v>
      </c>
      <c r="H141" s="55">
        <v>1</v>
      </c>
      <c r="I141" s="63">
        <v>0</v>
      </c>
      <c r="J141" s="55">
        <v>0</v>
      </c>
      <c r="K141" s="55">
        <v>1</v>
      </c>
      <c r="L141" s="55">
        <v>0</v>
      </c>
      <c r="M141" s="55">
        <v>0</v>
      </c>
      <c r="N141" s="55">
        <v>0</v>
      </c>
      <c r="O141" s="55">
        <v>0</v>
      </c>
      <c r="P141" s="55">
        <v>0</v>
      </c>
      <c r="Q141" s="56">
        <v>14</v>
      </c>
    </row>
    <row r="142" spans="2:17">
      <c r="B142" s="54">
        <v>40863</v>
      </c>
      <c r="C142" s="55">
        <v>19</v>
      </c>
      <c r="D142" s="55">
        <v>0</v>
      </c>
      <c r="E142" s="55">
        <v>0</v>
      </c>
      <c r="F142" s="55">
        <v>0</v>
      </c>
      <c r="G142" s="55">
        <v>0</v>
      </c>
      <c r="H142" s="55">
        <v>1</v>
      </c>
      <c r="I142" s="63">
        <v>0</v>
      </c>
      <c r="J142" s="55">
        <v>0</v>
      </c>
      <c r="K142" s="55">
        <v>0</v>
      </c>
      <c r="L142" s="55">
        <v>1</v>
      </c>
      <c r="M142" s="55">
        <v>0</v>
      </c>
      <c r="N142" s="55">
        <v>0</v>
      </c>
      <c r="O142" s="55">
        <v>0</v>
      </c>
      <c r="P142" s="55">
        <v>0</v>
      </c>
      <c r="Q142" s="56">
        <v>11</v>
      </c>
    </row>
    <row r="143" spans="2:17">
      <c r="B143" s="54">
        <v>40864</v>
      </c>
      <c r="C143" s="55">
        <v>11</v>
      </c>
      <c r="D143" s="55">
        <v>0</v>
      </c>
      <c r="E143" s="55">
        <v>0</v>
      </c>
      <c r="F143" s="55">
        <v>0</v>
      </c>
      <c r="G143" s="55">
        <v>0</v>
      </c>
      <c r="H143" s="55">
        <v>1</v>
      </c>
      <c r="I143" s="63">
        <v>0</v>
      </c>
      <c r="J143" s="55">
        <v>0</v>
      </c>
      <c r="K143" s="55">
        <v>0</v>
      </c>
      <c r="L143" s="55">
        <v>0</v>
      </c>
      <c r="M143" s="55">
        <v>1</v>
      </c>
      <c r="N143" s="55">
        <v>0</v>
      </c>
      <c r="O143" s="55">
        <v>0</v>
      </c>
      <c r="P143" s="55">
        <v>0</v>
      </c>
      <c r="Q143" s="56">
        <v>9</v>
      </c>
    </row>
    <row r="144" spans="2:17">
      <c r="B144" s="54">
        <v>40865</v>
      </c>
      <c r="C144" s="55">
        <v>11</v>
      </c>
      <c r="D144" s="55">
        <v>0</v>
      </c>
      <c r="E144" s="55">
        <v>0</v>
      </c>
      <c r="F144" s="55">
        <v>0</v>
      </c>
      <c r="G144" s="55">
        <v>0</v>
      </c>
      <c r="H144" s="55">
        <v>1</v>
      </c>
      <c r="I144" s="63">
        <v>0</v>
      </c>
      <c r="J144" s="55">
        <v>0</v>
      </c>
      <c r="K144" s="55">
        <v>0</v>
      </c>
      <c r="L144" s="55">
        <v>0</v>
      </c>
      <c r="M144" s="55">
        <v>0</v>
      </c>
      <c r="N144" s="55">
        <v>1</v>
      </c>
      <c r="O144" s="55">
        <v>0</v>
      </c>
      <c r="P144" s="55">
        <v>0</v>
      </c>
      <c r="Q144" s="56">
        <v>25</v>
      </c>
    </row>
    <row r="145" spans="2:17">
      <c r="B145" s="54">
        <v>40866</v>
      </c>
      <c r="C145" s="55">
        <v>15</v>
      </c>
      <c r="D145" s="55">
        <v>0</v>
      </c>
      <c r="E145" s="55">
        <v>0</v>
      </c>
      <c r="F145" s="55">
        <v>1</v>
      </c>
      <c r="G145" s="55">
        <v>1</v>
      </c>
      <c r="H145" s="55">
        <v>4</v>
      </c>
      <c r="I145" s="63">
        <v>0</v>
      </c>
      <c r="J145" s="55">
        <v>0</v>
      </c>
      <c r="K145" s="55">
        <v>0</v>
      </c>
      <c r="L145" s="55">
        <v>0</v>
      </c>
      <c r="M145" s="55">
        <v>0</v>
      </c>
      <c r="N145" s="55">
        <v>0</v>
      </c>
      <c r="O145" s="55">
        <v>1</v>
      </c>
      <c r="P145" s="55">
        <v>0</v>
      </c>
      <c r="Q145" s="56">
        <v>24</v>
      </c>
    </row>
    <row r="146" spans="2:17">
      <c r="B146" s="54">
        <v>40867</v>
      </c>
      <c r="C146" s="55">
        <v>29</v>
      </c>
      <c r="D146" s="55">
        <v>0</v>
      </c>
      <c r="E146" s="55">
        <v>0</v>
      </c>
      <c r="F146" s="55">
        <v>1</v>
      </c>
      <c r="G146" s="55">
        <v>0</v>
      </c>
      <c r="H146" s="55">
        <v>2</v>
      </c>
      <c r="I146" s="63">
        <v>0</v>
      </c>
      <c r="J146" s="55">
        <v>0</v>
      </c>
      <c r="K146" s="55">
        <v>0</v>
      </c>
      <c r="L146" s="55">
        <v>0</v>
      </c>
      <c r="M146" s="55">
        <v>0</v>
      </c>
      <c r="N146" s="55">
        <v>0</v>
      </c>
      <c r="O146" s="55">
        <v>0</v>
      </c>
      <c r="P146" s="55">
        <v>0</v>
      </c>
      <c r="Q146" s="56">
        <v>22</v>
      </c>
    </row>
    <row r="147" spans="2:17">
      <c r="B147" s="54">
        <v>40868</v>
      </c>
      <c r="C147" s="55">
        <v>18</v>
      </c>
      <c r="D147" s="55">
        <v>0</v>
      </c>
      <c r="E147" s="55">
        <v>0</v>
      </c>
      <c r="F147" s="55">
        <v>0</v>
      </c>
      <c r="G147" s="55">
        <v>0</v>
      </c>
      <c r="H147" s="55">
        <v>1</v>
      </c>
      <c r="I147" s="63">
        <v>0</v>
      </c>
      <c r="J147" s="55">
        <v>1</v>
      </c>
      <c r="K147" s="55">
        <v>0</v>
      </c>
      <c r="L147" s="55">
        <v>0</v>
      </c>
      <c r="M147" s="55">
        <v>0</v>
      </c>
      <c r="N147" s="55">
        <v>0</v>
      </c>
      <c r="O147" s="55">
        <v>0</v>
      </c>
      <c r="P147" s="55">
        <v>0</v>
      </c>
      <c r="Q147" s="56">
        <v>22</v>
      </c>
    </row>
    <row r="148" spans="2:17">
      <c r="B148" s="54">
        <v>40869</v>
      </c>
      <c r="C148" s="55">
        <v>14</v>
      </c>
      <c r="D148" s="55">
        <v>0</v>
      </c>
      <c r="E148" s="55">
        <v>0</v>
      </c>
      <c r="F148" s="55">
        <v>0</v>
      </c>
      <c r="G148" s="55">
        <v>0</v>
      </c>
      <c r="H148" s="55">
        <v>1</v>
      </c>
      <c r="I148" s="63">
        <v>0</v>
      </c>
      <c r="J148" s="55">
        <v>0</v>
      </c>
      <c r="K148" s="55">
        <v>1</v>
      </c>
      <c r="L148" s="55">
        <v>0</v>
      </c>
      <c r="M148" s="55">
        <v>0</v>
      </c>
      <c r="N148" s="55">
        <v>0</v>
      </c>
      <c r="O148" s="55">
        <v>0</v>
      </c>
      <c r="P148" s="55">
        <v>0</v>
      </c>
      <c r="Q148" s="56">
        <v>16</v>
      </c>
    </row>
    <row r="149" spans="2:17">
      <c r="B149" s="54">
        <v>40870</v>
      </c>
      <c r="C149" s="55">
        <v>12</v>
      </c>
      <c r="D149" s="55">
        <v>0</v>
      </c>
      <c r="E149" s="55">
        <v>0</v>
      </c>
      <c r="F149" s="55">
        <v>0</v>
      </c>
      <c r="G149" s="55">
        <v>0</v>
      </c>
      <c r="H149" s="55">
        <v>1</v>
      </c>
      <c r="I149" s="63">
        <v>1</v>
      </c>
      <c r="J149" s="55">
        <v>0</v>
      </c>
      <c r="K149" s="55">
        <v>0</v>
      </c>
      <c r="L149" s="55">
        <v>1</v>
      </c>
      <c r="M149" s="55">
        <v>0</v>
      </c>
      <c r="N149" s="55">
        <v>0</v>
      </c>
      <c r="O149" s="55">
        <v>0</v>
      </c>
      <c r="P149" s="55">
        <v>0</v>
      </c>
      <c r="Q149" s="56">
        <v>14</v>
      </c>
    </row>
    <row r="150" spans="2:17">
      <c r="B150" s="54">
        <v>40871</v>
      </c>
      <c r="C150" s="55">
        <v>21</v>
      </c>
      <c r="D150" s="55">
        <v>0</v>
      </c>
      <c r="E150" s="55">
        <v>0</v>
      </c>
      <c r="F150" s="55">
        <v>0</v>
      </c>
      <c r="G150" s="55">
        <v>0</v>
      </c>
      <c r="H150" s="55">
        <v>1</v>
      </c>
      <c r="I150" s="63">
        <v>0</v>
      </c>
      <c r="J150" s="55">
        <v>0</v>
      </c>
      <c r="K150" s="55">
        <v>0</v>
      </c>
      <c r="L150" s="55">
        <v>0</v>
      </c>
      <c r="M150" s="55">
        <v>1</v>
      </c>
      <c r="N150" s="55">
        <v>0</v>
      </c>
      <c r="O150" s="55">
        <v>0</v>
      </c>
      <c r="P150" s="55">
        <v>0</v>
      </c>
      <c r="Q150" s="56">
        <v>18</v>
      </c>
    </row>
    <row r="151" spans="2:17">
      <c r="B151" s="54">
        <v>40872</v>
      </c>
      <c r="C151" s="55">
        <v>30</v>
      </c>
      <c r="D151" s="55">
        <v>0</v>
      </c>
      <c r="E151" s="55">
        <v>0</v>
      </c>
      <c r="F151" s="55">
        <v>1</v>
      </c>
      <c r="G151" s="55">
        <v>1</v>
      </c>
      <c r="H151" s="55">
        <v>4</v>
      </c>
      <c r="I151" s="63">
        <v>0</v>
      </c>
      <c r="J151" s="55">
        <v>0</v>
      </c>
      <c r="K151" s="55">
        <v>0</v>
      </c>
      <c r="L151" s="55">
        <v>0</v>
      </c>
      <c r="M151" s="55">
        <v>0</v>
      </c>
      <c r="N151" s="55">
        <v>1</v>
      </c>
      <c r="O151" s="55">
        <v>0</v>
      </c>
      <c r="P151" s="55">
        <v>0</v>
      </c>
      <c r="Q151" s="56">
        <v>22</v>
      </c>
    </row>
    <row r="152" spans="2:17">
      <c r="B152" s="54">
        <v>40873</v>
      </c>
      <c r="C152" s="55">
        <v>31</v>
      </c>
      <c r="D152" s="55">
        <v>0</v>
      </c>
      <c r="E152" s="55">
        <v>0</v>
      </c>
      <c r="F152" s="55">
        <v>2</v>
      </c>
      <c r="G152" s="55">
        <v>1</v>
      </c>
      <c r="H152" s="55">
        <v>6</v>
      </c>
      <c r="I152" s="63">
        <v>0</v>
      </c>
      <c r="J152" s="55">
        <v>0</v>
      </c>
      <c r="K152" s="55">
        <v>0</v>
      </c>
      <c r="L152" s="55">
        <v>0</v>
      </c>
      <c r="M152" s="55">
        <v>0</v>
      </c>
      <c r="N152" s="55">
        <v>0</v>
      </c>
      <c r="O152" s="55">
        <v>1</v>
      </c>
      <c r="P152" s="55">
        <v>0</v>
      </c>
      <c r="Q152" s="56">
        <v>26</v>
      </c>
    </row>
    <row r="153" spans="2:17">
      <c r="B153" s="54">
        <v>40874</v>
      </c>
      <c r="C153" s="55">
        <v>32</v>
      </c>
      <c r="D153" s="55">
        <v>0</v>
      </c>
      <c r="E153" s="55">
        <v>0</v>
      </c>
      <c r="F153" s="55">
        <v>1</v>
      </c>
      <c r="G153" s="55">
        <v>1</v>
      </c>
      <c r="H153" s="55">
        <v>4</v>
      </c>
      <c r="I153" s="63">
        <v>0</v>
      </c>
      <c r="J153" s="55">
        <v>0</v>
      </c>
      <c r="K153" s="55">
        <v>0</v>
      </c>
      <c r="L153" s="55">
        <v>0</v>
      </c>
      <c r="M153" s="55">
        <v>0</v>
      </c>
      <c r="N153" s="55">
        <v>0</v>
      </c>
      <c r="O153" s="55">
        <v>0</v>
      </c>
      <c r="P153" s="55">
        <v>0</v>
      </c>
      <c r="Q153" s="56">
        <v>22</v>
      </c>
    </row>
    <row r="154" spans="2:17">
      <c r="B154" s="54">
        <v>40875</v>
      </c>
      <c r="C154" s="55">
        <v>27</v>
      </c>
      <c r="D154" s="55">
        <v>0</v>
      </c>
      <c r="E154" s="55">
        <v>0</v>
      </c>
      <c r="F154" s="55">
        <v>0</v>
      </c>
      <c r="G154" s="55">
        <v>0</v>
      </c>
      <c r="H154" s="55">
        <v>1</v>
      </c>
      <c r="I154" s="63">
        <v>0</v>
      </c>
      <c r="J154" s="55">
        <v>1</v>
      </c>
      <c r="K154" s="55">
        <v>0</v>
      </c>
      <c r="L154" s="55">
        <v>0</v>
      </c>
      <c r="M154" s="55">
        <v>0</v>
      </c>
      <c r="N154" s="55">
        <v>0</v>
      </c>
      <c r="O154" s="55">
        <v>0</v>
      </c>
      <c r="P154" s="55">
        <v>0</v>
      </c>
      <c r="Q154" s="56">
        <v>22</v>
      </c>
    </row>
    <row r="155" spans="2:17">
      <c r="B155" s="54">
        <v>40876</v>
      </c>
      <c r="C155" s="55">
        <v>20</v>
      </c>
      <c r="D155" s="55">
        <v>0</v>
      </c>
      <c r="E155" s="55">
        <v>0</v>
      </c>
      <c r="F155" s="55">
        <v>0</v>
      </c>
      <c r="G155" s="55">
        <v>0</v>
      </c>
      <c r="H155" s="55">
        <v>1</v>
      </c>
      <c r="I155" s="63">
        <v>0</v>
      </c>
      <c r="J155" s="55">
        <v>0</v>
      </c>
      <c r="K155" s="55">
        <v>1</v>
      </c>
      <c r="L155" s="55">
        <v>0</v>
      </c>
      <c r="M155" s="55">
        <v>0</v>
      </c>
      <c r="N155" s="55">
        <v>0</v>
      </c>
      <c r="O155" s="55">
        <v>0</v>
      </c>
      <c r="P155" s="55">
        <v>0</v>
      </c>
      <c r="Q155" s="56">
        <v>21</v>
      </c>
    </row>
    <row r="156" spans="2:17">
      <c r="B156" s="54">
        <v>40877</v>
      </c>
      <c r="C156" s="55">
        <v>20</v>
      </c>
      <c r="D156" s="55">
        <v>0</v>
      </c>
      <c r="E156" s="55">
        <v>0</v>
      </c>
      <c r="F156" s="55">
        <v>1</v>
      </c>
      <c r="G156" s="55">
        <v>1</v>
      </c>
      <c r="H156" s="55">
        <v>4</v>
      </c>
      <c r="I156" s="63">
        <v>0</v>
      </c>
      <c r="J156" s="55">
        <v>0</v>
      </c>
      <c r="K156" s="55">
        <v>0</v>
      </c>
      <c r="L156" s="55">
        <v>1</v>
      </c>
      <c r="M156" s="55">
        <v>0</v>
      </c>
      <c r="N156" s="55">
        <v>0</v>
      </c>
      <c r="O156" s="55">
        <v>0</v>
      </c>
      <c r="P156" s="55">
        <v>0</v>
      </c>
      <c r="Q156" s="56">
        <v>23</v>
      </c>
    </row>
    <row r="157" spans="2:17">
      <c r="B157" s="54">
        <v>40878</v>
      </c>
      <c r="C157" s="55">
        <v>15</v>
      </c>
      <c r="D157" s="55">
        <v>0</v>
      </c>
      <c r="E157" s="55">
        <v>0</v>
      </c>
      <c r="F157" s="55">
        <v>1</v>
      </c>
      <c r="G157" s="55">
        <v>1</v>
      </c>
      <c r="H157" s="55">
        <v>4</v>
      </c>
      <c r="I157" s="63">
        <v>0</v>
      </c>
      <c r="J157" s="55">
        <v>0</v>
      </c>
      <c r="K157" s="55">
        <v>0</v>
      </c>
      <c r="L157" s="55">
        <v>0</v>
      </c>
      <c r="M157" s="55">
        <v>1</v>
      </c>
      <c r="N157" s="55">
        <v>0</v>
      </c>
      <c r="O157" s="55">
        <v>0</v>
      </c>
      <c r="P157" s="55">
        <v>0</v>
      </c>
      <c r="Q157" s="56">
        <v>14</v>
      </c>
    </row>
    <row r="158" spans="2:17">
      <c r="B158" s="54">
        <v>40879</v>
      </c>
      <c r="C158" s="55">
        <v>17</v>
      </c>
      <c r="D158" s="55">
        <v>0</v>
      </c>
      <c r="E158" s="55">
        <v>0</v>
      </c>
      <c r="F158" s="55">
        <v>1</v>
      </c>
      <c r="G158" s="55">
        <v>1</v>
      </c>
      <c r="H158" s="55">
        <v>4</v>
      </c>
      <c r="I158" s="63">
        <v>0</v>
      </c>
      <c r="J158" s="55">
        <v>0</v>
      </c>
      <c r="K158" s="55">
        <v>0</v>
      </c>
      <c r="L158" s="55">
        <v>0</v>
      </c>
      <c r="M158" s="55">
        <v>0</v>
      </c>
      <c r="N158" s="55">
        <v>1</v>
      </c>
      <c r="O158" s="55">
        <v>0</v>
      </c>
      <c r="P158" s="55">
        <v>0</v>
      </c>
      <c r="Q158" s="56">
        <v>18</v>
      </c>
    </row>
    <row r="159" spans="2:17">
      <c r="B159" s="54">
        <v>40880</v>
      </c>
      <c r="C159" s="55">
        <v>32</v>
      </c>
      <c r="D159" s="55">
        <v>0</v>
      </c>
      <c r="E159" s="55">
        <v>0</v>
      </c>
      <c r="F159" s="55">
        <v>2</v>
      </c>
      <c r="G159" s="55">
        <v>1</v>
      </c>
      <c r="H159" s="55">
        <v>6</v>
      </c>
      <c r="I159" s="63">
        <v>0</v>
      </c>
      <c r="J159" s="55">
        <v>0</v>
      </c>
      <c r="K159" s="55">
        <v>0</v>
      </c>
      <c r="L159" s="55">
        <v>0</v>
      </c>
      <c r="M159" s="55">
        <v>0</v>
      </c>
      <c r="N159" s="55">
        <v>0</v>
      </c>
      <c r="O159" s="55">
        <v>1</v>
      </c>
      <c r="P159" s="55">
        <v>0</v>
      </c>
      <c r="Q159" s="56">
        <v>27</v>
      </c>
    </row>
    <row r="160" spans="2:17">
      <c r="B160" s="54">
        <v>40881</v>
      </c>
      <c r="C160" s="55">
        <v>17</v>
      </c>
      <c r="D160" s="55">
        <v>0</v>
      </c>
      <c r="E160" s="55">
        <v>0</v>
      </c>
      <c r="F160" s="55">
        <v>1</v>
      </c>
      <c r="G160" s="55">
        <v>1</v>
      </c>
      <c r="H160" s="55">
        <v>4</v>
      </c>
      <c r="I160" s="63">
        <v>0</v>
      </c>
      <c r="J160" s="55">
        <v>0</v>
      </c>
      <c r="K160" s="55">
        <v>0</v>
      </c>
      <c r="L160" s="55">
        <v>0</v>
      </c>
      <c r="M160" s="55">
        <v>0</v>
      </c>
      <c r="N160" s="55">
        <v>0</v>
      </c>
      <c r="O160" s="55">
        <v>0</v>
      </c>
      <c r="P160" s="55">
        <v>0</v>
      </c>
      <c r="Q160" s="56">
        <v>16</v>
      </c>
    </row>
    <row r="161" spans="2:17">
      <c r="B161" s="54">
        <v>40882</v>
      </c>
      <c r="C161" s="55">
        <v>11</v>
      </c>
      <c r="D161" s="55">
        <v>0</v>
      </c>
      <c r="E161" s="55">
        <v>0</v>
      </c>
      <c r="F161" s="55">
        <v>0</v>
      </c>
      <c r="G161" s="55">
        <v>0</v>
      </c>
      <c r="H161" s="55">
        <v>1</v>
      </c>
      <c r="I161" s="63">
        <v>0</v>
      </c>
      <c r="J161" s="55">
        <v>1</v>
      </c>
      <c r="K161" s="55">
        <v>0</v>
      </c>
      <c r="L161" s="55">
        <v>0</v>
      </c>
      <c r="M161" s="55">
        <v>0</v>
      </c>
      <c r="N161" s="55">
        <v>0</v>
      </c>
      <c r="O161" s="55">
        <v>0</v>
      </c>
      <c r="P161" s="55">
        <v>0</v>
      </c>
      <c r="Q161" s="56">
        <v>17</v>
      </c>
    </row>
    <row r="162" spans="2:17">
      <c r="B162" s="54">
        <v>40883</v>
      </c>
      <c r="C162" s="55">
        <v>12</v>
      </c>
      <c r="D162" s="55">
        <v>0</v>
      </c>
      <c r="E162" s="55">
        <v>0</v>
      </c>
      <c r="F162" s="55">
        <v>0</v>
      </c>
      <c r="G162" s="55">
        <v>0</v>
      </c>
      <c r="H162" s="55">
        <v>1</v>
      </c>
      <c r="I162" s="63">
        <v>0</v>
      </c>
      <c r="J162" s="55">
        <v>0</v>
      </c>
      <c r="K162" s="55">
        <v>1</v>
      </c>
      <c r="L162" s="55">
        <v>0</v>
      </c>
      <c r="M162" s="55">
        <v>0</v>
      </c>
      <c r="N162" s="55">
        <v>0</v>
      </c>
      <c r="O162" s="55">
        <v>0</v>
      </c>
      <c r="P162" s="55">
        <v>0</v>
      </c>
      <c r="Q162" s="56">
        <v>12</v>
      </c>
    </row>
    <row r="163" spans="2:17">
      <c r="B163" s="54">
        <v>40884</v>
      </c>
      <c r="C163" s="55">
        <v>13</v>
      </c>
      <c r="D163" s="55">
        <v>0</v>
      </c>
      <c r="E163" s="55">
        <v>0</v>
      </c>
      <c r="F163" s="55">
        <v>0</v>
      </c>
      <c r="G163" s="55">
        <v>0</v>
      </c>
      <c r="H163" s="55">
        <v>1</v>
      </c>
      <c r="I163" s="63">
        <v>0</v>
      </c>
      <c r="J163" s="55">
        <v>0</v>
      </c>
      <c r="K163" s="55">
        <v>0</v>
      </c>
      <c r="L163" s="55">
        <v>1</v>
      </c>
      <c r="M163" s="55">
        <v>0</v>
      </c>
      <c r="N163" s="55">
        <v>0</v>
      </c>
      <c r="O163" s="55">
        <v>0</v>
      </c>
      <c r="P163" s="55">
        <v>0</v>
      </c>
      <c r="Q163" s="56">
        <v>13</v>
      </c>
    </row>
    <row r="164" spans="2:17">
      <c r="B164" s="54">
        <v>40885</v>
      </c>
      <c r="C164" s="55">
        <v>8</v>
      </c>
      <c r="D164" s="55">
        <v>0</v>
      </c>
      <c r="E164" s="55">
        <v>0</v>
      </c>
      <c r="F164" s="55">
        <v>0</v>
      </c>
      <c r="G164" s="55">
        <v>0</v>
      </c>
      <c r="H164" s="55">
        <v>1</v>
      </c>
      <c r="I164" s="63">
        <v>0</v>
      </c>
      <c r="J164" s="55">
        <v>0</v>
      </c>
      <c r="K164" s="55">
        <v>0</v>
      </c>
      <c r="L164" s="55">
        <v>0</v>
      </c>
      <c r="M164" s="55">
        <v>1</v>
      </c>
      <c r="N164" s="55">
        <v>0</v>
      </c>
      <c r="O164" s="55">
        <v>0</v>
      </c>
      <c r="P164" s="55">
        <v>0</v>
      </c>
      <c r="Q164" s="56">
        <v>12</v>
      </c>
    </row>
    <row r="165" spans="2:17">
      <c r="B165" s="54">
        <v>40886</v>
      </c>
      <c r="C165" s="55">
        <v>14</v>
      </c>
      <c r="D165" s="55">
        <v>0</v>
      </c>
      <c r="E165" s="55">
        <v>0</v>
      </c>
      <c r="F165" s="55">
        <v>0</v>
      </c>
      <c r="G165" s="55">
        <v>0</v>
      </c>
      <c r="H165" s="55">
        <v>1</v>
      </c>
      <c r="I165" s="63">
        <v>0</v>
      </c>
      <c r="J165" s="55">
        <v>0</v>
      </c>
      <c r="K165" s="55">
        <v>0</v>
      </c>
      <c r="L165" s="55">
        <v>0</v>
      </c>
      <c r="M165" s="55">
        <v>0</v>
      </c>
      <c r="N165" s="55">
        <v>1</v>
      </c>
      <c r="O165" s="55">
        <v>0</v>
      </c>
      <c r="P165" s="55">
        <v>0</v>
      </c>
      <c r="Q165" s="56">
        <v>19</v>
      </c>
    </row>
    <row r="166" spans="2:17">
      <c r="B166" s="54">
        <v>40887</v>
      </c>
      <c r="C166" s="55">
        <v>31</v>
      </c>
      <c r="D166" s="55">
        <v>0</v>
      </c>
      <c r="E166" s="55">
        <v>0</v>
      </c>
      <c r="F166" s="55">
        <v>1</v>
      </c>
      <c r="G166" s="55">
        <v>1</v>
      </c>
      <c r="H166" s="55">
        <v>4</v>
      </c>
      <c r="I166" s="63">
        <v>0</v>
      </c>
      <c r="J166" s="55">
        <v>0</v>
      </c>
      <c r="K166" s="55">
        <v>0</v>
      </c>
      <c r="L166" s="55">
        <v>0</v>
      </c>
      <c r="M166" s="55">
        <v>0</v>
      </c>
      <c r="N166" s="55">
        <v>0</v>
      </c>
      <c r="O166" s="55">
        <v>1</v>
      </c>
      <c r="P166" s="55">
        <v>0</v>
      </c>
      <c r="Q166" s="56">
        <v>14</v>
      </c>
    </row>
    <row r="167" spans="2:17">
      <c r="B167" s="54">
        <v>40888</v>
      </c>
      <c r="C167" s="55">
        <v>22</v>
      </c>
      <c r="D167" s="55">
        <v>0</v>
      </c>
      <c r="E167" s="55">
        <v>0</v>
      </c>
      <c r="F167" s="55">
        <v>1</v>
      </c>
      <c r="G167" s="55">
        <v>1</v>
      </c>
      <c r="H167" s="55">
        <v>4</v>
      </c>
      <c r="I167" s="63">
        <v>0</v>
      </c>
      <c r="J167" s="55">
        <v>0</v>
      </c>
      <c r="K167" s="55">
        <v>0</v>
      </c>
      <c r="L167" s="55">
        <v>0</v>
      </c>
      <c r="M167" s="55">
        <v>0</v>
      </c>
      <c r="N167" s="55">
        <v>0</v>
      </c>
      <c r="O167" s="55">
        <v>0</v>
      </c>
      <c r="P167" s="55">
        <v>0</v>
      </c>
      <c r="Q167" s="56">
        <v>23</v>
      </c>
    </row>
    <row r="168" spans="2:17">
      <c r="B168" s="54">
        <v>40889</v>
      </c>
      <c r="C168" s="55">
        <v>19</v>
      </c>
      <c r="D168" s="55">
        <v>0</v>
      </c>
      <c r="E168" s="55">
        <v>0</v>
      </c>
      <c r="F168" s="55">
        <v>0</v>
      </c>
      <c r="G168" s="55">
        <v>0</v>
      </c>
      <c r="H168" s="55">
        <v>1</v>
      </c>
      <c r="I168" s="63">
        <v>0</v>
      </c>
      <c r="J168" s="55">
        <v>1</v>
      </c>
      <c r="K168" s="55">
        <v>0</v>
      </c>
      <c r="L168" s="55">
        <v>0</v>
      </c>
      <c r="M168" s="55">
        <v>0</v>
      </c>
      <c r="N168" s="55">
        <v>0</v>
      </c>
      <c r="O168" s="55">
        <v>0</v>
      </c>
      <c r="P168" s="55">
        <v>0</v>
      </c>
      <c r="Q168" s="56">
        <v>16</v>
      </c>
    </row>
    <row r="169" spans="2:17">
      <c r="B169" s="54">
        <v>40890</v>
      </c>
      <c r="C169" s="55">
        <v>14</v>
      </c>
      <c r="D169" s="55">
        <v>0</v>
      </c>
      <c r="E169" s="55">
        <v>0</v>
      </c>
      <c r="F169" s="55">
        <v>0</v>
      </c>
      <c r="G169" s="55">
        <v>0</v>
      </c>
      <c r="H169" s="55">
        <v>1</v>
      </c>
      <c r="I169" s="63">
        <v>0</v>
      </c>
      <c r="J169" s="55">
        <v>0</v>
      </c>
      <c r="K169" s="55">
        <v>1</v>
      </c>
      <c r="L169" s="55">
        <v>0</v>
      </c>
      <c r="M169" s="55">
        <v>0</v>
      </c>
      <c r="N169" s="55">
        <v>0</v>
      </c>
      <c r="O169" s="55">
        <v>0</v>
      </c>
      <c r="P169" s="55">
        <v>0</v>
      </c>
      <c r="Q169" s="56">
        <v>13</v>
      </c>
    </row>
    <row r="170" spans="2:17">
      <c r="B170" s="54">
        <v>40891</v>
      </c>
      <c r="C170" s="55">
        <v>15</v>
      </c>
      <c r="D170" s="55">
        <v>0</v>
      </c>
      <c r="E170" s="55">
        <v>0</v>
      </c>
      <c r="F170" s="55">
        <v>0</v>
      </c>
      <c r="G170" s="55">
        <v>0</v>
      </c>
      <c r="H170" s="55">
        <v>1</v>
      </c>
      <c r="I170" s="63">
        <v>0</v>
      </c>
      <c r="J170" s="55">
        <v>0</v>
      </c>
      <c r="K170" s="55">
        <v>0</v>
      </c>
      <c r="L170" s="55">
        <v>1</v>
      </c>
      <c r="M170" s="55">
        <v>0</v>
      </c>
      <c r="N170" s="55">
        <v>0</v>
      </c>
      <c r="O170" s="55">
        <v>0</v>
      </c>
      <c r="P170" s="55">
        <v>0</v>
      </c>
      <c r="Q170" s="56">
        <v>21</v>
      </c>
    </row>
    <row r="171" spans="2:17">
      <c r="B171" s="54">
        <v>40892</v>
      </c>
      <c r="C171" s="55">
        <v>17</v>
      </c>
      <c r="D171" s="55">
        <v>0</v>
      </c>
      <c r="E171" s="55">
        <v>0</v>
      </c>
      <c r="F171" s="55">
        <v>0</v>
      </c>
      <c r="G171" s="55">
        <v>0</v>
      </c>
      <c r="H171" s="55">
        <v>1</v>
      </c>
      <c r="I171" s="63">
        <v>0</v>
      </c>
      <c r="J171" s="55">
        <v>0</v>
      </c>
      <c r="K171" s="55">
        <v>0</v>
      </c>
      <c r="L171" s="55">
        <v>0</v>
      </c>
      <c r="M171" s="55">
        <v>1</v>
      </c>
      <c r="N171" s="55">
        <v>0</v>
      </c>
      <c r="O171" s="55">
        <v>0</v>
      </c>
      <c r="P171" s="55">
        <v>0</v>
      </c>
      <c r="Q171" s="56">
        <v>17</v>
      </c>
    </row>
    <row r="172" spans="2:17">
      <c r="B172" s="54">
        <v>40893</v>
      </c>
      <c r="C172" s="55">
        <v>25</v>
      </c>
      <c r="D172" s="55">
        <v>0</v>
      </c>
      <c r="E172" s="55">
        <v>0</v>
      </c>
      <c r="F172" s="55">
        <v>0</v>
      </c>
      <c r="G172" s="55">
        <v>0</v>
      </c>
      <c r="H172" s="55">
        <v>1</v>
      </c>
      <c r="I172" s="63">
        <v>0</v>
      </c>
      <c r="J172" s="55">
        <v>0</v>
      </c>
      <c r="K172" s="55">
        <v>0</v>
      </c>
      <c r="L172" s="55">
        <v>0</v>
      </c>
      <c r="M172" s="55">
        <v>0</v>
      </c>
      <c r="N172" s="55">
        <v>1</v>
      </c>
      <c r="O172" s="55">
        <v>0</v>
      </c>
      <c r="P172" s="55">
        <v>0</v>
      </c>
      <c r="Q172" s="56">
        <v>21</v>
      </c>
    </row>
    <row r="173" spans="2:17">
      <c r="B173" s="54">
        <v>40894</v>
      </c>
      <c r="C173" s="55">
        <v>35</v>
      </c>
      <c r="D173" s="55">
        <v>0</v>
      </c>
      <c r="E173" s="55">
        <v>0</v>
      </c>
      <c r="F173" s="55">
        <v>1</v>
      </c>
      <c r="G173" s="55">
        <v>1</v>
      </c>
      <c r="H173" s="55">
        <v>4</v>
      </c>
      <c r="I173" s="63">
        <v>0</v>
      </c>
      <c r="J173" s="55">
        <v>0</v>
      </c>
      <c r="K173" s="55">
        <v>0</v>
      </c>
      <c r="L173" s="55">
        <v>0</v>
      </c>
      <c r="M173" s="55">
        <v>0</v>
      </c>
      <c r="N173" s="55">
        <v>0</v>
      </c>
      <c r="O173" s="55">
        <v>1</v>
      </c>
      <c r="P173" s="55">
        <v>0</v>
      </c>
      <c r="Q173" s="56">
        <v>23</v>
      </c>
    </row>
    <row r="174" spans="2:17">
      <c r="B174" s="54">
        <v>40895</v>
      </c>
      <c r="C174" s="55">
        <v>30</v>
      </c>
      <c r="D174" s="55">
        <v>0</v>
      </c>
      <c r="E174" s="55">
        <v>0</v>
      </c>
      <c r="F174" s="55">
        <v>1</v>
      </c>
      <c r="G174" s="55">
        <v>1</v>
      </c>
      <c r="H174" s="55">
        <v>4</v>
      </c>
      <c r="I174" s="63">
        <v>0</v>
      </c>
      <c r="J174" s="55">
        <v>0</v>
      </c>
      <c r="K174" s="55">
        <v>0</v>
      </c>
      <c r="L174" s="55">
        <v>0</v>
      </c>
      <c r="M174" s="55">
        <v>0</v>
      </c>
      <c r="N174" s="55">
        <v>0</v>
      </c>
      <c r="O174" s="55">
        <v>0</v>
      </c>
      <c r="P174" s="55">
        <v>0</v>
      </c>
      <c r="Q174" s="56">
        <v>27</v>
      </c>
    </row>
    <row r="175" spans="2:17">
      <c r="B175" s="54">
        <v>40896</v>
      </c>
      <c r="C175" s="55">
        <v>30</v>
      </c>
      <c r="D175" s="55">
        <v>0</v>
      </c>
      <c r="E175" s="55">
        <v>0</v>
      </c>
      <c r="F175" s="55">
        <v>1</v>
      </c>
      <c r="G175" s="55">
        <v>0</v>
      </c>
      <c r="H175" s="55">
        <v>2</v>
      </c>
      <c r="I175" s="63">
        <v>0</v>
      </c>
      <c r="J175" s="55">
        <v>1</v>
      </c>
      <c r="K175" s="55">
        <v>0</v>
      </c>
      <c r="L175" s="55">
        <v>0</v>
      </c>
      <c r="M175" s="55">
        <v>0</v>
      </c>
      <c r="N175" s="55">
        <v>0</v>
      </c>
      <c r="O175" s="55">
        <v>0</v>
      </c>
      <c r="P175" s="55">
        <v>0</v>
      </c>
      <c r="Q175" s="56">
        <v>23</v>
      </c>
    </row>
    <row r="176" spans="2:17">
      <c r="B176" s="54">
        <v>40897</v>
      </c>
      <c r="C176" s="55">
        <v>30</v>
      </c>
      <c r="D176" s="55">
        <v>0</v>
      </c>
      <c r="E176" s="55">
        <v>0</v>
      </c>
      <c r="F176" s="55">
        <v>0</v>
      </c>
      <c r="G176" s="55">
        <v>0</v>
      </c>
      <c r="H176" s="55">
        <v>1</v>
      </c>
      <c r="I176" s="63">
        <v>0</v>
      </c>
      <c r="J176" s="55">
        <v>0</v>
      </c>
      <c r="K176" s="55">
        <v>1</v>
      </c>
      <c r="L176" s="55">
        <v>0</v>
      </c>
      <c r="M176" s="55">
        <v>0</v>
      </c>
      <c r="N176" s="55">
        <v>0</v>
      </c>
      <c r="O176" s="55">
        <v>0</v>
      </c>
      <c r="P176" s="55">
        <v>0</v>
      </c>
      <c r="Q176" s="56">
        <v>22</v>
      </c>
    </row>
    <row r="177" spans="2:17">
      <c r="B177" s="54">
        <v>40898</v>
      </c>
      <c r="C177" s="55">
        <v>28</v>
      </c>
      <c r="D177" s="55">
        <v>0</v>
      </c>
      <c r="E177" s="55">
        <v>0</v>
      </c>
      <c r="F177" s="55">
        <v>0</v>
      </c>
      <c r="G177" s="55">
        <v>0</v>
      </c>
      <c r="H177" s="55">
        <v>1</v>
      </c>
      <c r="I177" s="63">
        <v>0</v>
      </c>
      <c r="J177" s="55">
        <v>0</v>
      </c>
      <c r="K177" s="55">
        <v>0</v>
      </c>
      <c r="L177" s="55">
        <v>1</v>
      </c>
      <c r="M177" s="55">
        <v>0</v>
      </c>
      <c r="N177" s="55">
        <v>0</v>
      </c>
      <c r="O177" s="55">
        <v>0</v>
      </c>
      <c r="P177" s="55">
        <v>0</v>
      </c>
      <c r="Q177" s="56">
        <v>21</v>
      </c>
    </row>
    <row r="178" spans="2:17">
      <c r="B178" s="54">
        <v>40899</v>
      </c>
      <c r="C178" s="55">
        <v>32</v>
      </c>
      <c r="D178" s="55">
        <v>0</v>
      </c>
      <c r="E178" s="55">
        <v>0</v>
      </c>
      <c r="F178" s="55">
        <v>1</v>
      </c>
      <c r="G178" s="55">
        <v>1</v>
      </c>
      <c r="H178" s="55">
        <v>4</v>
      </c>
      <c r="I178" s="63">
        <v>0</v>
      </c>
      <c r="J178" s="55">
        <v>0</v>
      </c>
      <c r="K178" s="55">
        <v>0</v>
      </c>
      <c r="L178" s="55">
        <v>0</v>
      </c>
      <c r="M178" s="55">
        <v>1</v>
      </c>
      <c r="N178" s="55">
        <v>0</v>
      </c>
      <c r="O178" s="55">
        <v>0</v>
      </c>
      <c r="P178" s="55">
        <v>0</v>
      </c>
      <c r="Q178" s="56">
        <v>18</v>
      </c>
    </row>
    <row r="179" spans="2:17">
      <c r="B179" s="54">
        <v>40900</v>
      </c>
      <c r="C179" s="55">
        <v>36</v>
      </c>
      <c r="D179" s="55">
        <v>0</v>
      </c>
      <c r="E179" s="55">
        <v>0</v>
      </c>
      <c r="F179" s="55">
        <v>2</v>
      </c>
      <c r="G179" s="55">
        <v>1</v>
      </c>
      <c r="H179" s="55">
        <v>6</v>
      </c>
      <c r="I179" s="63">
        <v>1</v>
      </c>
      <c r="J179" s="55">
        <v>0</v>
      </c>
      <c r="K179" s="55">
        <v>0</v>
      </c>
      <c r="L179" s="55">
        <v>0</v>
      </c>
      <c r="M179" s="55">
        <v>0</v>
      </c>
      <c r="N179" s="55">
        <v>1</v>
      </c>
      <c r="O179" s="55">
        <v>0</v>
      </c>
      <c r="P179" s="55">
        <v>0</v>
      </c>
      <c r="Q179" s="56">
        <v>29</v>
      </c>
    </row>
    <row r="180" spans="2:17">
      <c r="B180" s="54">
        <v>40901</v>
      </c>
      <c r="C180" s="55">
        <v>30</v>
      </c>
      <c r="D180" s="55">
        <v>0</v>
      </c>
      <c r="E180" s="55">
        <v>0</v>
      </c>
      <c r="F180" s="55">
        <v>2</v>
      </c>
      <c r="G180" s="55">
        <v>2</v>
      </c>
      <c r="H180" s="55">
        <v>9</v>
      </c>
      <c r="I180" s="63">
        <v>0</v>
      </c>
      <c r="J180" s="55">
        <v>0</v>
      </c>
      <c r="K180" s="55">
        <v>0</v>
      </c>
      <c r="L180" s="55">
        <v>0</v>
      </c>
      <c r="M180" s="55">
        <v>0</v>
      </c>
      <c r="N180" s="55">
        <v>0</v>
      </c>
      <c r="O180" s="55">
        <v>1</v>
      </c>
      <c r="P180" s="55">
        <v>0</v>
      </c>
      <c r="Q180" s="56">
        <v>28</v>
      </c>
    </row>
    <row r="181" spans="2:17">
      <c r="B181" s="54">
        <v>40902</v>
      </c>
      <c r="C181" s="55">
        <v>22</v>
      </c>
      <c r="D181" s="55">
        <v>0</v>
      </c>
      <c r="E181" s="55">
        <v>0</v>
      </c>
      <c r="F181" s="55">
        <v>1</v>
      </c>
      <c r="G181" s="55">
        <v>1</v>
      </c>
      <c r="H181" s="55">
        <v>4</v>
      </c>
      <c r="I181" s="63">
        <v>0</v>
      </c>
      <c r="J181" s="55">
        <v>0</v>
      </c>
      <c r="K181" s="55">
        <v>0</v>
      </c>
      <c r="L181" s="55">
        <v>0</v>
      </c>
      <c r="M181" s="55">
        <v>0</v>
      </c>
      <c r="N181" s="55">
        <v>0</v>
      </c>
      <c r="O181" s="55">
        <v>0</v>
      </c>
      <c r="P181" s="55">
        <v>0</v>
      </c>
      <c r="Q181" s="56">
        <v>26</v>
      </c>
    </row>
    <row r="182" spans="2:17">
      <c r="B182" s="54">
        <v>40903</v>
      </c>
      <c r="C182" s="55">
        <v>31</v>
      </c>
      <c r="D182" s="55">
        <v>0</v>
      </c>
      <c r="E182" s="55">
        <v>0</v>
      </c>
      <c r="F182" s="55">
        <v>1</v>
      </c>
      <c r="G182" s="55">
        <v>0</v>
      </c>
      <c r="H182" s="55">
        <v>2</v>
      </c>
      <c r="I182" s="63">
        <v>0</v>
      </c>
      <c r="J182" s="55">
        <v>1</v>
      </c>
      <c r="K182" s="55">
        <v>0</v>
      </c>
      <c r="L182" s="55">
        <v>0</v>
      </c>
      <c r="M182" s="55">
        <v>0</v>
      </c>
      <c r="N182" s="55">
        <v>0</v>
      </c>
      <c r="O182" s="55">
        <v>0</v>
      </c>
      <c r="P182" s="55">
        <v>0</v>
      </c>
      <c r="Q182" s="56">
        <v>26</v>
      </c>
    </row>
    <row r="183" spans="2:17">
      <c r="B183" s="54">
        <v>40904</v>
      </c>
      <c r="C183" s="55">
        <v>30</v>
      </c>
      <c r="D183" s="55">
        <v>0</v>
      </c>
      <c r="E183" s="55">
        <v>0</v>
      </c>
      <c r="F183" s="55">
        <v>1</v>
      </c>
      <c r="G183" s="55">
        <v>0</v>
      </c>
      <c r="H183" s="55">
        <v>2</v>
      </c>
      <c r="I183" s="63">
        <v>0</v>
      </c>
      <c r="J183" s="55">
        <v>0</v>
      </c>
      <c r="K183" s="55">
        <v>1</v>
      </c>
      <c r="L183" s="55">
        <v>0</v>
      </c>
      <c r="M183" s="55">
        <v>0</v>
      </c>
      <c r="N183" s="55">
        <v>0</v>
      </c>
      <c r="O183" s="55">
        <v>0</v>
      </c>
      <c r="P183" s="55">
        <v>0</v>
      </c>
      <c r="Q183" s="56">
        <v>18</v>
      </c>
    </row>
    <row r="184" spans="2:17">
      <c r="B184" s="54">
        <v>40905</v>
      </c>
      <c r="C184" s="55">
        <v>23</v>
      </c>
      <c r="D184" s="55">
        <v>0</v>
      </c>
      <c r="E184" s="55">
        <v>0</v>
      </c>
      <c r="F184" s="55">
        <v>1</v>
      </c>
      <c r="G184" s="55">
        <v>0</v>
      </c>
      <c r="H184" s="55">
        <v>2</v>
      </c>
      <c r="I184" s="63">
        <v>0</v>
      </c>
      <c r="J184" s="55">
        <v>0</v>
      </c>
      <c r="K184" s="55">
        <v>0</v>
      </c>
      <c r="L184" s="55">
        <v>1</v>
      </c>
      <c r="M184" s="55">
        <v>0</v>
      </c>
      <c r="N184" s="55">
        <v>0</v>
      </c>
      <c r="O184" s="55">
        <v>0</v>
      </c>
      <c r="P184" s="55">
        <v>0</v>
      </c>
      <c r="Q184" s="56">
        <v>23</v>
      </c>
    </row>
    <row r="185" spans="2:17">
      <c r="B185" s="54">
        <v>40906</v>
      </c>
      <c r="C185" s="55">
        <v>26</v>
      </c>
      <c r="D185" s="55">
        <v>0</v>
      </c>
      <c r="E185" s="55">
        <v>0</v>
      </c>
      <c r="F185" s="55">
        <v>1</v>
      </c>
      <c r="G185" s="55">
        <v>0</v>
      </c>
      <c r="H185" s="55">
        <v>2</v>
      </c>
      <c r="I185" s="63">
        <v>0</v>
      </c>
      <c r="J185" s="55">
        <v>0</v>
      </c>
      <c r="K185" s="55">
        <v>0</v>
      </c>
      <c r="L185" s="55">
        <v>0</v>
      </c>
      <c r="M185" s="55">
        <v>1</v>
      </c>
      <c r="N185" s="55">
        <v>0</v>
      </c>
      <c r="O185" s="55">
        <v>0</v>
      </c>
      <c r="P185" s="55">
        <v>0</v>
      </c>
      <c r="Q185" s="56">
        <v>15</v>
      </c>
    </row>
    <row r="186" spans="2:17">
      <c r="B186" s="54">
        <v>40907</v>
      </c>
      <c r="C186" s="55">
        <v>15</v>
      </c>
      <c r="D186" s="55">
        <v>0</v>
      </c>
      <c r="E186" s="55">
        <v>0</v>
      </c>
      <c r="F186" s="55">
        <v>1</v>
      </c>
      <c r="G186" s="55">
        <v>3</v>
      </c>
      <c r="H186" s="55">
        <v>8</v>
      </c>
      <c r="I186" s="63">
        <v>0</v>
      </c>
      <c r="J186" s="55">
        <v>0</v>
      </c>
      <c r="K186" s="55">
        <v>0</v>
      </c>
      <c r="L186" s="55">
        <v>0</v>
      </c>
      <c r="M186" s="55">
        <v>0</v>
      </c>
      <c r="N186" s="55">
        <v>1</v>
      </c>
      <c r="O186" s="55">
        <v>0</v>
      </c>
      <c r="P186" s="55">
        <v>0</v>
      </c>
      <c r="Q186" s="56">
        <v>0</v>
      </c>
    </row>
    <row r="187" spans="2:17">
      <c r="B187" s="54">
        <v>40908</v>
      </c>
      <c r="C187" s="55">
        <v>0</v>
      </c>
      <c r="D187" s="55">
        <v>0</v>
      </c>
      <c r="E187" s="55">
        <v>1</v>
      </c>
      <c r="F187" s="55">
        <v>-1</v>
      </c>
      <c r="G187" s="55">
        <v>-1</v>
      </c>
      <c r="H187" s="55">
        <v>0</v>
      </c>
      <c r="I187" s="63">
        <v>0</v>
      </c>
      <c r="J187" s="55">
        <v>0</v>
      </c>
      <c r="K187" s="55">
        <v>0</v>
      </c>
      <c r="L187" s="55">
        <v>0</v>
      </c>
      <c r="M187" s="55">
        <v>0</v>
      </c>
      <c r="N187" s="55">
        <v>0</v>
      </c>
      <c r="O187" s="55">
        <v>1</v>
      </c>
      <c r="P187" s="55">
        <v>0</v>
      </c>
      <c r="Q187" s="56">
        <v>0</v>
      </c>
    </row>
    <row r="188" spans="2:17">
      <c r="B188" s="54">
        <v>40909</v>
      </c>
      <c r="C188" s="55">
        <v>0</v>
      </c>
      <c r="D188" s="55">
        <v>0</v>
      </c>
      <c r="E188" s="55">
        <v>1</v>
      </c>
      <c r="F188" s="55">
        <v>-1</v>
      </c>
      <c r="G188" s="55">
        <v>-1</v>
      </c>
      <c r="H188" s="55">
        <v>0</v>
      </c>
      <c r="I188" s="63">
        <v>0</v>
      </c>
      <c r="J188" s="55">
        <v>0</v>
      </c>
      <c r="K188" s="55">
        <v>0</v>
      </c>
      <c r="L188" s="55">
        <v>0</v>
      </c>
      <c r="M188" s="55">
        <v>0</v>
      </c>
      <c r="N188" s="55">
        <v>0</v>
      </c>
      <c r="O188" s="55">
        <v>0</v>
      </c>
      <c r="P188" s="55">
        <v>0</v>
      </c>
      <c r="Q188" s="56">
        <v>0</v>
      </c>
    </row>
    <row r="189" spans="2:17">
      <c r="B189" s="54">
        <v>40910</v>
      </c>
      <c r="C189" s="55">
        <v>0</v>
      </c>
      <c r="D189" s="55">
        <v>0</v>
      </c>
      <c r="E189" s="55">
        <v>1</v>
      </c>
      <c r="F189" s="55">
        <v>-1</v>
      </c>
      <c r="G189" s="55">
        <v>-1</v>
      </c>
      <c r="H189" s="55">
        <v>0</v>
      </c>
      <c r="I189" s="63">
        <v>0</v>
      </c>
      <c r="J189" s="55">
        <v>1</v>
      </c>
      <c r="K189" s="55">
        <v>0</v>
      </c>
      <c r="L189" s="55">
        <v>0</v>
      </c>
      <c r="M189" s="55">
        <v>0</v>
      </c>
      <c r="N189" s="55">
        <v>0</v>
      </c>
      <c r="O189" s="55">
        <v>0</v>
      </c>
      <c r="P189" s="55">
        <v>0</v>
      </c>
      <c r="Q189" s="56">
        <v>0</v>
      </c>
    </row>
    <row r="190" spans="2:17">
      <c r="B190" s="54">
        <v>40911</v>
      </c>
      <c r="C190" s="55">
        <v>0</v>
      </c>
      <c r="D190" s="55">
        <v>0</v>
      </c>
      <c r="E190" s="55">
        <v>1</v>
      </c>
      <c r="F190" s="55">
        <v>-1</v>
      </c>
      <c r="G190" s="55">
        <v>-1</v>
      </c>
      <c r="H190" s="55">
        <v>0</v>
      </c>
      <c r="I190" s="63">
        <v>0</v>
      </c>
      <c r="J190" s="55">
        <v>0</v>
      </c>
      <c r="K190" s="55">
        <v>1</v>
      </c>
      <c r="L190" s="55">
        <v>0</v>
      </c>
      <c r="M190" s="55">
        <v>0</v>
      </c>
      <c r="N190" s="55">
        <v>0</v>
      </c>
      <c r="O190" s="55">
        <v>0</v>
      </c>
      <c r="P190" s="55">
        <v>0</v>
      </c>
      <c r="Q190" s="56">
        <v>16</v>
      </c>
    </row>
    <row r="191" spans="2:17">
      <c r="B191" s="54">
        <v>40912</v>
      </c>
      <c r="C191" s="55">
        <v>12</v>
      </c>
      <c r="D191" s="55">
        <v>0</v>
      </c>
      <c r="E191" s="55">
        <v>0</v>
      </c>
      <c r="F191" s="55">
        <v>0</v>
      </c>
      <c r="G191" s="55">
        <v>0</v>
      </c>
      <c r="H191" s="55">
        <v>1</v>
      </c>
      <c r="I191" s="63">
        <v>0</v>
      </c>
      <c r="J191" s="55">
        <v>0</v>
      </c>
      <c r="K191" s="55">
        <v>0</v>
      </c>
      <c r="L191" s="55">
        <v>1</v>
      </c>
      <c r="M191" s="55">
        <v>0</v>
      </c>
      <c r="N191" s="55">
        <v>0</v>
      </c>
      <c r="O191" s="55">
        <v>0</v>
      </c>
      <c r="P191" s="55">
        <v>0</v>
      </c>
      <c r="Q191" s="56">
        <v>16</v>
      </c>
    </row>
    <row r="192" spans="2:17">
      <c r="B192" s="54">
        <v>40913</v>
      </c>
      <c r="C192" s="55">
        <v>9</v>
      </c>
      <c r="D192" s="55">
        <v>0</v>
      </c>
      <c r="E192" s="55">
        <v>0</v>
      </c>
      <c r="F192" s="55">
        <v>0</v>
      </c>
      <c r="G192" s="55">
        <v>0</v>
      </c>
      <c r="H192" s="55">
        <v>1</v>
      </c>
      <c r="I192" s="63">
        <v>0</v>
      </c>
      <c r="J192" s="55">
        <v>0</v>
      </c>
      <c r="K192" s="55">
        <v>0</v>
      </c>
      <c r="L192" s="55">
        <v>0</v>
      </c>
      <c r="M192" s="55">
        <v>1</v>
      </c>
      <c r="N192" s="55">
        <v>0</v>
      </c>
      <c r="O192" s="55">
        <v>0</v>
      </c>
      <c r="P192" s="55">
        <v>0</v>
      </c>
      <c r="Q192" s="56">
        <v>13</v>
      </c>
    </row>
    <row r="193" spans="2:17">
      <c r="B193" s="54">
        <v>40914</v>
      </c>
      <c r="C193" s="55">
        <v>8</v>
      </c>
      <c r="D193" s="55">
        <v>0</v>
      </c>
      <c r="E193" s="55">
        <v>0</v>
      </c>
      <c r="F193" s="55">
        <v>0</v>
      </c>
      <c r="G193" s="55">
        <v>0</v>
      </c>
      <c r="H193" s="55">
        <v>1</v>
      </c>
      <c r="I193" s="63">
        <v>0</v>
      </c>
      <c r="J193" s="55">
        <v>0</v>
      </c>
      <c r="K193" s="55">
        <v>0</v>
      </c>
      <c r="L193" s="55">
        <v>0</v>
      </c>
      <c r="M193" s="55">
        <v>0</v>
      </c>
      <c r="N193" s="55">
        <v>1</v>
      </c>
      <c r="O193" s="55">
        <v>0</v>
      </c>
      <c r="P193" s="55">
        <v>0</v>
      </c>
      <c r="Q193" s="56">
        <v>14</v>
      </c>
    </row>
    <row r="194" spans="2:17">
      <c r="B194" s="54">
        <v>40915</v>
      </c>
      <c r="C194" s="55">
        <v>29</v>
      </c>
      <c r="D194" s="55">
        <v>0</v>
      </c>
      <c r="E194" s="55">
        <v>0</v>
      </c>
      <c r="F194" s="55">
        <v>0</v>
      </c>
      <c r="G194" s="55">
        <v>0</v>
      </c>
      <c r="H194" s="55">
        <v>1</v>
      </c>
      <c r="I194" s="63">
        <v>0</v>
      </c>
      <c r="J194" s="55">
        <v>0</v>
      </c>
      <c r="K194" s="55">
        <v>0</v>
      </c>
      <c r="L194" s="55">
        <v>0</v>
      </c>
      <c r="M194" s="55">
        <v>0</v>
      </c>
      <c r="N194" s="55">
        <v>0</v>
      </c>
      <c r="O194" s="55">
        <v>1</v>
      </c>
      <c r="P194" s="55">
        <v>0</v>
      </c>
      <c r="Q194" s="56">
        <v>16</v>
      </c>
    </row>
    <row r="195" spans="2:17">
      <c r="B195" s="54">
        <v>40916</v>
      </c>
      <c r="C195" s="55">
        <v>23</v>
      </c>
      <c r="D195" s="55">
        <v>0</v>
      </c>
      <c r="E195" s="55">
        <v>0</v>
      </c>
      <c r="F195" s="55">
        <v>0</v>
      </c>
      <c r="G195" s="55">
        <v>0</v>
      </c>
      <c r="H195" s="55">
        <v>1</v>
      </c>
      <c r="I195" s="63">
        <v>0</v>
      </c>
      <c r="J195" s="55">
        <v>0</v>
      </c>
      <c r="K195" s="55">
        <v>0</v>
      </c>
      <c r="L195" s="55">
        <v>0</v>
      </c>
      <c r="M195" s="55">
        <v>0</v>
      </c>
      <c r="N195" s="55">
        <v>0</v>
      </c>
      <c r="O195" s="55">
        <v>0</v>
      </c>
      <c r="P195" s="55">
        <v>0</v>
      </c>
      <c r="Q195" s="56">
        <v>16</v>
      </c>
    </row>
    <row r="196" spans="2:17">
      <c r="B196" s="54">
        <v>40917</v>
      </c>
      <c r="C196" s="55">
        <v>9</v>
      </c>
      <c r="D196" s="55">
        <v>0</v>
      </c>
      <c r="E196" s="55">
        <v>0</v>
      </c>
      <c r="F196" s="55">
        <v>0</v>
      </c>
      <c r="G196" s="55">
        <v>0</v>
      </c>
      <c r="H196" s="55">
        <v>1</v>
      </c>
      <c r="I196" s="63">
        <v>1</v>
      </c>
      <c r="J196" s="55">
        <v>1</v>
      </c>
      <c r="K196" s="55">
        <v>0</v>
      </c>
      <c r="L196" s="55">
        <v>0</v>
      </c>
      <c r="M196" s="55">
        <v>0</v>
      </c>
      <c r="N196" s="55">
        <v>0</v>
      </c>
      <c r="O196" s="55">
        <v>0</v>
      </c>
      <c r="P196" s="55">
        <v>0</v>
      </c>
      <c r="Q196" s="56">
        <v>14</v>
      </c>
    </row>
    <row r="197" spans="2:17">
      <c r="B197" s="54">
        <v>40918</v>
      </c>
      <c r="C197" s="55">
        <v>10</v>
      </c>
      <c r="D197" s="55">
        <v>0</v>
      </c>
      <c r="E197" s="55">
        <v>0</v>
      </c>
      <c r="F197" s="55">
        <v>0</v>
      </c>
      <c r="G197" s="55">
        <v>0</v>
      </c>
      <c r="H197" s="55">
        <v>1</v>
      </c>
      <c r="I197" s="63">
        <v>0</v>
      </c>
      <c r="J197" s="55">
        <v>0</v>
      </c>
      <c r="K197" s="55">
        <v>1</v>
      </c>
      <c r="L197" s="55">
        <v>0</v>
      </c>
      <c r="M197" s="55">
        <v>0</v>
      </c>
      <c r="N197" s="55">
        <v>0</v>
      </c>
      <c r="O197" s="55">
        <v>0</v>
      </c>
      <c r="P197" s="55">
        <v>0</v>
      </c>
      <c r="Q197" s="56">
        <v>13</v>
      </c>
    </row>
    <row r="198" spans="2:17">
      <c r="B198" s="54">
        <v>40919</v>
      </c>
      <c r="C198" s="55">
        <v>10</v>
      </c>
      <c r="D198" s="55">
        <v>0</v>
      </c>
      <c r="E198" s="55">
        <v>0</v>
      </c>
      <c r="F198" s="55">
        <v>0</v>
      </c>
      <c r="G198" s="55">
        <v>0</v>
      </c>
      <c r="H198" s="55">
        <v>1</v>
      </c>
      <c r="I198" s="63">
        <v>0</v>
      </c>
      <c r="J198" s="55">
        <v>0</v>
      </c>
      <c r="K198" s="55">
        <v>0</v>
      </c>
      <c r="L198" s="55">
        <v>1</v>
      </c>
      <c r="M198" s="55">
        <v>0</v>
      </c>
      <c r="N198" s="55">
        <v>0</v>
      </c>
      <c r="O198" s="55">
        <v>0</v>
      </c>
      <c r="P198" s="55">
        <v>0</v>
      </c>
      <c r="Q198" s="56">
        <v>5</v>
      </c>
    </row>
    <row r="199" spans="2:17">
      <c r="B199" s="54">
        <v>40920</v>
      </c>
      <c r="C199" s="55">
        <v>7</v>
      </c>
      <c r="D199" s="55">
        <v>0</v>
      </c>
      <c r="E199" s="55">
        <v>0</v>
      </c>
      <c r="F199" s="55">
        <v>0</v>
      </c>
      <c r="G199" s="55">
        <v>0</v>
      </c>
      <c r="H199" s="55">
        <v>1</v>
      </c>
      <c r="I199" s="63">
        <v>0</v>
      </c>
      <c r="J199" s="55">
        <v>0</v>
      </c>
      <c r="K199" s="55">
        <v>0</v>
      </c>
      <c r="L199" s="55">
        <v>0</v>
      </c>
      <c r="M199" s="55">
        <v>1</v>
      </c>
      <c r="N199" s="55">
        <v>0</v>
      </c>
      <c r="O199" s="55">
        <v>0</v>
      </c>
      <c r="P199" s="55">
        <v>0</v>
      </c>
      <c r="Q199" s="56">
        <v>9</v>
      </c>
    </row>
    <row r="200" spans="2:17">
      <c r="B200" s="54">
        <v>40921</v>
      </c>
      <c r="C200" s="55">
        <v>9</v>
      </c>
      <c r="D200" s="55">
        <v>0</v>
      </c>
      <c r="E200" s="55">
        <v>0</v>
      </c>
      <c r="F200" s="55">
        <v>0</v>
      </c>
      <c r="G200" s="55">
        <v>0</v>
      </c>
      <c r="H200" s="55">
        <v>1</v>
      </c>
      <c r="I200" s="63">
        <v>0</v>
      </c>
      <c r="J200" s="55">
        <v>0</v>
      </c>
      <c r="K200" s="55">
        <v>0</v>
      </c>
      <c r="L200" s="55">
        <v>0</v>
      </c>
      <c r="M200" s="55">
        <v>0</v>
      </c>
      <c r="N200" s="55">
        <v>1</v>
      </c>
      <c r="O200" s="55">
        <v>0</v>
      </c>
      <c r="P200" s="55">
        <v>0</v>
      </c>
      <c r="Q200" s="56">
        <v>14</v>
      </c>
    </row>
    <row r="201" spans="2:17">
      <c r="B201" s="54">
        <v>40922</v>
      </c>
      <c r="C201" s="55">
        <v>24</v>
      </c>
      <c r="D201" s="55">
        <v>0</v>
      </c>
      <c r="E201" s="55">
        <v>0</v>
      </c>
      <c r="F201" s="55">
        <v>0</v>
      </c>
      <c r="G201" s="55">
        <v>1</v>
      </c>
      <c r="H201" s="55">
        <v>2</v>
      </c>
      <c r="I201" s="63">
        <v>0</v>
      </c>
      <c r="J201" s="55">
        <v>0</v>
      </c>
      <c r="K201" s="55">
        <v>0</v>
      </c>
      <c r="L201" s="55">
        <v>0</v>
      </c>
      <c r="M201" s="55">
        <v>0</v>
      </c>
      <c r="N201" s="55">
        <v>0</v>
      </c>
      <c r="O201" s="55">
        <v>1</v>
      </c>
      <c r="P201" s="55">
        <v>0</v>
      </c>
      <c r="Q201" s="56">
        <v>19</v>
      </c>
    </row>
    <row r="202" spans="2:17">
      <c r="B202" s="54">
        <v>40923</v>
      </c>
      <c r="C202" s="55">
        <v>21</v>
      </c>
      <c r="D202" s="55">
        <v>0</v>
      </c>
      <c r="E202" s="55">
        <v>0</v>
      </c>
      <c r="F202" s="55">
        <v>0</v>
      </c>
      <c r="G202" s="55">
        <v>0</v>
      </c>
      <c r="H202" s="55">
        <v>1</v>
      </c>
      <c r="I202" s="63">
        <v>0</v>
      </c>
      <c r="J202" s="55">
        <v>0</v>
      </c>
      <c r="K202" s="55">
        <v>0</v>
      </c>
      <c r="L202" s="55">
        <v>0</v>
      </c>
      <c r="M202" s="55">
        <v>0</v>
      </c>
      <c r="N202" s="55">
        <v>0</v>
      </c>
      <c r="O202" s="55">
        <v>0</v>
      </c>
      <c r="P202" s="55">
        <v>0</v>
      </c>
      <c r="Q202" s="56">
        <v>22</v>
      </c>
    </row>
    <row r="203" spans="2:17">
      <c r="B203" s="54">
        <v>40924</v>
      </c>
      <c r="C203" s="55">
        <v>18</v>
      </c>
      <c r="D203" s="55">
        <v>0</v>
      </c>
      <c r="E203" s="55">
        <v>0</v>
      </c>
      <c r="F203" s="55">
        <v>0</v>
      </c>
      <c r="G203" s="55">
        <v>0</v>
      </c>
      <c r="H203" s="55">
        <v>1</v>
      </c>
      <c r="I203" s="63">
        <v>0</v>
      </c>
      <c r="J203" s="55">
        <v>1</v>
      </c>
      <c r="K203" s="55">
        <v>0</v>
      </c>
      <c r="L203" s="55">
        <v>0</v>
      </c>
      <c r="M203" s="55">
        <v>0</v>
      </c>
      <c r="N203" s="55">
        <v>0</v>
      </c>
      <c r="O203" s="55">
        <v>0</v>
      </c>
      <c r="P203" s="55">
        <v>0</v>
      </c>
      <c r="Q203" s="56">
        <v>12</v>
      </c>
    </row>
    <row r="204" spans="2:17">
      <c r="B204" s="54">
        <v>40925</v>
      </c>
      <c r="C204" s="55">
        <v>18</v>
      </c>
      <c r="D204" s="55">
        <v>0</v>
      </c>
      <c r="E204" s="55">
        <v>0</v>
      </c>
      <c r="F204" s="55">
        <v>0</v>
      </c>
      <c r="G204" s="55">
        <v>0</v>
      </c>
      <c r="H204" s="55">
        <v>1</v>
      </c>
      <c r="I204" s="63">
        <v>0</v>
      </c>
      <c r="J204" s="55">
        <v>0</v>
      </c>
      <c r="K204" s="55">
        <v>1</v>
      </c>
      <c r="L204" s="55">
        <v>0</v>
      </c>
      <c r="M204" s="55">
        <v>0</v>
      </c>
      <c r="N204" s="55">
        <v>0</v>
      </c>
      <c r="O204" s="55">
        <v>0</v>
      </c>
      <c r="P204" s="55">
        <v>0</v>
      </c>
      <c r="Q204" s="56">
        <v>11</v>
      </c>
    </row>
    <row r="205" spans="2:17">
      <c r="B205" s="54">
        <v>40926</v>
      </c>
      <c r="C205" s="55">
        <v>17</v>
      </c>
      <c r="D205" s="55">
        <v>0</v>
      </c>
      <c r="E205" s="55">
        <v>0</v>
      </c>
      <c r="F205" s="55">
        <v>0</v>
      </c>
      <c r="G205" s="55">
        <v>0</v>
      </c>
      <c r="H205" s="55">
        <v>1</v>
      </c>
      <c r="I205" s="63">
        <v>0</v>
      </c>
      <c r="J205" s="55">
        <v>0</v>
      </c>
      <c r="K205" s="55">
        <v>0</v>
      </c>
      <c r="L205" s="55">
        <v>1</v>
      </c>
      <c r="M205" s="55">
        <v>0</v>
      </c>
      <c r="N205" s="55">
        <v>0</v>
      </c>
      <c r="O205" s="55">
        <v>0</v>
      </c>
      <c r="P205" s="55">
        <v>0</v>
      </c>
      <c r="Q205" s="56">
        <v>6</v>
      </c>
    </row>
    <row r="206" spans="2:17">
      <c r="B206" s="54">
        <v>40927</v>
      </c>
      <c r="C206" s="55">
        <v>13</v>
      </c>
      <c r="D206" s="55">
        <v>0</v>
      </c>
      <c r="E206" s="55">
        <v>0</v>
      </c>
      <c r="F206" s="55">
        <v>0</v>
      </c>
      <c r="G206" s="55">
        <v>0</v>
      </c>
      <c r="H206" s="55">
        <v>1</v>
      </c>
      <c r="I206" s="63">
        <v>0</v>
      </c>
      <c r="J206" s="55">
        <v>0</v>
      </c>
      <c r="K206" s="55">
        <v>0</v>
      </c>
      <c r="L206" s="55">
        <v>0</v>
      </c>
      <c r="M206" s="55">
        <v>1</v>
      </c>
      <c r="N206" s="55">
        <v>0</v>
      </c>
      <c r="O206" s="55">
        <v>0</v>
      </c>
      <c r="P206" s="55">
        <v>0</v>
      </c>
      <c r="Q206" s="56">
        <v>7</v>
      </c>
    </row>
    <row r="207" spans="2:17">
      <c r="B207" s="54">
        <v>40928</v>
      </c>
      <c r="C207" s="55">
        <v>18</v>
      </c>
      <c r="D207" s="55">
        <v>0</v>
      </c>
      <c r="E207" s="55">
        <v>0</v>
      </c>
      <c r="F207" s="55">
        <v>0</v>
      </c>
      <c r="G207" s="55">
        <v>0</v>
      </c>
      <c r="H207" s="55">
        <v>1</v>
      </c>
      <c r="I207" s="63">
        <v>0</v>
      </c>
      <c r="J207" s="55">
        <v>0</v>
      </c>
      <c r="K207" s="55">
        <v>0</v>
      </c>
      <c r="L207" s="55">
        <v>0</v>
      </c>
      <c r="M207" s="55">
        <v>0</v>
      </c>
      <c r="N207" s="55">
        <v>1</v>
      </c>
      <c r="O207" s="55">
        <v>0</v>
      </c>
      <c r="P207" s="55">
        <v>0</v>
      </c>
      <c r="Q207" s="56">
        <v>14</v>
      </c>
    </row>
    <row r="208" spans="2:17">
      <c r="B208" s="54">
        <v>40929</v>
      </c>
      <c r="C208" s="55">
        <v>30</v>
      </c>
      <c r="D208" s="55">
        <v>0</v>
      </c>
      <c r="E208" s="55">
        <v>0</v>
      </c>
      <c r="F208" s="55">
        <v>1</v>
      </c>
      <c r="G208" s="55">
        <v>0</v>
      </c>
      <c r="H208" s="55">
        <v>2</v>
      </c>
      <c r="I208" s="63">
        <v>0</v>
      </c>
      <c r="J208" s="55">
        <v>0</v>
      </c>
      <c r="K208" s="55">
        <v>0</v>
      </c>
      <c r="L208" s="55">
        <v>0</v>
      </c>
      <c r="M208" s="55">
        <v>0</v>
      </c>
      <c r="N208" s="55">
        <v>0</v>
      </c>
      <c r="O208" s="55">
        <v>1</v>
      </c>
      <c r="P208" s="55">
        <v>0</v>
      </c>
      <c r="Q208" s="56">
        <v>17</v>
      </c>
    </row>
    <row r="209" spans="2:17">
      <c r="B209" s="54">
        <v>40930</v>
      </c>
      <c r="C209" s="55">
        <v>28</v>
      </c>
      <c r="D209" s="55">
        <v>0</v>
      </c>
      <c r="E209" s="55">
        <v>0</v>
      </c>
      <c r="F209" s="55">
        <v>1</v>
      </c>
      <c r="G209" s="55">
        <v>0</v>
      </c>
      <c r="H209" s="55">
        <v>2</v>
      </c>
      <c r="I209" s="63">
        <v>0</v>
      </c>
      <c r="J209" s="55">
        <v>0</v>
      </c>
      <c r="K209" s="55">
        <v>0</v>
      </c>
      <c r="L209" s="55">
        <v>0</v>
      </c>
      <c r="M209" s="55">
        <v>0</v>
      </c>
      <c r="N209" s="55">
        <v>0</v>
      </c>
      <c r="O209" s="55">
        <v>0</v>
      </c>
      <c r="P209" s="55">
        <v>0</v>
      </c>
      <c r="Q209" s="56">
        <v>18</v>
      </c>
    </row>
    <row r="210" spans="2:17">
      <c r="B210" s="54">
        <v>40931</v>
      </c>
      <c r="C210" s="55">
        <v>18</v>
      </c>
      <c r="D210" s="55">
        <v>0</v>
      </c>
      <c r="E210" s="55">
        <v>0</v>
      </c>
      <c r="F210" s="55">
        <v>0</v>
      </c>
      <c r="G210" s="55">
        <v>0</v>
      </c>
      <c r="H210" s="55">
        <v>1</v>
      </c>
      <c r="I210" s="63">
        <v>0</v>
      </c>
      <c r="J210" s="55">
        <v>1</v>
      </c>
      <c r="K210" s="55">
        <v>0</v>
      </c>
      <c r="L210" s="55">
        <v>0</v>
      </c>
      <c r="M210" s="55">
        <v>0</v>
      </c>
      <c r="N210" s="55">
        <v>0</v>
      </c>
      <c r="O210" s="55">
        <v>0</v>
      </c>
      <c r="P210" s="55">
        <v>0</v>
      </c>
      <c r="Q210" s="56">
        <v>12</v>
      </c>
    </row>
    <row r="211" spans="2:17">
      <c r="B211" s="54">
        <v>40932</v>
      </c>
      <c r="C211" s="55">
        <v>17</v>
      </c>
      <c r="D211" s="55">
        <v>0</v>
      </c>
      <c r="E211" s="55">
        <v>0</v>
      </c>
      <c r="F211" s="55">
        <v>0</v>
      </c>
      <c r="G211" s="55">
        <v>0</v>
      </c>
      <c r="H211" s="55">
        <v>1</v>
      </c>
      <c r="I211" s="63">
        <v>0</v>
      </c>
      <c r="J211" s="55">
        <v>0</v>
      </c>
      <c r="K211" s="55">
        <v>1</v>
      </c>
      <c r="L211" s="55">
        <v>0</v>
      </c>
      <c r="M211" s="55">
        <v>0</v>
      </c>
      <c r="N211" s="55">
        <v>0</v>
      </c>
      <c r="O211" s="55">
        <v>0</v>
      </c>
      <c r="P211" s="55">
        <v>0</v>
      </c>
      <c r="Q211" s="56">
        <v>15</v>
      </c>
    </row>
    <row r="212" spans="2:17">
      <c r="B212" s="54">
        <v>40933</v>
      </c>
      <c r="C212" s="55">
        <v>20</v>
      </c>
      <c r="D212" s="55">
        <v>0</v>
      </c>
      <c r="E212" s="55">
        <v>0</v>
      </c>
      <c r="F212" s="55">
        <v>0</v>
      </c>
      <c r="G212" s="55">
        <v>0</v>
      </c>
      <c r="H212" s="55">
        <v>1</v>
      </c>
      <c r="I212" s="63">
        <v>0</v>
      </c>
      <c r="J212" s="55">
        <v>0</v>
      </c>
      <c r="K212" s="55">
        <v>0</v>
      </c>
      <c r="L212" s="55">
        <v>1</v>
      </c>
      <c r="M212" s="55">
        <v>0</v>
      </c>
      <c r="N212" s="55">
        <v>0</v>
      </c>
      <c r="O212" s="55">
        <v>0</v>
      </c>
      <c r="P212" s="55">
        <v>0</v>
      </c>
      <c r="Q212" s="56">
        <v>13</v>
      </c>
    </row>
    <row r="213" spans="2:17">
      <c r="B213" s="54">
        <v>40934</v>
      </c>
      <c r="C213" s="55">
        <v>16</v>
      </c>
      <c r="D213" s="55">
        <v>0</v>
      </c>
      <c r="E213" s="55">
        <v>0</v>
      </c>
      <c r="F213" s="55">
        <v>0</v>
      </c>
      <c r="G213" s="55">
        <v>0</v>
      </c>
      <c r="H213" s="55">
        <v>1</v>
      </c>
      <c r="I213" s="63">
        <v>0</v>
      </c>
      <c r="J213" s="55">
        <v>0</v>
      </c>
      <c r="K213" s="55">
        <v>0</v>
      </c>
      <c r="L213" s="55">
        <v>0</v>
      </c>
      <c r="M213" s="55">
        <v>1</v>
      </c>
      <c r="N213" s="55">
        <v>0</v>
      </c>
      <c r="O213" s="55">
        <v>0</v>
      </c>
      <c r="P213" s="55">
        <v>0</v>
      </c>
      <c r="Q213" s="56">
        <v>18</v>
      </c>
    </row>
    <row r="214" spans="2:17">
      <c r="B214" s="54">
        <v>40935</v>
      </c>
      <c r="C214" s="55">
        <v>30</v>
      </c>
      <c r="D214" s="55">
        <v>0</v>
      </c>
      <c r="E214" s="55">
        <v>0</v>
      </c>
      <c r="F214" s="55">
        <v>1</v>
      </c>
      <c r="G214" s="55">
        <v>1</v>
      </c>
      <c r="H214" s="55">
        <v>4</v>
      </c>
      <c r="I214" s="63">
        <v>0</v>
      </c>
      <c r="J214" s="55">
        <v>0</v>
      </c>
      <c r="K214" s="55">
        <v>0</v>
      </c>
      <c r="L214" s="55">
        <v>0</v>
      </c>
      <c r="M214" s="55">
        <v>0</v>
      </c>
      <c r="N214" s="55">
        <v>1</v>
      </c>
      <c r="O214" s="55">
        <v>0</v>
      </c>
      <c r="P214" s="55">
        <v>0</v>
      </c>
      <c r="Q214" s="56">
        <v>16</v>
      </c>
    </row>
    <row r="215" spans="2:17">
      <c r="B215" s="54">
        <v>40936</v>
      </c>
      <c r="C215" s="55">
        <v>32</v>
      </c>
      <c r="D215" s="55">
        <v>0</v>
      </c>
      <c r="E215" s="55">
        <v>0</v>
      </c>
      <c r="F215" s="55">
        <v>2</v>
      </c>
      <c r="G215" s="55">
        <v>1</v>
      </c>
      <c r="H215" s="55">
        <v>6</v>
      </c>
      <c r="I215" s="63">
        <v>0</v>
      </c>
      <c r="J215" s="55">
        <v>0</v>
      </c>
      <c r="K215" s="55">
        <v>0</v>
      </c>
      <c r="L215" s="55">
        <v>0</v>
      </c>
      <c r="M215" s="55">
        <v>0</v>
      </c>
      <c r="N215" s="55">
        <v>0</v>
      </c>
      <c r="O215" s="55">
        <v>1</v>
      </c>
      <c r="P215" s="55">
        <v>0</v>
      </c>
      <c r="Q215" s="56">
        <v>23</v>
      </c>
    </row>
    <row r="216" spans="2:17">
      <c r="B216" s="54">
        <v>40937</v>
      </c>
      <c r="C216" s="55">
        <v>26</v>
      </c>
      <c r="D216" s="55">
        <v>0</v>
      </c>
      <c r="E216" s="55">
        <v>0</v>
      </c>
      <c r="F216" s="55">
        <v>2</v>
      </c>
      <c r="G216" s="55">
        <v>1</v>
      </c>
      <c r="H216" s="55">
        <v>6</v>
      </c>
      <c r="I216" s="63">
        <v>0</v>
      </c>
      <c r="J216" s="55">
        <v>0</v>
      </c>
      <c r="K216" s="55">
        <v>0</v>
      </c>
      <c r="L216" s="55">
        <v>0</v>
      </c>
      <c r="M216" s="55">
        <v>0</v>
      </c>
      <c r="N216" s="55">
        <v>0</v>
      </c>
      <c r="O216" s="55">
        <v>0</v>
      </c>
      <c r="P216" s="55">
        <v>0</v>
      </c>
      <c r="Q216" s="56">
        <v>28</v>
      </c>
    </row>
    <row r="217" spans="2:17">
      <c r="B217" s="54">
        <v>40938</v>
      </c>
      <c r="C217" s="55">
        <v>33</v>
      </c>
      <c r="D217" s="55">
        <v>0</v>
      </c>
      <c r="E217" s="55">
        <v>0</v>
      </c>
      <c r="F217" s="55">
        <v>1</v>
      </c>
      <c r="G217" s="55">
        <v>0</v>
      </c>
      <c r="H217" s="55">
        <v>2</v>
      </c>
      <c r="I217" s="63">
        <v>0</v>
      </c>
      <c r="J217" s="55">
        <v>1</v>
      </c>
      <c r="K217" s="55">
        <v>0</v>
      </c>
      <c r="L217" s="55">
        <v>0</v>
      </c>
      <c r="M217" s="55">
        <v>0</v>
      </c>
      <c r="N217" s="55">
        <v>0</v>
      </c>
      <c r="O217" s="55">
        <v>0</v>
      </c>
      <c r="P217" s="55">
        <v>0</v>
      </c>
      <c r="Q217" s="56">
        <v>23</v>
      </c>
    </row>
    <row r="218" spans="2:17">
      <c r="B218" s="54">
        <v>40939</v>
      </c>
      <c r="C218" s="55">
        <v>29</v>
      </c>
      <c r="D218" s="55">
        <v>0</v>
      </c>
      <c r="E218" s="55">
        <v>0</v>
      </c>
      <c r="F218" s="55">
        <v>1</v>
      </c>
      <c r="G218" s="55">
        <v>1</v>
      </c>
      <c r="H218" s="55">
        <v>4</v>
      </c>
      <c r="I218" s="63">
        <v>0</v>
      </c>
      <c r="J218" s="55">
        <v>0</v>
      </c>
      <c r="K218" s="55">
        <v>1</v>
      </c>
      <c r="L218" s="55">
        <v>0</v>
      </c>
      <c r="M218" s="55">
        <v>0</v>
      </c>
      <c r="N218" s="55">
        <v>0</v>
      </c>
      <c r="O218" s="55">
        <v>0</v>
      </c>
      <c r="P218" s="55">
        <v>0</v>
      </c>
      <c r="Q218" s="56">
        <v>22</v>
      </c>
    </row>
    <row r="219" spans="2:17">
      <c r="B219" s="54">
        <v>40940</v>
      </c>
      <c r="C219" s="55">
        <v>27</v>
      </c>
      <c r="D219" s="55">
        <v>0</v>
      </c>
      <c r="E219" s="55">
        <v>0</v>
      </c>
      <c r="F219" s="55">
        <v>1</v>
      </c>
      <c r="G219" s="55">
        <v>1</v>
      </c>
      <c r="H219" s="55">
        <v>4</v>
      </c>
      <c r="I219" s="63">
        <v>0</v>
      </c>
      <c r="J219" s="55">
        <v>0</v>
      </c>
      <c r="K219" s="55">
        <v>0</v>
      </c>
      <c r="L219" s="55">
        <v>1</v>
      </c>
      <c r="M219" s="55">
        <v>0</v>
      </c>
      <c r="N219" s="55">
        <v>0</v>
      </c>
      <c r="O219" s="55">
        <v>0</v>
      </c>
      <c r="P219" s="55">
        <v>0</v>
      </c>
      <c r="Q219" s="56">
        <v>14</v>
      </c>
    </row>
    <row r="220" spans="2:17">
      <c r="B220" s="54">
        <v>40941</v>
      </c>
      <c r="C220" s="55">
        <v>17</v>
      </c>
      <c r="D220" s="55">
        <v>0</v>
      </c>
      <c r="E220" s="55">
        <v>0</v>
      </c>
      <c r="F220" s="55">
        <v>1</v>
      </c>
      <c r="G220" s="55">
        <v>0</v>
      </c>
      <c r="H220" s="55">
        <v>2</v>
      </c>
      <c r="I220" s="63">
        <v>0</v>
      </c>
      <c r="J220" s="55">
        <v>0</v>
      </c>
      <c r="K220" s="55">
        <v>0</v>
      </c>
      <c r="L220" s="55">
        <v>0</v>
      </c>
      <c r="M220" s="55">
        <v>1</v>
      </c>
      <c r="N220" s="55">
        <v>0</v>
      </c>
      <c r="O220" s="55">
        <v>0</v>
      </c>
      <c r="P220" s="55">
        <v>0</v>
      </c>
      <c r="Q220" s="56">
        <v>12</v>
      </c>
    </row>
    <row r="221" spans="2:17">
      <c r="B221" s="54">
        <v>40942</v>
      </c>
      <c r="C221" s="55">
        <v>19</v>
      </c>
      <c r="D221" s="55">
        <v>0</v>
      </c>
      <c r="E221" s="55">
        <v>0</v>
      </c>
      <c r="F221" s="55">
        <v>0</v>
      </c>
      <c r="G221" s="55">
        <v>0</v>
      </c>
      <c r="H221" s="55">
        <v>1</v>
      </c>
      <c r="I221" s="63">
        <v>0</v>
      </c>
      <c r="J221" s="55">
        <v>0</v>
      </c>
      <c r="K221" s="55">
        <v>0</v>
      </c>
      <c r="L221" s="55">
        <v>0</v>
      </c>
      <c r="M221" s="55">
        <v>0</v>
      </c>
      <c r="N221" s="55">
        <v>1</v>
      </c>
      <c r="O221" s="55">
        <v>0</v>
      </c>
      <c r="P221" s="55">
        <v>0</v>
      </c>
      <c r="Q221" s="56">
        <v>16</v>
      </c>
    </row>
    <row r="222" spans="2:17">
      <c r="B222" s="54">
        <v>40943</v>
      </c>
      <c r="C222" s="55">
        <v>33</v>
      </c>
      <c r="D222" s="55">
        <v>0</v>
      </c>
      <c r="E222" s="55">
        <v>0</v>
      </c>
      <c r="F222" s="55">
        <v>2</v>
      </c>
      <c r="G222" s="55">
        <v>1</v>
      </c>
      <c r="H222" s="55">
        <v>6</v>
      </c>
      <c r="I222" s="63">
        <v>0</v>
      </c>
      <c r="J222" s="55">
        <v>0</v>
      </c>
      <c r="K222" s="55">
        <v>0</v>
      </c>
      <c r="L222" s="55">
        <v>0</v>
      </c>
      <c r="M222" s="55">
        <v>0</v>
      </c>
      <c r="N222" s="55">
        <v>0</v>
      </c>
      <c r="O222" s="55">
        <v>1</v>
      </c>
      <c r="P222" s="55">
        <v>0</v>
      </c>
      <c r="Q222" s="56">
        <v>24</v>
      </c>
    </row>
    <row r="223" spans="2:17">
      <c r="B223" s="54">
        <v>40944</v>
      </c>
      <c r="C223" s="55">
        <v>19</v>
      </c>
      <c r="D223" s="55">
        <v>0</v>
      </c>
      <c r="E223" s="55">
        <v>0</v>
      </c>
      <c r="F223" s="55">
        <v>1</v>
      </c>
      <c r="G223" s="55">
        <v>1</v>
      </c>
      <c r="H223" s="55">
        <v>4</v>
      </c>
      <c r="I223" s="63">
        <v>0</v>
      </c>
      <c r="J223" s="55">
        <v>0</v>
      </c>
      <c r="K223" s="55">
        <v>0</v>
      </c>
      <c r="L223" s="55">
        <v>0</v>
      </c>
      <c r="M223" s="55">
        <v>0</v>
      </c>
      <c r="N223" s="55">
        <v>0</v>
      </c>
      <c r="O223" s="55">
        <v>0</v>
      </c>
      <c r="P223" s="55">
        <v>0</v>
      </c>
      <c r="Q223" s="56">
        <v>17</v>
      </c>
    </row>
    <row r="224" spans="2:17">
      <c r="B224" s="54">
        <v>40945</v>
      </c>
      <c r="C224" s="55">
        <v>23</v>
      </c>
      <c r="D224" s="55">
        <v>0</v>
      </c>
      <c r="E224" s="55">
        <v>0</v>
      </c>
      <c r="F224" s="55">
        <v>0</v>
      </c>
      <c r="G224" s="55">
        <v>0</v>
      </c>
      <c r="H224" s="55">
        <v>1</v>
      </c>
      <c r="I224" s="63">
        <v>0</v>
      </c>
      <c r="J224" s="55">
        <v>1</v>
      </c>
      <c r="K224" s="55">
        <v>0</v>
      </c>
      <c r="L224" s="55">
        <v>0</v>
      </c>
      <c r="M224" s="55">
        <v>0</v>
      </c>
      <c r="N224" s="55">
        <v>0</v>
      </c>
      <c r="O224" s="55">
        <v>0</v>
      </c>
      <c r="P224" s="55">
        <v>0</v>
      </c>
      <c r="Q224" s="56">
        <v>15</v>
      </c>
    </row>
    <row r="225" spans="2:17">
      <c r="B225" s="54">
        <v>40946</v>
      </c>
      <c r="C225" s="55">
        <v>18</v>
      </c>
      <c r="D225" s="55">
        <v>0</v>
      </c>
      <c r="E225" s="55">
        <v>0</v>
      </c>
      <c r="F225" s="55">
        <v>0</v>
      </c>
      <c r="G225" s="55">
        <v>0</v>
      </c>
      <c r="H225" s="55">
        <v>1</v>
      </c>
      <c r="I225" s="63">
        <v>0</v>
      </c>
      <c r="J225" s="55">
        <v>0</v>
      </c>
      <c r="K225" s="55">
        <v>1</v>
      </c>
      <c r="L225" s="55">
        <v>0</v>
      </c>
      <c r="M225" s="55">
        <v>0</v>
      </c>
      <c r="N225" s="55">
        <v>0</v>
      </c>
      <c r="O225" s="55">
        <v>0</v>
      </c>
      <c r="P225" s="55">
        <v>0</v>
      </c>
      <c r="Q225" s="56">
        <v>7</v>
      </c>
    </row>
    <row r="226" spans="2:17">
      <c r="B226" s="54">
        <v>40947</v>
      </c>
      <c r="C226" s="55">
        <v>22</v>
      </c>
      <c r="D226" s="55">
        <v>0</v>
      </c>
      <c r="E226" s="55">
        <v>0</v>
      </c>
      <c r="F226" s="55">
        <v>0</v>
      </c>
      <c r="G226" s="55">
        <v>0</v>
      </c>
      <c r="H226" s="55">
        <v>1</v>
      </c>
      <c r="I226" s="63">
        <v>0</v>
      </c>
      <c r="J226" s="55">
        <v>0</v>
      </c>
      <c r="K226" s="55">
        <v>0</v>
      </c>
      <c r="L226" s="55">
        <v>1</v>
      </c>
      <c r="M226" s="55">
        <v>0</v>
      </c>
      <c r="N226" s="55">
        <v>0</v>
      </c>
      <c r="O226" s="55">
        <v>0</v>
      </c>
      <c r="P226" s="55">
        <v>0</v>
      </c>
      <c r="Q226" s="56">
        <v>9</v>
      </c>
    </row>
    <row r="227" spans="2:17">
      <c r="B227" s="54">
        <v>40948</v>
      </c>
      <c r="C227" s="55">
        <v>14</v>
      </c>
      <c r="D227" s="55">
        <v>0</v>
      </c>
      <c r="E227" s="55">
        <v>0</v>
      </c>
      <c r="F227" s="55">
        <v>0</v>
      </c>
      <c r="G227" s="55">
        <v>0</v>
      </c>
      <c r="H227" s="55">
        <v>1</v>
      </c>
      <c r="I227" s="63">
        <v>0</v>
      </c>
      <c r="J227" s="55">
        <v>0</v>
      </c>
      <c r="K227" s="55">
        <v>0</v>
      </c>
      <c r="L227" s="55">
        <v>0</v>
      </c>
      <c r="M227" s="55">
        <v>1</v>
      </c>
      <c r="N227" s="55">
        <v>0</v>
      </c>
      <c r="O227" s="55">
        <v>0</v>
      </c>
      <c r="P227" s="55">
        <v>0</v>
      </c>
      <c r="Q227" s="56">
        <v>21</v>
      </c>
    </row>
    <row r="228" spans="2:17">
      <c r="B228" s="54">
        <v>40949</v>
      </c>
      <c r="C228" s="55">
        <v>25</v>
      </c>
      <c r="D228" s="55">
        <v>0</v>
      </c>
      <c r="E228" s="55">
        <v>0</v>
      </c>
      <c r="F228" s="55">
        <v>0</v>
      </c>
      <c r="G228" s="55">
        <v>0</v>
      </c>
      <c r="H228" s="55">
        <v>1</v>
      </c>
      <c r="I228" s="63">
        <v>0</v>
      </c>
      <c r="J228" s="55">
        <v>0</v>
      </c>
      <c r="K228" s="55">
        <v>0</v>
      </c>
      <c r="L228" s="55">
        <v>0</v>
      </c>
      <c r="M228" s="55">
        <v>0</v>
      </c>
      <c r="N228" s="55">
        <v>1</v>
      </c>
      <c r="O228" s="55">
        <v>0</v>
      </c>
      <c r="P228" s="55">
        <v>0</v>
      </c>
      <c r="Q228" s="56">
        <v>29</v>
      </c>
    </row>
    <row r="229" spans="2:17">
      <c r="B229" s="54">
        <v>40950</v>
      </c>
      <c r="C229" s="55">
        <v>36</v>
      </c>
      <c r="D229" s="55">
        <v>0</v>
      </c>
      <c r="E229" s="55">
        <v>0</v>
      </c>
      <c r="F229" s="55">
        <v>1</v>
      </c>
      <c r="G229" s="55">
        <v>1</v>
      </c>
      <c r="H229" s="55">
        <v>4</v>
      </c>
      <c r="I229" s="63">
        <v>1</v>
      </c>
      <c r="J229" s="55">
        <v>0</v>
      </c>
      <c r="K229" s="55">
        <v>0</v>
      </c>
      <c r="L229" s="55">
        <v>0</v>
      </c>
      <c r="M229" s="55">
        <v>0</v>
      </c>
      <c r="N229" s="55">
        <v>0</v>
      </c>
      <c r="O229" s="55">
        <v>1</v>
      </c>
      <c r="P229" s="55">
        <v>0</v>
      </c>
      <c r="Q229" s="56">
        <v>21</v>
      </c>
    </row>
    <row r="230" spans="2:17">
      <c r="B230" s="54">
        <v>40951</v>
      </c>
      <c r="C230" s="55">
        <v>22</v>
      </c>
      <c r="D230" s="55">
        <v>0</v>
      </c>
      <c r="E230" s="55">
        <v>0</v>
      </c>
      <c r="F230" s="55">
        <v>1</v>
      </c>
      <c r="G230" s="55">
        <v>0</v>
      </c>
      <c r="H230" s="55">
        <v>2</v>
      </c>
      <c r="I230" s="63">
        <v>0</v>
      </c>
      <c r="J230" s="55">
        <v>0</v>
      </c>
      <c r="K230" s="55">
        <v>0</v>
      </c>
      <c r="L230" s="55">
        <v>0</v>
      </c>
      <c r="M230" s="55">
        <v>0</v>
      </c>
      <c r="N230" s="55">
        <v>0</v>
      </c>
      <c r="O230" s="55">
        <v>0</v>
      </c>
      <c r="P230" s="55">
        <v>0</v>
      </c>
      <c r="Q230" s="56">
        <v>25</v>
      </c>
    </row>
    <row r="231" spans="2:17">
      <c r="B231" s="54">
        <v>40952</v>
      </c>
      <c r="C231" s="55">
        <v>23</v>
      </c>
      <c r="D231" s="55">
        <v>0</v>
      </c>
      <c r="E231" s="55">
        <v>0</v>
      </c>
      <c r="F231" s="55">
        <v>0</v>
      </c>
      <c r="G231" s="55">
        <v>0</v>
      </c>
      <c r="H231" s="55">
        <v>1</v>
      </c>
      <c r="I231" s="63">
        <v>0</v>
      </c>
      <c r="J231" s="55">
        <v>1</v>
      </c>
      <c r="K231" s="55">
        <v>0</v>
      </c>
      <c r="L231" s="55">
        <v>0</v>
      </c>
      <c r="M231" s="55">
        <v>0</v>
      </c>
      <c r="N231" s="55">
        <v>0</v>
      </c>
      <c r="O231" s="55">
        <v>0</v>
      </c>
      <c r="P231" s="55">
        <v>0</v>
      </c>
      <c r="Q231" s="56">
        <v>8</v>
      </c>
    </row>
    <row r="232" spans="2:17">
      <c r="B232" s="54">
        <v>40953</v>
      </c>
      <c r="C232" s="55">
        <v>18</v>
      </c>
      <c r="D232" s="55">
        <v>0</v>
      </c>
      <c r="E232" s="55">
        <v>0</v>
      </c>
      <c r="F232" s="55">
        <v>0</v>
      </c>
      <c r="G232" s="55">
        <v>0</v>
      </c>
      <c r="H232" s="55">
        <v>1</v>
      </c>
      <c r="I232" s="63">
        <v>0</v>
      </c>
      <c r="J232" s="55">
        <v>0</v>
      </c>
      <c r="K232" s="55">
        <v>1</v>
      </c>
      <c r="L232" s="55">
        <v>0</v>
      </c>
      <c r="M232" s="55">
        <v>0</v>
      </c>
      <c r="N232" s="55">
        <v>0</v>
      </c>
      <c r="O232" s="55">
        <v>0</v>
      </c>
      <c r="P232" s="55">
        <v>0</v>
      </c>
      <c r="Q232" s="56">
        <v>13</v>
      </c>
    </row>
    <row r="233" spans="2:17">
      <c r="B233" s="54">
        <v>40954</v>
      </c>
      <c r="C233" s="55">
        <v>23</v>
      </c>
      <c r="D233" s="55">
        <v>0</v>
      </c>
      <c r="E233" s="55">
        <v>0</v>
      </c>
      <c r="F233" s="55">
        <v>0</v>
      </c>
      <c r="G233" s="55">
        <v>0</v>
      </c>
      <c r="H233" s="55">
        <v>1</v>
      </c>
      <c r="I233" s="63">
        <v>0</v>
      </c>
      <c r="J233" s="55">
        <v>0</v>
      </c>
      <c r="K233" s="55">
        <v>0</v>
      </c>
      <c r="L233" s="55">
        <v>1</v>
      </c>
      <c r="M233" s="55">
        <v>0</v>
      </c>
      <c r="N233" s="55">
        <v>0</v>
      </c>
      <c r="O233" s="55">
        <v>0</v>
      </c>
      <c r="P233" s="55">
        <v>0</v>
      </c>
      <c r="Q233" s="56">
        <v>10</v>
      </c>
    </row>
    <row r="234" spans="2:17">
      <c r="B234" s="54">
        <v>40955</v>
      </c>
      <c r="C234" s="55">
        <v>22</v>
      </c>
      <c r="D234" s="55">
        <v>0</v>
      </c>
      <c r="E234" s="55">
        <v>0</v>
      </c>
      <c r="F234" s="55">
        <v>0</v>
      </c>
      <c r="G234" s="55">
        <v>0</v>
      </c>
      <c r="H234" s="55">
        <v>1</v>
      </c>
      <c r="I234" s="63">
        <v>0</v>
      </c>
      <c r="J234" s="55">
        <v>0</v>
      </c>
      <c r="K234" s="55">
        <v>0</v>
      </c>
      <c r="L234" s="55">
        <v>0</v>
      </c>
      <c r="M234" s="55">
        <v>1</v>
      </c>
      <c r="N234" s="55">
        <v>0</v>
      </c>
      <c r="O234" s="55">
        <v>0</v>
      </c>
      <c r="P234" s="55">
        <v>0</v>
      </c>
      <c r="Q234" s="56">
        <v>17</v>
      </c>
    </row>
    <row r="235" spans="2:17">
      <c r="B235" s="54">
        <v>40956</v>
      </c>
      <c r="C235" s="55">
        <v>25</v>
      </c>
      <c r="D235" s="55">
        <v>0</v>
      </c>
      <c r="E235" s="55">
        <v>0</v>
      </c>
      <c r="F235" s="55">
        <v>0</v>
      </c>
      <c r="G235" s="55">
        <v>0</v>
      </c>
      <c r="H235" s="55">
        <v>1</v>
      </c>
      <c r="I235" s="63">
        <v>0</v>
      </c>
      <c r="J235" s="55">
        <v>0</v>
      </c>
      <c r="K235" s="55">
        <v>0</v>
      </c>
      <c r="L235" s="55">
        <v>0</v>
      </c>
      <c r="M235" s="55">
        <v>0</v>
      </c>
      <c r="N235" s="55">
        <v>1</v>
      </c>
      <c r="O235" s="55">
        <v>0</v>
      </c>
      <c r="P235" s="55">
        <v>0</v>
      </c>
      <c r="Q235" s="56">
        <v>22</v>
      </c>
    </row>
    <row r="236" spans="2:17">
      <c r="B236" s="54">
        <v>40957</v>
      </c>
      <c r="C236" s="55">
        <v>33</v>
      </c>
      <c r="D236" s="55">
        <v>0</v>
      </c>
      <c r="E236" s="55">
        <v>0</v>
      </c>
      <c r="F236" s="55">
        <v>2</v>
      </c>
      <c r="G236" s="55">
        <v>1</v>
      </c>
      <c r="H236" s="55">
        <v>6</v>
      </c>
      <c r="I236" s="63">
        <v>0</v>
      </c>
      <c r="J236" s="55">
        <v>0</v>
      </c>
      <c r="K236" s="55">
        <v>0</v>
      </c>
      <c r="L236" s="55">
        <v>0</v>
      </c>
      <c r="M236" s="55">
        <v>0</v>
      </c>
      <c r="N236" s="55">
        <v>0</v>
      </c>
      <c r="O236" s="55">
        <v>1</v>
      </c>
      <c r="P236" s="55">
        <v>0</v>
      </c>
      <c r="Q236" s="56">
        <v>25</v>
      </c>
    </row>
    <row r="237" spans="2:17">
      <c r="B237" s="54">
        <v>40958</v>
      </c>
      <c r="C237" s="55">
        <v>31</v>
      </c>
      <c r="D237" s="55">
        <v>0</v>
      </c>
      <c r="E237" s="55">
        <v>0</v>
      </c>
      <c r="F237" s="55">
        <v>1</v>
      </c>
      <c r="G237" s="55">
        <v>1</v>
      </c>
      <c r="H237" s="55">
        <v>4</v>
      </c>
      <c r="I237" s="63">
        <v>0</v>
      </c>
      <c r="J237" s="55">
        <v>0</v>
      </c>
      <c r="K237" s="55">
        <v>0</v>
      </c>
      <c r="L237" s="55">
        <v>0</v>
      </c>
      <c r="M237" s="55">
        <v>0</v>
      </c>
      <c r="N237" s="55">
        <v>0</v>
      </c>
      <c r="O237" s="55">
        <v>0</v>
      </c>
      <c r="P237" s="55">
        <v>0</v>
      </c>
      <c r="Q237" s="56">
        <v>24</v>
      </c>
    </row>
    <row r="238" spans="2:17">
      <c r="B238" s="54">
        <v>40959</v>
      </c>
      <c r="C238" s="55">
        <v>26</v>
      </c>
      <c r="D238" s="55">
        <v>0</v>
      </c>
      <c r="E238" s="55">
        <v>0</v>
      </c>
      <c r="F238" s="55">
        <v>1</v>
      </c>
      <c r="G238" s="55">
        <v>0</v>
      </c>
      <c r="H238" s="55">
        <v>2</v>
      </c>
      <c r="I238" s="63">
        <v>0</v>
      </c>
      <c r="J238" s="55">
        <v>1</v>
      </c>
      <c r="K238" s="55">
        <v>0</v>
      </c>
      <c r="L238" s="55">
        <v>0</v>
      </c>
      <c r="M238" s="55">
        <v>0</v>
      </c>
      <c r="N238" s="55">
        <v>0</v>
      </c>
      <c r="O238" s="55">
        <v>0</v>
      </c>
      <c r="P238" s="55">
        <v>0</v>
      </c>
      <c r="Q238" s="56">
        <v>26</v>
      </c>
    </row>
    <row r="239" spans="2:17">
      <c r="B239" s="54">
        <v>40960</v>
      </c>
      <c r="C239" s="55">
        <v>24</v>
      </c>
      <c r="D239" s="55">
        <v>0</v>
      </c>
      <c r="E239" s="55">
        <v>0</v>
      </c>
      <c r="F239" s="55">
        <v>0</v>
      </c>
      <c r="G239" s="55">
        <v>0</v>
      </c>
      <c r="H239" s="55">
        <v>1</v>
      </c>
      <c r="I239" s="63">
        <v>0</v>
      </c>
      <c r="J239" s="55">
        <v>0</v>
      </c>
      <c r="K239" s="55">
        <v>1</v>
      </c>
      <c r="L239" s="55">
        <v>0</v>
      </c>
      <c r="M239" s="55">
        <v>0</v>
      </c>
      <c r="N239" s="55">
        <v>0</v>
      </c>
      <c r="O239" s="55">
        <v>0</v>
      </c>
      <c r="P239" s="55">
        <v>0</v>
      </c>
      <c r="Q239" s="56">
        <v>15</v>
      </c>
    </row>
    <row r="240" spans="2:17">
      <c r="B240" s="54">
        <v>40961</v>
      </c>
      <c r="C240" s="55">
        <v>32</v>
      </c>
      <c r="D240" s="55">
        <v>0</v>
      </c>
      <c r="E240" s="55">
        <v>0</v>
      </c>
      <c r="F240" s="55">
        <v>0</v>
      </c>
      <c r="G240" s="55">
        <v>0</v>
      </c>
      <c r="H240" s="55">
        <v>1</v>
      </c>
      <c r="I240" s="63">
        <v>0</v>
      </c>
      <c r="J240" s="55">
        <v>0</v>
      </c>
      <c r="K240" s="55">
        <v>0</v>
      </c>
      <c r="L240" s="55">
        <v>1</v>
      </c>
      <c r="M240" s="55">
        <v>0</v>
      </c>
      <c r="N240" s="55">
        <v>0</v>
      </c>
      <c r="O240" s="55">
        <v>0</v>
      </c>
      <c r="P240" s="55">
        <v>0</v>
      </c>
      <c r="Q240" s="56">
        <v>21</v>
      </c>
    </row>
    <row r="241" spans="2:17">
      <c r="B241" s="54">
        <v>40962</v>
      </c>
      <c r="C241" s="55">
        <v>29</v>
      </c>
      <c r="D241" s="55">
        <v>0</v>
      </c>
      <c r="E241" s="55">
        <v>0</v>
      </c>
      <c r="F241" s="55">
        <v>1</v>
      </c>
      <c r="G241" s="55">
        <v>0</v>
      </c>
      <c r="H241" s="55">
        <v>2</v>
      </c>
      <c r="I241" s="63">
        <v>0</v>
      </c>
      <c r="J241" s="55">
        <v>0</v>
      </c>
      <c r="K241" s="55">
        <v>0</v>
      </c>
      <c r="L241" s="55">
        <v>0</v>
      </c>
      <c r="M241" s="55">
        <v>1</v>
      </c>
      <c r="N241" s="55">
        <v>0</v>
      </c>
      <c r="O241" s="55">
        <v>0</v>
      </c>
      <c r="P241" s="55">
        <v>0</v>
      </c>
      <c r="Q241" s="56">
        <v>23</v>
      </c>
    </row>
    <row r="242" spans="2:17">
      <c r="B242" s="54">
        <v>40963</v>
      </c>
      <c r="C242" s="55">
        <v>43</v>
      </c>
      <c r="D242" s="55">
        <v>0</v>
      </c>
      <c r="E242" s="55">
        <v>0</v>
      </c>
      <c r="F242" s="55">
        <v>1</v>
      </c>
      <c r="G242" s="55">
        <v>1</v>
      </c>
      <c r="H242" s="55">
        <v>4</v>
      </c>
      <c r="I242" s="63">
        <v>0</v>
      </c>
      <c r="J242" s="55">
        <v>0</v>
      </c>
      <c r="K242" s="55">
        <v>0</v>
      </c>
      <c r="L242" s="55">
        <v>0</v>
      </c>
      <c r="M242" s="55">
        <v>0</v>
      </c>
      <c r="N242" s="55">
        <v>1</v>
      </c>
      <c r="O242" s="55">
        <v>0</v>
      </c>
      <c r="P242" s="55">
        <v>0</v>
      </c>
      <c r="Q242" s="56">
        <v>29</v>
      </c>
    </row>
    <row r="243" spans="2:17">
      <c r="B243" s="54">
        <v>40964</v>
      </c>
      <c r="C243" s="55">
        <v>49</v>
      </c>
      <c r="D243" s="55">
        <v>0</v>
      </c>
      <c r="E243" s="55">
        <v>0</v>
      </c>
      <c r="F243" s="55">
        <v>3</v>
      </c>
      <c r="G243" s="55">
        <v>2</v>
      </c>
      <c r="H243" s="55">
        <v>12</v>
      </c>
      <c r="I243" s="63">
        <v>0</v>
      </c>
      <c r="J243" s="55">
        <v>0</v>
      </c>
      <c r="K243" s="55">
        <v>0</v>
      </c>
      <c r="L243" s="55">
        <v>0</v>
      </c>
      <c r="M243" s="55">
        <v>0</v>
      </c>
      <c r="N243" s="55">
        <v>0</v>
      </c>
      <c r="O243" s="55">
        <v>1</v>
      </c>
      <c r="P243" s="55">
        <v>0</v>
      </c>
      <c r="Q243" s="56">
        <v>32</v>
      </c>
    </row>
    <row r="244" spans="2:17">
      <c r="B244" s="54">
        <v>40965</v>
      </c>
      <c r="C244" s="55">
        <v>47</v>
      </c>
      <c r="D244" s="55">
        <v>0</v>
      </c>
      <c r="E244" s="55">
        <v>0</v>
      </c>
      <c r="F244" s="55">
        <v>2</v>
      </c>
      <c r="G244" s="55">
        <v>1</v>
      </c>
      <c r="H244" s="55">
        <v>6</v>
      </c>
      <c r="I244" s="63">
        <v>0</v>
      </c>
      <c r="J244" s="55">
        <v>0</v>
      </c>
      <c r="K244" s="55">
        <v>0</v>
      </c>
      <c r="L244" s="55">
        <v>0</v>
      </c>
      <c r="M244" s="55">
        <v>0</v>
      </c>
      <c r="N244" s="55">
        <v>0</v>
      </c>
      <c r="O244" s="55">
        <v>0</v>
      </c>
      <c r="P244" s="55">
        <v>0</v>
      </c>
      <c r="Q244" s="56">
        <v>33</v>
      </c>
    </row>
    <row r="245" spans="2:17">
      <c r="B245" s="54">
        <v>40966</v>
      </c>
      <c r="C245" s="55">
        <v>41</v>
      </c>
      <c r="D245" s="55">
        <v>0</v>
      </c>
      <c r="E245" s="55">
        <v>0</v>
      </c>
      <c r="F245" s="55">
        <v>1</v>
      </c>
      <c r="G245" s="55">
        <v>1</v>
      </c>
      <c r="H245" s="55">
        <v>4</v>
      </c>
      <c r="I245" s="63">
        <v>0</v>
      </c>
      <c r="J245" s="55">
        <v>1</v>
      </c>
      <c r="K245" s="55">
        <v>0</v>
      </c>
      <c r="L245" s="55">
        <v>0</v>
      </c>
      <c r="M245" s="55">
        <v>0</v>
      </c>
      <c r="N245" s="55">
        <v>0</v>
      </c>
      <c r="O245" s="55">
        <v>0</v>
      </c>
      <c r="P245" s="55">
        <v>0</v>
      </c>
      <c r="Q245" s="56">
        <v>30</v>
      </c>
    </row>
    <row r="246" spans="2:17">
      <c r="B246" s="54">
        <v>40967</v>
      </c>
      <c r="C246" s="55">
        <v>40</v>
      </c>
      <c r="D246" s="55">
        <v>0</v>
      </c>
      <c r="E246" s="55">
        <v>0</v>
      </c>
      <c r="F246" s="55">
        <v>1</v>
      </c>
      <c r="G246" s="55">
        <v>1</v>
      </c>
      <c r="H246" s="55">
        <v>4</v>
      </c>
      <c r="I246" s="63">
        <v>0</v>
      </c>
      <c r="J246" s="55">
        <v>0</v>
      </c>
      <c r="K246" s="55">
        <v>1</v>
      </c>
      <c r="L246" s="55">
        <v>0</v>
      </c>
      <c r="M246" s="55">
        <v>0</v>
      </c>
      <c r="N246" s="55">
        <v>0</v>
      </c>
      <c r="O246" s="55">
        <v>0</v>
      </c>
      <c r="P246" s="55">
        <v>0</v>
      </c>
      <c r="Q246" s="56">
        <v>28</v>
      </c>
    </row>
    <row r="247" spans="2:17">
      <c r="B247" s="54">
        <v>40968</v>
      </c>
      <c r="C247" s="55">
        <v>39</v>
      </c>
      <c r="D247" s="55">
        <v>0</v>
      </c>
      <c r="E247" s="55">
        <v>0</v>
      </c>
      <c r="F247" s="55">
        <v>2</v>
      </c>
      <c r="G247" s="55">
        <v>1</v>
      </c>
      <c r="H247" s="55">
        <v>6</v>
      </c>
      <c r="I247" s="63">
        <v>0</v>
      </c>
      <c r="J247" s="55">
        <v>0</v>
      </c>
      <c r="K247" s="55">
        <v>0</v>
      </c>
      <c r="L247" s="55">
        <v>1</v>
      </c>
      <c r="M247" s="55">
        <v>0</v>
      </c>
      <c r="N247" s="55">
        <v>0</v>
      </c>
      <c r="O247" s="55">
        <v>0</v>
      </c>
      <c r="P247" s="55">
        <v>0</v>
      </c>
      <c r="Q247" s="56">
        <v>21</v>
      </c>
    </row>
    <row r="248" spans="2:17">
      <c r="B248" s="54">
        <v>40969</v>
      </c>
      <c r="C248" s="55">
        <v>36</v>
      </c>
      <c r="D248" s="55">
        <v>0</v>
      </c>
      <c r="E248" s="55">
        <v>0</v>
      </c>
      <c r="F248" s="55">
        <v>1</v>
      </c>
      <c r="G248" s="55">
        <v>1</v>
      </c>
      <c r="H248" s="55">
        <v>4</v>
      </c>
      <c r="I248" s="63">
        <v>0</v>
      </c>
      <c r="J248" s="55">
        <v>0</v>
      </c>
      <c r="K248" s="55">
        <v>0</v>
      </c>
      <c r="L248" s="55">
        <v>0</v>
      </c>
      <c r="M248" s="55">
        <v>1</v>
      </c>
      <c r="N248" s="55">
        <v>0</v>
      </c>
      <c r="O248" s="55">
        <v>0</v>
      </c>
      <c r="P248" s="55">
        <v>1</v>
      </c>
      <c r="Q248" s="56">
        <v>20</v>
      </c>
    </row>
    <row r="249" spans="2:17">
      <c r="B249" s="54">
        <v>40970</v>
      </c>
      <c r="C249" s="55">
        <v>45</v>
      </c>
      <c r="D249" s="55">
        <v>0</v>
      </c>
      <c r="E249" s="55">
        <v>0</v>
      </c>
      <c r="F249" s="55">
        <v>1</v>
      </c>
      <c r="G249" s="55">
        <v>1</v>
      </c>
      <c r="H249" s="55">
        <v>4</v>
      </c>
      <c r="I249" s="63">
        <v>0</v>
      </c>
      <c r="J249" s="55">
        <v>0</v>
      </c>
      <c r="K249" s="55">
        <v>0</v>
      </c>
      <c r="L249" s="55">
        <v>0</v>
      </c>
      <c r="M249" s="55">
        <v>0</v>
      </c>
      <c r="N249" s="55">
        <v>1</v>
      </c>
      <c r="O249" s="55">
        <v>0</v>
      </c>
      <c r="P249" s="55">
        <v>1</v>
      </c>
      <c r="Q249" s="56">
        <v>12</v>
      </c>
    </row>
    <row r="250" spans="2:17">
      <c r="B250" s="54">
        <v>40971</v>
      </c>
      <c r="C250" s="55">
        <v>37</v>
      </c>
      <c r="D250" s="55">
        <v>0</v>
      </c>
      <c r="E250" s="55">
        <v>0</v>
      </c>
      <c r="F250" s="55">
        <v>2</v>
      </c>
      <c r="G250" s="55">
        <v>1</v>
      </c>
      <c r="H250" s="55">
        <v>6</v>
      </c>
      <c r="I250" s="63">
        <v>0</v>
      </c>
      <c r="J250" s="55">
        <v>0</v>
      </c>
      <c r="K250" s="55">
        <v>0</v>
      </c>
      <c r="L250" s="55">
        <v>0</v>
      </c>
      <c r="M250" s="55">
        <v>0</v>
      </c>
      <c r="N250" s="55">
        <v>0</v>
      </c>
      <c r="O250" s="55">
        <v>1</v>
      </c>
      <c r="P250" s="55">
        <v>1</v>
      </c>
      <c r="Q250" s="56">
        <v>27</v>
      </c>
    </row>
    <row r="251" spans="2:17">
      <c r="B251" s="54">
        <v>40972</v>
      </c>
      <c r="C251" s="55">
        <v>30</v>
      </c>
      <c r="D251" s="55">
        <v>0</v>
      </c>
      <c r="E251" s="55">
        <v>0</v>
      </c>
      <c r="F251" s="55">
        <v>1</v>
      </c>
      <c r="G251" s="55">
        <v>1</v>
      </c>
      <c r="H251" s="55">
        <v>4</v>
      </c>
      <c r="I251" s="63">
        <v>0</v>
      </c>
      <c r="J251" s="55">
        <v>0</v>
      </c>
      <c r="K251" s="55">
        <v>0</v>
      </c>
      <c r="L251" s="55">
        <v>0</v>
      </c>
      <c r="M251" s="55">
        <v>0</v>
      </c>
      <c r="N251" s="55">
        <v>0</v>
      </c>
      <c r="O251" s="55">
        <v>0</v>
      </c>
      <c r="P251" s="55">
        <v>1</v>
      </c>
      <c r="Q251" s="56">
        <v>21</v>
      </c>
    </row>
    <row r="252" spans="2:17">
      <c r="B252" s="54">
        <v>40973</v>
      </c>
      <c r="C252" s="55">
        <v>29</v>
      </c>
      <c r="D252" s="55">
        <v>0</v>
      </c>
      <c r="E252" s="55">
        <v>0</v>
      </c>
      <c r="F252" s="55">
        <v>0</v>
      </c>
      <c r="G252" s="55">
        <v>0</v>
      </c>
      <c r="H252" s="55">
        <v>1</v>
      </c>
      <c r="I252" s="63">
        <v>0</v>
      </c>
      <c r="J252" s="55">
        <v>1</v>
      </c>
      <c r="K252" s="55">
        <v>0</v>
      </c>
      <c r="L252" s="55">
        <v>0</v>
      </c>
      <c r="M252" s="55">
        <v>0</v>
      </c>
      <c r="N252" s="55">
        <v>0</v>
      </c>
      <c r="O252" s="55">
        <v>0</v>
      </c>
      <c r="P252" s="55">
        <v>1</v>
      </c>
      <c r="Q252" s="56">
        <v>22</v>
      </c>
    </row>
    <row r="253" spans="2:17">
      <c r="B253" s="54">
        <v>40974</v>
      </c>
      <c r="C253" s="55">
        <v>30</v>
      </c>
      <c r="D253" s="55">
        <v>0</v>
      </c>
      <c r="E253" s="55">
        <v>0</v>
      </c>
      <c r="F253" s="55">
        <v>0</v>
      </c>
      <c r="G253" s="55">
        <v>0</v>
      </c>
      <c r="H253" s="55">
        <v>1</v>
      </c>
      <c r="I253" s="63">
        <v>0</v>
      </c>
      <c r="J253" s="55">
        <v>0</v>
      </c>
      <c r="K253" s="55">
        <v>1</v>
      </c>
      <c r="L253" s="55">
        <v>0</v>
      </c>
      <c r="M253" s="55">
        <v>0</v>
      </c>
      <c r="N253" s="55">
        <v>0</v>
      </c>
      <c r="O253" s="55">
        <v>0</v>
      </c>
      <c r="P253" s="55">
        <v>1</v>
      </c>
      <c r="Q253" s="56">
        <v>21</v>
      </c>
    </row>
    <row r="254" spans="2:17">
      <c r="B254" s="54">
        <v>40975</v>
      </c>
      <c r="C254" s="55">
        <v>38</v>
      </c>
      <c r="D254" s="55">
        <v>0</v>
      </c>
      <c r="E254" s="55">
        <v>0</v>
      </c>
      <c r="F254" s="55">
        <v>0</v>
      </c>
      <c r="G254" s="55">
        <v>0</v>
      </c>
      <c r="H254" s="55">
        <v>1</v>
      </c>
      <c r="I254" s="63">
        <v>0</v>
      </c>
      <c r="J254" s="55">
        <v>0</v>
      </c>
      <c r="K254" s="55">
        <v>0</v>
      </c>
      <c r="L254" s="55">
        <v>1</v>
      </c>
      <c r="M254" s="55">
        <v>0</v>
      </c>
      <c r="N254" s="55">
        <v>0</v>
      </c>
      <c r="O254" s="55">
        <v>0</v>
      </c>
      <c r="P254" s="55">
        <v>1</v>
      </c>
      <c r="Q254" s="56">
        <v>15</v>
      </c>
    </row>
    <row r="255" spans="2:17">
      <c r="B255" s="54">
        <v>40976</v>
      </c>
      <c r="C255" s="55">
        <v>32</v>
      </c>
      <c r="D255" s="55">
        <v>0</v>
      </c>
      <c r="E255" s="55">
        <v>0</v>
      </c>
      <c r="F255" s="55">
        <v>0</v>
      </c>
      <c r="G255" s="55">
        <v>0</v>
      </c>
      <c r="H255" s="55">
        <v>1</v>
      </c>
      <c r="I255" s="63">
        <v>0</v>
      </c>
      <c r="J255" s="55">
        <v>0</v>
      </c>
      <c r="K255" s="55">
        <v>0</v>
      </c>
      <c r="L255" s="55">
        <v>0</v>
      </c>
      <c r="M255" s="55">
        <v>1</v>
      </c>
      <c r="N255" s="55">
        <v>0</v>
      </c>
      <c r="O255" s="55">
        <v>0</v>
      </c>
      <c r="P255" s="55">
        <v>1</v>
      </c>
      <c r="Q255" s="56">
        <v>21</v>
      </c>
    </row>
    <row r="256" spans="2:17">
      <c r="B256" s="54">
        <v>40977</v>
      </c>
      <c r="C256" s="55">
        <v>33</v>
      </c>
      <c r="D256" s="55">
        <v>0</v>
      </c>
      <c r="E256" s="55">
        <v>0</v>
      </c>
      <c r="F256" s="55">
        <v>0</v>
      </c>
      <c r="G256" s="55">
        <v>0</v>
      </c>
      <c r="H256" s="55">
        <v>1</v>
      </c>
      <c r="I256" s="63">
        <v>0</v>
      </c>
      <c r="J256" s="55">
        <v>0</v>
      </c>
      <c r="K256" s="55">
        <v>0</v>
      </c>
      <c r="L256" s="55">
        <v>0</v>
      </c>
      <c r="M256" s="55">
        <v>0</v>
      </c>
      <c r="N256" s="55">
        <v>1</v>
      </c>
      <c r="O256" s="55">
        <v>0</v>
      </c>
      <c r="P256" s="55">
        <v>1</v>
      </c>
      <c r="Q256" s="56">
        <v>17</v>
      </c>
    </row>
    <row r="257" spans="2:17">
      <c r="B257" s="54">
        <v>40978</v>
      </c>
      <c r="C257" s="55">
        <v>30</v>
      </c>
      <c r="D257" s="55">
        <v>0</v>
      </c>
      <c r="E257" s="55">
        <v>0</v>
      </c>
      <c r="F257" s="55">
        <v>2</v>
      </c>
      <c r="G257" s="55">
        <v>1</v>
      </c>
      <c r="H257" s="55">
        <v>6</v>
      </c>
      <c r="I257" s="63">
        <v>0</v>
      </c>
      <c r="J257" s="55">
        <v>0</v>
      </c>
      <c r="K257" s="55">
        <v>0</v>
      </c>
      <c r="L257" s="55">
        <v>0</v>
      </c>
      <c r="M257" s="55">
        <v>0</v>
      </c>
      <c r="N257" s="55">
        <v>0</v>
      </c>
      <c r="O257" s="55">
        <v>1</v>
      </c>
      <c r="P257" s="55">
        <v>1</v>
      </c>
      <c r="Q257" s="56">
        <v>25</v>
      </c>
    </row>
    <row r="258" spans="2:17">
      <c r="B258" s="54">
        <v>40979</v>
      </c>
      <c r="C258" s="55">
        <v>28</v>
      </c>
      <c r="D258" s="55">
        <v>0</v>
      </c>
      <c r="E258" s="55">
        <v>0</v>
      </c>
      <c r="F258" s="55">
        <v>1</v>
      </c>
      <c r="G258" s="55">
        <v>1</v>
      </c>
      <c r="H258" s="55">
        <v>4</v>
      </c>
      <c r="I258" s="63">
        <v>0</v>
      </c>
      <c r="J258" s="55">
        <v>0</v>
      </c>
      <c r="K258" s="55">
        <v>0</v>
      </c>
      <c r="L258" s="55">
        <v>0</v>
      </c>
      <c r="M258" s="55">
        <v>0</v>
      </c>
      <c r="N258" s="55">
        <v>0</v>
      </c>
      <c r="O258" s="55">
        <v>0</v>
      </c>
      <c r="P258" s="55">
        <v>1</v>
      </c>
      <c r="Q258" s="56">
        <v>17</v>
      </c>
    </row>
    <row r="259" spans="2:17">
      <c r="B259" s="54">
        <v>40980</v>
      </c>
      <c r="C259" s="55">
        <v>31</v>
      </c>
      <c r="D259" s="55">
        <v>0</v>
      </c>
      <c r="E259" s="55">
        <v>0</v>
      </c>
      <c r="F259" s="55">
        <v>0</v>
      </c>
      <c r="G259" s="55">
        <v>0</v>
      </c>
      <c r="H259" s="55">
        <v>1</v>
      </c>
      <c r="I259" s="63">
        <v>0</v>
      </c>
      <c r="J259" s="55">
        <v>1</v>
      </c>
      <c r="K259" s="55">
        <v>0</v>
      </c>
      <c r="L259" s="55">
        <v>0</v>
      </c>
      <c r="M259" s="55">
        <v>0</v>
      </c>
      <c r="N259" s="55">
        <v>0</v>
      </c>
      <c r="O259" s="55">
        <v>0</v>
      </c>
      <c r="P259" s="55">
        <v>1</v>
      </c>
      <c r="Q259" s="56">
        <v>27</v>
      </c>
    </row>
    <row r="260" spans="2:17">
      <c r="B260" s="54">
        <v>40981</v>
      </c>
      <c r="C260" s="55">
        <v>35</v>
      </c>
      <c r="D260" s="55">
        <v>0</v>
      </c>
      <c r="E260" s="55">
        <v>0</v>
      </c>
      <c r="F260" s="55">
        <v>0</v>
      </c>
      <c r="G260" s="55">
        <v>0</v>
      </c>
      <c r="H260" s="55">
        <v>1</v>
      </c>
      <c r="I260" s="63">
        <v>0</v>
      </c>
      <c r="J260" s="55">
        <v>0</v>
      </c>
      <c r="K260" s="55">
        <v>1</v>
      </c>
      <c r="L260" s="55">
        <v>0</v>
      </c>
      <c r="M260" s="55">
        <v>0</v>
      </c>
      <c r="N260" s="55">
        <v>0</v>
      </c>
      <c r="O260" s="55">
        <v>0</v>
      </c>
      <c r="P260" s="55">
        <v>1</v>
      </c>
      <c r="Q260" s="56">
        <v>31</v>
      </c>
    </row>
    <row r="261" spans="2:17">
      <c r="B261" s="54">
        <v>40982</v>
      </c>
      <c r="C261" s="55">
        <v>30</v>
      </c>
      <c r="D261" s="55">
        <v>0</v>
      </c>
      <c r="E261" s="55">
        <v>0</v>
      </c>
      <c r="F261" s="55">
        <v>1</v>
      </c>
      <c r="G261" s="55">
        <v>0</v>
      </c>
      <c r="H261" s="55">
        <v>2</v>
      </c>
      <c r="I261" s="63">
        <v>0</v>
      </c>
      <c r="J261" s="55">
        <v>0</v>
      </c>
      <c r="K261" s="55">
        <v>0</v>
      </c>
      <c r="L261" s="55">
        <v>1</v>
      </c>
      <c r="M261" s="55">
        <v>0</v>
      </c>
      <c r="N261" s="55">
        <v>0</v>
      </c>
      <c r="O261" s="55">
        <v>0</v>
      </c>
      <c r="P261" s="55">
        <v>1</v>
      </c>
      <c r="Q261" s="56">
        <v>34</v>
      </c>
    </row>
    <row r="262" spans="2:17">
      <c r="B262" s="54">
        <v>40983</v>
      </c>
      <c r="C262" s="55">
        <v>36</v>
      </c>
      <c r="D262" s="55">
        <v>0</v>
      </c>
      <c r="E262" s="55">
        <v>0</v>
      </c>
      <c r="F262" s="55">
        <v>1</v>
      </c>
      <c r="G262" s="55">
        <v>1</v>
      </c>
      <c r="H262" s="55">
        <v>4</v>
      </c>
      <c r="I262" s="63">
        <v>0</v>
      </c>
      <c r="J262" s="55">
        <v>0</v>
      </c>
      <c r="K262" s="55">
        <v>0</v>
      </c>
      <c r="L262" s="55">
        <v>0</v>
      </c>
      <c r="M262" s="55">
        <v>1</v>
      </c>
      <c r="N262" s="55">
        <v>0</v>
      </c>
      <c r="O262" s="55">
        <v>0</v>
      </c>
      <c r="P262" s="55">
        <v>1</v>
      </c>
      <c r="Q262" s="56">
        <v>34</v>
      </c>
    </row>
    <row r="263" spans="2:17">
      <c r="B263" s="54">
        <v>40984</v>
      </c>
      <c r="C263" s="55">
        <v>50</v>
      </c>
      <c r="D263" s="55">
        <v>0</v>
      </c>
      <c r="E263" s="55">
        <v>0</v>
      </c>
      <c r="F263" s="55">
        <v>2</v>
      </c>
      <c r="G263" s="55">
        <v>2</v>
      </c>
      <c r="H263" s="55">
        <v>9</v>
      </c>
      <c r="I263" s="63">
        <v>0</v>
      </c>
      <c r="J263" s="55">
        <v>0</v>
      </c>
      <c r="K263" s="55">
        <v>0</v>
      </c>
      <c r="L263" s="55">
        <v>0</v>
      </c>
      <c r="M263" s="55">
        <v>0</v>
      </c>
      <c r="N263" s="55">
        <v>1</v>
      </c>
      <c r="O263" s="55">
        <v>0</v>
      </c>
      <c r="P263" s="55">
        <v>1</v>
      </c>
      <c r="Q263" s="56">
        <v>42</v>
      </c>
    </row>
    <row r="264" spans="2:17">
      <c r="B264" s="54">
        <v>40985</v>
      </c>
      <c r="C264" s="55">
        <v>58</v>
      </c>
      <c r="D264" s="55">
        <v>0</v>
      </c>
      <c r="E264" s="55">
        <v>0</v>
      </c>
      <c r="F264" s="55">
        <v>3</v>
      </c>
      <c r="G264" s="55">
        <v>3</v>
      </c>
      <c r="H264" s="55">
        <v>16</v>
      </c>
      <c r="I264" s="63">
        <v>0</v>
      </c>
      <c r="J264" s="55">
        <v>0</v>
      </c>
      <c r="K264" s="55">
        <v>0</v>
      </c>
      <c r="L264" s="55">
        <v>0</v>
      </c>
      <c r="M264" s="55">
        <v>0</v>
      </c>
      <c r="N264" s="55">
        <v>0</v>
      </c>
      <c r="O264" s="55">
        <v>1</v>
      </c>
      <c r="P264" s="55">
        <v>1</v>
      </c>
      <c r="Q264" s="56">
        <v>40</v>
      </c>
    </row>
    <row r="265" spans="2:17">
      <c r="B265" s="54">
        <v>40986</v>
      </c>
      <c r="C265" s="55">
        <v>45</v>
      </c>
      <c r="D265" s="55">
        <v>0</v>
      </c>
      <c r="E265" s="55">
        <v>0</v>
      </c>
      <c r="F265" s="55">
        <v>3</v>
      </c>
      <c r="G265" s="55">
        <v>2</v>
      </c>
      <c r="H265" s="55">
        <v>12</v>
      </c>
      <c r="I265" s="63">
        <v>0</v>
      </c>
      <c r="J265" s="55">
        <v>0</v>
      </c>
      <c r="K265" s="55">
        <v>0</v>
      </c>
      <c r="L265" s="55">
        <v>0</v>
      </c>
      <c r="M265" s="55">
        <v>0</v>
      </c>
      <c r="N265" s="55">
        <v>0</v>
      </c>
      <c r="O265" s="55">
        <v>0</v>
      </c>
      <c r="P265" s="55">
        <v>1</v>
      </c>
      <c r="Q265" s="56">
        <v>41</v>
      </c>
    </row>
    <row r="266" spans="2:17">
      <c r="B266" s="54">
        <v>40987</v>
      </c>
      <c r="C266" s="55">
        <v>48</v>
      </c>
      <c r="D266" s="55">
        <v>0</v>
      </c>
      <c r="E266" s="55">
        <v>0</v>
      </c>
      <c r="F266" s="55">
        <v>2</v>
      </c>
      <c r="G266" s="55">
        <v>2</v>
      </c>
      <c r="H266" s="55">
        <v>9</v>
      </c>
      <c r="I266" s="63">
        <v>0</v>
      </c>
      <c r="J266" s="55">
        <v>1</v>
      </c>
      <c r="K266" s="55">
        <v>0</v>
      </c>
      <c r="L266" s="55">
        <v>0</v>
      </c>
      <c r="M266" s="55">
        <v>0</v>
      </c>
      <c r="N266" s="55">
        <v>0</v>
      </c>
      <c r="O266" s="55">
        <v>0</v>
      </c>
      <c r="P266" s="55">
        <v>1</v>
      </c>
      <c r="Q266" s="56">
        <v>39</v>
      </c>
    </row>
    <row r="267" spans="2:17">
      <c r="B267" s="54">
        <v>40988</v>
      </c>
      <c r="C267" s="55">
        <v>51</v>
      </c>
      <c r="D267" s="55">
        <v>0</v>
      </c>
      <c r="E267" s="55">
        <v>0</v>
      </c>
      <c r="F267" s="55">
        <v>3</v>
      </c>
      <c r="G267" s="55">
        <v>2</v>
      </c>
      <c r="H267" s="55">
        <v>12</v>
      </c>
      <c r="I267" s="63">
        <v>1</v>
      </c>
      <c r="J267" s="55">
        <v>0</v>
      </c>
      <c r="K267" s="55">
        <v>1</v>
      </c>
      <c r="L267" s="55">
        <v>0</v>
      </c>
      <c r="M267" s="55">
        <v>0</v>
      </c>
      <c r="N267" s="55">
        <v>0</v>
      </c>
      <c r="O267" s="55">
        <v>0</v>
      </c>
      <c r="P267" s="55">
        <v>1</v>
      </c>
      <c r="Q267" s="56">
        <v>39</v>
      </c>
    </row>
    <row r="268" spans="2:17">
      <c r="B268" s="54">
        <v>40989</v>
      </c>
      <c r="C268" s="55">
        <v>60</v>
      </c>
      <c r="D268" s="55">
        <v>0</v>
      </c>
      <c r="E268" s="55">
        <v>0</v>
      </c>
      <c r="F268" s="55">
        <v>2</v>
      </c>
      <c r="G268" s="55">
        <v>2</v>
      </c>
      <c r="H268" s="55">
        <v>9</v>
      </c>
      <c r="I268" s="63">
        <v>0</v>
      </c>
      <c r="J268" s="55">
        <v>0</v>
      </c>
      <c r="K268" s="55">
        <v>0</v>
      </c>
      <c r="L268" s="55">
        <v>1</v>
      </c>
      <c r="M268" s="55">
        <v>0</v>
      </c>
      <c r="N268" s="55">
        <v>0</v>
      </c>
      <c r="O268" s="55">
        <v>0</v>
      </c>
      <c r="P268" s="55">
        <v>1</v>
      </c>
      <c r="Q268" s="56">
        <v>37</v>
      </c>
    </row>
    <row r="269" spans="2:17">
      <c r="B269" s="54">
        <v>40990</v>
      </c>
      <c r="C269" s="55">
        <v>49</v>
      </c>
      <c r="D269" s="55">
        <v>0</v>
      </c>
      <c r="E269" s="55">
        <v>0</v>
      </c>
      <c r="F269" s="55">
        <v>3</v>
      </c>
      <c r="G269" s="55">
        <v>2</v>
      </c>
      <c r="H269" s="55">
        <v>12</v>
      </c>
      <c r="I269" s="63">
        <v>0</v>
      </c>
      <c r="J269" s="55">
        <v>0</v>
      </c>
      <c r="K269" s="55">
        <v>0</v>
      </c>
      <c r="L269" s="55">
        <v>0</v>
      </c>
      <c r="M269" s="55">
        <v>1</v>
      </c>
      <c r="N269" s="55">
        <v>0</v>
      </c>
      <c r="O269" s="55">
        <v>0</v>
      </c>
      <c r="P269" s="55">
        <v>1</v>
      </c>
      <c r="Q269" s="56">
        <v>36</v>
      </c>
    </row>
    <row r="270" spans="2:17">
      <c r="B270" s="54">
        <v>40991</v>
      </c>
      <c r="C270" s="55">
        <v>47</v>
      </c>
      <c r="D270" s="55">
        <v>0</v>
      </c>
      <c r="E270" s="55">
        <v>0</v>
      </c>
      <c r="F270" s="55">
        <v>4</v>
      </c>
      <c r="G270" s="55">
        <v>3</v>
      </c>
      <c r="H270" s="55">
        <v>20</v>
      </c>
      <c r="I270" s="63">
        <v>0</v>
      </c>
      <c r="J270" s="55">
        <v>0</v>
      </c>
      <c r="K270" s="55">
        <v>0</v>
      </c>
      <c r="L270" s="55">
        <v>0</v>
      </c>
      <c r="M270" s="55">
        <v>0</v>
      </c>
      <c r="N270" s="55">
        <v>1</v>
      </c>
      <c r="O270" s="55">
        <v>0</v>
      </c>
      <c r="P270" s="55">
        <v>1</v>
      </c>
      <c r="Q270" s="56">
        <v>35</v>
      </c>
    </row>
    <row r="271" spans="2:17">
      <c r="B271" s="54">
        <v>40992</v>
      </c>
      <c r="C271" s="55">
        <v>55</v>
      </c>
      <c r="D271" s="55">
        <v>0</v>
      </c>
      <c r="E271" s="55">
        <v>0</v>
      </c>
      <c r="F271" s="55">
        <v>5</v>
      </c>
      <c r="G271" s="55">
        <v>4</v>
      </c>
      <c r="H271" s="55">
        <v>30</v>
      </c>
      <c r="I271" s="63">
        <v>0</v>
      </c>
      <c r="J271" s="55">
        <v>0</v>
      </c>
      <c r="K271" s="55">
        <v>0</v>
      </c>
      <c r="L271" s="55">
        <v>0</v>
      </c>
      <c r="M271" s="55">
        <v>0</v>
      </c>
      <c r="N271" s="55">
        <v>0</v>
      </c>
      <c r="O271" s="55">
        <v>1</v>
      </c>
      <c r="P271" s="55">
        <v>1</v>
      </c>
      <c r="Q271" s="56">
        <v>40</v>
      </c>
    </row>
    <row r="272" spans="2:17">
      <c r="B272" s="54">
        <v>40993</v>
      </c>
      <c r="C272" s="55">
        <v>49</v>
      </c>
      <c r="D272" s="55">
        <v>0</v>
      </c>
      <c r="E272" s="55">
        <v>0</v>
      </c>
      <c r="F272" s="55">
        <v>4</v>
      </c>
      <c r="G272" s="55">
        <v>5</v>
      </c>
      <c r="H272" s="55">
        <v>30</v>
      </c>
      <c r="I272" s="63">
        <v>0</v>
      </c>
      <c r="J272" s="55">
        <v>0</v>
      </c>
      <c r="K272" s="55">
        <v>0</v>
      </c>
      <c r="L272" s="55">
        <v>0</v>
      </c>
      <c r="M272" s="55">
        <v>0</v>
      </c>
      <c r="N272" s="55">
        <v>0</v>
      </c>
      <c r="O272" s="55">
        <v>0</v>
      </c>
      <c r="P272" s="55">
        <v>1</v>
      </c>
      <c r="Q272" s="56">
        <v>35</v>
      </c>
    </row>
    <row r="273" spans="2:17">
      <c r="B273" s="54">
        <v>40994</v>
      </c>
      <c r="C273" s="55">
        <v>69</v>
      </c>
      <c r="D273" s="55">
        <v>0</v>
      </c>
      <c r="E273" s="55">
        <v>0</v>
      </c>
      <c r="F273" s="55">
        <v>3</v>
      </c>
      <c r="G273" s="55">
        <v>2</v>
      </c>
      <c r="H273" s="55">
        <v>12</v>
      </c>
      <c r="I273" s="63">
        <v>0</v>
      </c>
      <c r="J273" s="55">
        <v>1</v>
      </c>
      <c r="K273" s="55">
        <v>0</v>
      </c>
      <c r="L273" s="55">
        <v>0</v>
      </c>
      <c r="M273" s="55">
        <v>0</v>
      </c>
      <c r="N273" s="55">
        <v>0</v>
      </c>
      <c r="O273" s="55">
        <v>0</v>
      </c>
      <c r="P273" s="55">
        <v>1</v>
      </c>
      <c r="Q273" s="56">
        <v>49</v>
      </c>
    </row>
    <row r="274" spans="2:17">
      <c r="B274" s="54">
        <v>40995</v>
      </c>
      <c r="C274" s="55">
        <v>88</v>
      </c>
      <c r="D274" s="55">
        <v>0</v>
      </c>
      <c r="E274" s="55">
        <v>0</v>
      </c>
      <c r="F274" s="55">
        <v>3</v>
      </c>
      <c r="G274" s="55">
        <v>2</v>
      </c>
      <c r="H274" s="55">
        <v>12</v>
      </c>
      <c r="I274" s="63">
        <v>0</v>
      </c>
      <c r="J274" s="55">
        <v>0</v>
      </c>
      <c r="K274" s="55">
        <v>1</v>
      </c>
      <c r="L274" s="55">
        <v>0</v>
      </c>
      <c r="M274" s="55">
        <v>0</v>
      </c>
      <c r="N274" s="55">
        <v>0</v>
      </c>
      <c r="O274" s="55">
        <v>0</v>
      </c>
      <c r="P274" s="55">
        <v>1</v>
      </c>
      <c r="Q274" s="56">
        <v>37</v>
      </c>
    </row>
    <row r="275" spans="2:17">
      <c r="B275" s="54">
        <v>40996</v>
      </c>
      <c r="C275" s="55">
        <v>66</v>
      </c>
      <c r="D275" s="55">
        <v>0</v>
      </c>
      <c r="E275" s="55">
        <v>0</v>
      </c>
      <c r="F275" s="55">
        <v>2</v>
      </c>
      <c r="G275" s="55">
        <v>2</v>
      </c>
      <c r="H275" s="55">
        <v>9</v>
      </c>
      <c r="I275" s="63">
        <v>0</v>
      </c>
      <c r="J275" s="55">
        <v>0</v>
      </c>
      <c r="K275" s="55">
        <v>0</v>
      </c>
      <c r="L275" s="55">
        <v>1</v>
      </c>
      <c r="M275" s="55">
        <v>0</v>
      </c>
      <c r="N275" s="55">
        <v>0</v>
      </c>
      <c r="O275" s="55">
        <v>0</v>
      </c>
      <c r="P275" s="55">
        <v>1</v>
      </c>
      <c r="Q275" s="56">
        <v>38</v>
      </c>
    </row>
    <row r="276" spans="2:17">
      <c r="B276" s="54">
        <v>40997</v>
      </c>
      <c r="C276" s="55">
        <v>63</v>
      </c>
      <c r="D276" s="55">
        <v>0</v>
      </c>
      <c r="E276" s="55">
        <v>0</v>
      </c>
      <c r="F276" s="55">
        <v>4</v>
      </c>
      <c r="G276" s="55">
        <v>2</v>
      </c>
      <c r="H276" s="55">
        <v>15</v>
      </c>
      <c r="I276" s="63">
        <v>0</v>
      </c>
      <c r="J276" s="55">
        <v>0</v>
      </c>
      <c r="K276" s="55">
        <v>0</v>
      </c>
      <c r="L276" s="55">
        <v>0</v>
      </c>
      <c r="M276" s="55">
        <v>1</v>
      </c>
      <c r="N276" s="55">
        <v>0</v>
      </c>
      <c r="O276" s="55">
        <v>0</v>
      </c>
      <c r="P276" s="55">
        <v>1</v>
      </c>
      <c r="Q276" s="56">
        <v>34</v>
      </c>
    </row>
    <row r="277" spans="2:17">
      <c r="B277" s="54">
        <v>40998</v>
      </c>
      <c r="C277" s="55">
        <v>69</v>
      </c>
      <c r="D277" s="55">
        <v>0</v>
      </c>
      <c r="E277" s="55">
        <v>0</v>
      </c>
      <c r="F277" s="55">
        <v>4</v>
      </c>
      <c r="G277" s="55">
        <v>4</v>
      </c>
      <c r="H277" s="55">
        <v>25</v>
      </c>
      <c r="I277" s="63">
        <v>0</v>
      </c>
      <c r="J277" s="55">
        <v>0</v>
      </c>
      <c r="K277" s="55">
        <v>0</v>
      </c>
      <c r="L277" s="55">
        <v>0</v>
      </c>
      <c r="M277" s="55">
        <v>0</v>
      </c>
      <c r="N277" s="55">
        <v>1</v>
      </c>
      <c r="O277" s="55">
        <v>0</v>
      </c>
      <c r="P277" s="55">
        <v>1</v>
      </c>
      <c r="Q277" s="56">
        <v>48</v>
      </c>
    </row>
    <row r="278" spans="2:17">
      <c r="B278" s="54">
        <v>40999</v>
      </c>
      <c r="C278" s="55">
        <v>63</v>
      </c>
      <c r="D278" s="55">
        <v>0</v>
      </c>
      <c r="E278" s="55">
        <v>0</v>
      </c>
      <c r="F278" s="55">
        <v>5</v>
      </c>
      <c r="G278" s="55">
        <v>5</v>
      </c>
      <c r="H278" s="55">
        <v>36</v>
      </c>
      <c r="I278" s="63">
        <v>0</v>
      </c>
      <c r="J278" s="55">
        <v>0</v>
      </c>
      <c r="K278" s="55">
        <v>0</v>
      </c>
      <c r="L278" s="55">
        <v>0</v>
      </c>
      <c r="M278" s="55">
        <v>0</v>
      </c>
      <c r="N278" s="55">
        <v>0</v>
      </c>
      <c r="O278" s="55">
        <v>1</v>
      </c>
      <c r="P278" s="55">
        <v>1</v>
      </c>
      <c r="Q278" s="56">
        <v>29</v>
      </c>
    </row>
    <row r="279" spans="2:17">
      <c r="B279" s="54">
        <v>41000</v>
      </c>
      <c r="C279" s="55">
        <v>36</v>
      </c>
      <c r="D279" s="55">
        <v>0</v>
      </c>
      <c r="E279" s="55">
        <v>0</v>
      </c>
      <c r="F279" s="55">
        <v>5</v>
      </c>
      <c r="G279" s="55">
        <v>4</v>
      </c>
      <c r="H279" s="55">
        <v>30</v>
      </c>
      <c r="I279" s="63">
        <v>0</v>
      </c>
      <c r="J279" s="55">
        <v>0</v>
      </c>
      <c r="K279" s="55">
        <v>0</v>
      </c>
      <c r="L279" s="55">
        <v>0</v>
      </c>
      <c r="M279" s="55">
        <v>0</v>
      </c>
      <c r="N279" s="55">
        <v>0</v>
      </c>
      <c r="O279" s="55">
        <v>0</v>
      </c>
      <c r="P279" s="55">
        <v>1</v>
      </c>
      <c r="Q279" s="56">
        <v>28</v>
      </c>
    </row>
    <row r="280" spans="2:17">
      <c r="B280" s="54">
        <v>41001</v>
      </c>
      <c r="C280" s="55">
        <v>45</v>
      </c>
      <c r="D280" s="55">
        <v>0</v>
      </c>
      <c r="E280" s="55">
        <v>0</v>
      </c>
      <c r="F280" s="55">
        <v>2</v>
      </c>
      <c r="G280" s="55">
        <v>3</v>
      </c>
      <c r="H280" s="55">
        <v>12</v>
      </c>
      <c r="I280" s="63">
        <v>0</v>
      </c>
      <c r="J280" s="55">
        <v>1</v>
      </c>
      <c r="K280" s="55">
        <v>0</v>
      </c>
      <c r="L280" s="55">
        <v>0</v>
      </c>
      <c r="M280" s="55">
        <v>0</v>
      </c>
      <c r="N280" s="55">
        <v>0</v>
      </c>
      <c r="O280" s="55">
        <v>0</v>
      </c>
      <c r="P280" s="55">
        <v>1</v>
      </c>
      <c r="Q280" s="56">
        <v>23</v>
      </c>
    </row>
    <row r="281" spans="2:17">
      <c r="B281" s="54">
        <v>41002</v>
      </c>
      <c r="C281" s="55">
        <v>36</v>
      </c>
      <c r="D281" s="55">
        <v>0</v>
      </c>
      <c r="E281" s="55">
        <v>0</v>
      </c>
      <c r="F281" s="55">
        <v>2</v>
      </c>
      <c r="G281" s="55">
        <v>1</v>
      </c>
      <c r="H281" s="55">
        <v>6</v>
      </c>
      <c r="I281" s="63">
        <v>0</v>
      </c>
      <c r="J281" s="55">
        <v>0</v>
      </c>
      <c r="K281" s="55">
        <v>1</v>
      </c>
      <c r="L281" s="55">
        <v>0</v>
      </c>
      <c r="M281" s="55">
        <v>0</v>
      </c>
      <c r="N281" s="55">
        <v>0</v>
      </c>
      <c r="O281" s="55">
        <v>0</v>
      </c>
      <c r="P281" s="55">
        <v>1</v>
      </c>
      <c r="Q281" s="56">
        <v>25</v>
      </c>
    </row>
    <row r="282" spans="2:17">
      <c r="B282" s="54">
        <v>41003</v>
      </c>
      <c r="C282" s="55">
        <v>32</v>
      </c>
      <c r="D282" s="55">
        <v>0</v>
      </c>
      <c r="E282" s="55">
        <v>0</v>
      </c>
      <c r="F282" s="55">
        <v>1</v>
      </c>
      <c r="G282" s="55">
        <v>1</v>
      </c>
      <c r="H282" s="55">
        <v>4</v>
      </c>
      <c r="I282" s="63">
        <v>0</v>
      </c>
      <c r="J282" s="55">
        <v>0</v>
      </c>
      <c r="K282" s="55">
        <v>0</v>
      </c>
      <c r="L282" s="55">
        <v>1</v>
      </c>
      <c r="M282" s="55">
        <v>0</v>
      </c>
      <c r="N282" s="55">
        <v>0</v>
      </c>
      <c r="O282" s="55">
        <v>0</v>
      </c>
      <c r="P282" s="55">
        <v>1</v>
      </c>
      <c r="Q282" s="56">
        <v>31</v>
      </c>
    </row>
    <row r="283" spans="2:17">
      <c r="B283" s="54">
        <v>41004</v>
      </c>
      <c r="C283" s="55">
        <v>43</v>
      </c>
      <c r="D283" s="55">
        <v>0</v>
      </c>
      <c r="E283" s="55">
        <v>0</v>
      </c>
      <c r="F283" s="55">
        <v>1</v>
      </c>
      <c r="G283" s="55">
        <v>0</v>
      </c>
      <c r="H283" s="55">
        <v>2</v>
      </c>
      <c r="I283" s="63">
        <v>0</v>
      </c>
      <c r="J283" s="55">
        <v>0</v>
      </c>
      <c r="K283" s="55">
        <v>0</v>
      </c>
      <c r="L283" s="55">
        <v>0</v>
      </c>
      <c r="M283" s="55">
        <v>1</v>
      </c>
      <c r="N283" s="55">
        <v>0</v>
      </c>
      <c r="O283" s="55">
        <v>0</v>
      </c>
      <c r="P283" s="55">
        <v>1</v>
      </c>
      <c r="Q283" s="56">
        <v>28</v>
      </c>
    </row>
    <row r="284" spans="2:17">
      <c r="B284" s="54">
        <v>41005</v>
      </c>
      <c r="C284" s="55">
        <v>36</v>
      </c>
      <c r="D284" s="55">
        <v>0</v>
      </c>
      <c r="E284" s="55">
        <v>0</v>
      </c>
      <c r="F284" s="55">
        <v>0</v>
      </c>
      <c r="G284" s="55">
        <v>0</v>
      </c>
      <c r="H284" s="55">
        <v>1</v>
      </c>
      <c r="I284" s="63">
        <v>0</v>
      </c>
      <c r="J284" s="55">
        <v>0</v>
      </c>
      <c r="K284" s="55">
        <v>0</v>
      </c>
      <c r="L284" s="55">
        <v>0</v>
      </c>
      <c r="M284" s="55">
        <v>0</v>
      </c>
      <c r="N284" s="55">
        <v>1</v>
      </c>
      <c r="O284" s="55">
        <v>0</v>
      </c>
      <c r="P284" s="55">
        <v>1</v>
      </c>
      <c r="Q284" s="56">
        <v>37</v>
      </c>
    </row>
    <row r="285" spans="2:17">
      <c r="B285" s="54">
        <v>41006</v>
      </c>
      <c r="C285" s="55">
        <v>39</v>
      </c>
      <c r="D285" s="55">
        <v>0</v>
      </c>
      <c r="E285" s="55">
        <v>0</v>
      </c>
      <c r="F285" s="55">
        <v>4</v>
      </c>
      <c r="G285" s="55">
        <v>3</v>
      </c>
      <c r="H285" s="55">
        <v>20</v>
      </c>
      <c r="I285" s="63">
        <v>0</v>
      </c>
      <c r="J285" s="55">
        <v>0</v>
      </c>
      <c r="K285" s="55">
        <v>0</v>
      </c>
      <c r="L285" s="55">
        <v>0</v>
      </c>
      <c r="M285" s="55">
        <v>0</v>
      </c>
      <c r="N285" s="55">
        <v>0</v>
      </c>
      <c r="O285" s="55">
        <v>1</v>
      </c>
      <c r="P285" s="55">
        <v>1</v>
      </c>
      <c r="Q285" s="56">
        <v>39</v>
      </c>
    </row>
    <row r="286" spans="2:17">
      <c r="B286" s="54">
        <v>41007</v>
      </c>
      <c r="C286" s="55">
        <v>33</v>
      </c>
      <c r="D286" s="55">
        <v>0</v>
      </c>
      <c r="E286" s="55">
        <v>0</v>
      </c>
      <c r="F286" s="55">
        <v>2</v>
      </c>
      <c r="G286" s="55">
        <v>2</v>
      </c>
      <c r="H286" s="55">
        <v>9</v>
      </c>
      <c r="I286" s="63">
        <v>0</v>
      </c>
      <c r="J286" s="55">
        <v>0</v>
      </c>
      <c r="K286" s="55">
        <v>0</v>
      </c>
      <c r="L286" s="55">
        <v>0</v>
      </c>
      <c r="M286" s="55">
        <v>0</v>
      </c>
      <c r="N286" s="55">
        <v>0</v>
      </c>
      <c r="O286" s="55">
        <v>0</v>
      </c>
      <c r="P286" s="55">
        <v>1</v>
      </c>
      <c r="Q286" s="56">
        <v>29</v>
      </c>
    </row>
    <row r="287" spans="2:17">
      <c r="B287" s="54">
        <v>41008</v>
      </c>
      <c r="C287" s="55">
        <v>33</v>
      </c>
      <c r="D287" s="55">
        <v>0</v>
      </c>
      <c r="E287" s="55">
        <v>0</v>
      </c>
      <c r="F287" s="55">
        <v>0</v>
      </c>
      <c r="G287" s="55">
        <v>0</v>
      </c>
      <c r="H287" s="55">
        <v>1</v>
      </c>
      <c r="I287" s="63">
        <v>0</v>
      </c>
      <c r="J287" s="55">
        <v>1</v>
      </c>
      <c r="K287" s="55">
        <v>0</v>
      </c>
      <c r="L287" s="55">
        <v>0</v>
      </c>
      <c r="M287" s="55">
        <v>0</v>
      </c>
      <c r="N287" s="55">
        <v>0</v>
      </c>
      <c r="O287" s="55">
        <v>0</v>
      </c>
      <c r="P287" s="55">
        <v>1</v>
      </c>
      <c r="Q287" s="56">
        <v>14</v>
      </c>
    </row>
    <row r="288" spans="2:17">
      <c r="B288" s="54">
        <v>41009</v>
      </c>
      <c r="C288" s="55">
        <v>32</v>
      </c>
      <c r="D288" s="55">
        <v>0</v>
      </c>
      <c r="E288" s="55">
        <v>0</v>
      </c>
      <c r="F288" s="55">
        <v>0</v>
      </c>
      <c r="G288" s="55">
        <v>0</v>
      </c>
      <c r="H288" s="55">
        <v>1</v>
      </c>
      <c r="I288" s="63">
        <v>0</v>
      </c>
      <c r="J288" s="55">
        <v>0</v>
      </c>
      <c r="K288" s="55">
        <v>1</v>
      </c>
      <c r="L288" s="55">
        <v>0</v>
      </c>
      <c r="M288" s="55">
        <v>0</v>
      </c>
      <c r="N288" s="55">
        <v>0</v>
      </c>
      <c r="O288" s="55">
        <v>0</v>
      </c>
      <c r="P288" s="55">
        <v>1</v>
      </c>
      <c r="Q288" s="56">
        <v>13</v>
      </c>
    </row>
    <row r="289" spans="2:17">
      <c r="B289" s="54">
        <v>41010</v>
      </c>
      <c r="C289" s="55">
        <v>20</v>
      </c>
      <c r="D289" s="55">
        <v>0</v>
      </c>
      <c r="E289" s="55">
        <v>0</v>
      </c>
      <c r="F289" s="55">
        <v>0</v>
      </c>
      <c r="G289" s="55">
        <v>0</v>
      </c>
      <c r="H289" s="55">
        <v>1</v>
      </c>
      <c r="I289" s="63">
        <v>0</v>
      </c>
      <c r="J289" s="55">
        <v>0</v>
      </c>
      <c r="K289" s="55">
        <v>0</v>
      </c>
      <c r="L289" s="55">
        <v>1</v>
      </c>
      <c r="M289" s="55">
        <v>0</v>
      </c>
      <c r="N289" s="55">
        <v>0</v>
      </c>
      <c r="O289" s="55">
        <v>0</v>
      </c>
      <c r="P289" s="55">
        <v>1</v>
      </c>
      <c r="Q289" s="56">
        <v>10</v>
      </c>
    </row>
    <row r="290" spans="2:17">
      <c r="B290" s="54">
        <v>41011</v>
      </c>
      <c r="C290" s="55">
        <v>25</v>
      </c>
      <c r="D290" s="55">
        <v>0</v>
      </c>
      <c r="E290" s="55">
        <v>0</v>
      </c>
      <c r="F290" s="55">
        <v>0</v>
      </c>
      <c r="G290" s="55">
        <v>0</v>
      </c>
      <c r="H290" s="55">
        <v>1</v>
      </c>
      <c r="I290" s="63">
        <v>0</v>
      </c>
      <c r="J290" s="55">
        <v>0</v>
      </c>
      <c r="K290" s="55">
        <v>0</v>
      </c>
      <c r="L290" s="55">
        <v>0</v>
      </c>
      <c r="M290" s="55">
        <v>1</v>
      </c>
      <c r="N290" s="55">
        <v>0</v>
      </c>
      <c r="O290" s="55">
        <v>0</v>
      </c>
      <c r="P290" s="55">
        <v>1</v>
      </c>
      <c r="Q290" s="56">
        <v>16</v>
      </c>
    </row>
    <row r="291" spans="2:17">
      <c r="B291" s="54">
        <v>41012</v>
      </c>
      <c r="C291" s="55">
        <v>34</v>
      </c>
      <c r="D291" s="55">
        <v>0</v>
      </c>
      <c r="E291" s="55">
        <v>0</v>
      </c>
      <c r="F291" s="55">
        <v>0</v>
      </c>
      <c r="G291" s="55">
        <v>0</v>
      </c>
      <c r="H291" s="55">
        <v>1</v>
      </c>
      <c r="I291" s="63">
        <v>0</v>
      </c>
      <c r="J291" s="55">
        <v>0</v>
      </c>
      <c r="K291" s="55">
        <v>0</v>
      </c>
      <c r="L291" s="55">
        <v>0</v>
      </c>
      <c r="M291" s="55">
        <v>0</v>
      </c>
      <c r="N291" s="55">
        <v>1</v>
      </c>
      <c r="O291" s="55">
        <v>0</v>
      </c>
      <c r="P291" s="55">
        <v>1</v>
      </c>
      <c r="Q291" s="56">
        <v>32</v>
      </c>
    </row>
    <row r="292" spans="2:17">
      <c r="B292" s="54">
        <v>41013</v>
      </c>
      <c r="C292" s="55">
        <v>43</v>
      </c>
      <c r="D292" s="55">
        <v>0</v>
      </c>
      <c r="E292" s="55">
        <v>0</v>
      </c>
      <c r="F292" s="55">
        <v>2</v>
      </c>
      <c r="G292" s="55">
        <v>2</v>
      </c>
      <c r="H292" s="55">
        <v>9</v>
      </c>
      <c r="I292" s="63">
        <v>0</v>
      </c>
      <c r="J292" s="55">
        <v>0</v>
      </c>
      <c r="K292" s="55">
        <v>0</v>
      </c>
      <c r="L292" s="55">
        <v>0</v>
      </c>
      <c r="M292" s="55">
        <v>0</v>
      </c>
      <c r="N292" s="55">
        <v>0</v>
      </c>
      <c r="O292" s="55">
        <v>1</v>
      </c>
      <c r="P292" s="55">
        <v>1</v>
      </c>
      <c r="Q292" s="56">
        <v>25</v>
      </c>
    </row>
    <row r="293" spans="2:17">
      <c r="B293" s="54">
        <v>41014</v>
      </c>
      <c r="C293" s="55">
        <v>40</v>
      </c>
      <c r="D293" s="55">
        <v>0</v>
      </c>
      <c r="E293" s="55">
        <v>0</v>
      </c>
      <c r="F293" s="55">
        <v>1</v>
      </c>
      <c r="G293" s="55">
        <v>2</v>
      </c>
      <c r="H293" s="55">
        <v>6</v>
      </c>
      <c r="I293" s="63">
        <v>0</v>
      </c>
      <c r="J293" s="55">
        <v>0</v>
      </c>
      <c r="K293" s="55">
        <v>0</v>
      </c>
      <c r="L293" s="55">
        <v>0</v>
      </c>
      <c r="M293" s="55">
        <v>0</v>
      </c>
      <c r="N293" s="55">
        <v>0</v>
      </c>
      <c r="O293" s="55">
        <v>0</v>
      </c>
      <c r="P293" s="55">
        <v>1</v>
      </c>
      <c r="Q293" s="56">
        <v>24</v>
      </c>
    </row>
    <row r="294" spans="2:17">
      <c r="B294" s="54">
        <v>41015</v>
      </c>
      <c r="C294" s="55">
        <v>27</v>
      </c>
      <c r="D294" s="55">
        <v>0</v>
      </c>
      <c r="E294" s="55">
        <v>0</v>
      </c>
      <c r="F294" s="55">
        <v>0</v>
      </c>
      <c r="G294" s="55">
        <v>0</v>
      </c>
      <c r="H294" s="55">
        <v>1</v>
      </c>
      <c r="I294" s="63">
        <v>0</v>
      </c>
      <c r="J294" s="55">
        <v>1</v>
      </c>
      <c r="K294" s="55">
        <v>0</v>
      </c>
      <c r="L294" s="55">
        <v>0</v>
      </c>
      <c r="M294" s="55">
        <v>0</v>
      </c>
      <c r="N294" s="55">
        <v>0</v>
      </c>
      <c r="O294" s="55">
        <v>0</v>
      </c>
      <c r="P294" s="55">
        <v>1</v>
      </c>
      <c r="Q294" s="56">
        <v>16</v>
      </c>
    </row>
    <row r="295" spans="2:17">
      <c r="B295" s="54">
        <v>41016</v>
      </c>
      <c r="C295" s="55">
        <v>21</v>
      </c>
      <c r="D295" s="55">
        <v>0</v>
      </c>
      <c r="E295" s="55">
        <v>0</v>
      </c>
      <c r="F295" s="55">
        <v>0</v>
      </c>
      <c r="G295" s="55">
        <v>0</v>
      </c>
      <c r="H295" s="55">
        <v>1</v>
      </c>
      <c r="I295" s="63">
        <v>0</v>
      </c>
      <c r="J295" s="55">
        <v>0</v>
      </c>
      <c r="K295" s="55">
        <v>1</v>
      </c>
      <c r="L295" s="55">
        <v>0</v>
      </c>
      <c r="M295" s="55">
        <v>0</v>
      </c>
      <c r="N295" s="55">
        <v>0</v>
      </c>
      <c r="O295" s="55">
        <v>0</v>
      </c>
      <c r="P295" s="55">
        <v>1</v>
      </c>
      <c r="Q295" s="56">
        <v>16</v>
      </c>
    </row>
    <row r="296" spans="2:17">
      <c r="B296" s="54">
        <v>41017</v>
      </c>
      <c r="C296" s="55">
        <v>21</v>
      </c>
      <c r="D296" s="55">
        <v>0</v>
      </c>
      <c r="E296" s="55">
        <v>0</v>
      </c>
      <c r="F296" s="55">
        <v>0</v>
      </c>
      <c r="G296" s="55">
        <v>0</v>
      </c>
      <c r="H296" s="55">
        <v>1</v>
      </c>
      <c r="I296" s="63">
        <v>0</v>
      </c>
      <c r="J296" s="55">
        <v>0</v>
      </c>
      <c r="K296" s="55">
        <v>0</v>
      </c>
      <c r="L296" s="55">
        <v>1</v>
      </c>
      <c r="M296" s="55">
        <v>0</v>
      </c>
      <c r="N296" s="55">
        <v>0</v>
      </c>
      <c r="O296" s="55">
        <v>0</v>
      </c>
      <c r="P296" s="55">
        <v>1</v>
      </c>
      <c r="Q296" s="56">
        <v>11</v>
      </c>
    </row>
    <row r="297" spans="2:17">
      <c r="B297" s="54">
        <v>41018</v>
      </c>
      <c r="C297" s="55">
        <v>21</v>
      </c>
      <c r="D297" s="55">
        <v>0</v>
      </c>
      <c r="E297" s="55">
        <v>0</v>
      </c>
      <c r="F297" s="55">
        <v>0</v>
      </c>
      <c r="G297" s="55">
        <v>0</v>
      </c>
      <c r="H297" s="55">
        <v>1</v>
      </c>
      <c r="I297" s="63">
        <v>0</v>
      </c>
      <c r="J297" s="55">
        <v>0</v>
      </c>
      <c r="K297" s="55">
        <v>0</v>
      </c>
      <c r="L297" s="55">
        <v>0</v>
      </c>
      <c r="M297" s="55">
        <v>1</v>
      </c>
      <c r="N297" s="55">
        <v>0</v>
      </c>
      <c r="O297" s="55">
        <v>0</v>
      </c>
      <c r="P297" s="55">
        <v>1</v>
      </c>
      <c r="Q297" s="56">
        <v>7</v>
      </c>
    </row>
    <row r="298" spans="2:17">
      <c r="B298" s="54">
        <v>41019</v>
      </c>
      <c r="C298" s="55">
        <v>25</v>
      </c>
      <c r="D298" s="55">
        <v>0</v>
      </c>
      <c r="E298" s="55">
        <v>0</v>
      </c>
      <c r="F298" s="55">
        <v>0</v>
      </c>
      <c r="G298" s="55">
        <v>0</v>
      </c>
      <c r="H298" s="55">
        <v>1</v>
      </c>
      <c r="I298" s="63">
        <v>0</v>
      </c>
      <c r="J298" s="55">
        <v>0</v>
      </c>
      <c r="K298" s="55">
        <v>0</v>
      </c>
      <c r="L298" s="55">
        <v>0</v>
      </c>
      <c r="M298" s="55">
        <v>0</v>
      </c>
      <c r="N298" s="55">
        <v>1</v>
      </c>
      <c r="O298" s="55">
        <v>0</v>
      </c>
      <c r="P298" s="55">
        <v>1</v>
      </c>
      <c r="Q298" s="56">
        <v>25</v>
      </c>
    </row>
    <row r="299" spans="2:17">
      <c r="B299" s="54">
        <v>41020</v>
      </c>
      <c r="C299" s="55">
        <v>29</v>
      </c>
      <c r="D299" s="55">
        <v>0</v>
      </c>
      <c r="E299" s="55">
        <v>0</v>
      </c>
      <c r="F299" s="55">
        <v>2</v>
      </c>
      <c r="G299" s="55">
        <v>2</v>
      </c>
      <c r="H299" s="55">
        <v>9</v>
      </c>
      <c r="I299" s="63">
        <v>0</v>
      </c>
      <c r="J299" s="55">
        <v>0</v>
      </c>
      <c r="K299" s="55">
        <v>0</v>
      </c>
      <c r="L299" s="55">
        <v>0</v>
      </c>
      <c r="M299" s="55">
        <v>0</v>
      </c>
      <c r="N299" s="55">
        <v>0</v>
      </c>
      <c r="O299" s="55">
        <v>1</v>
      </c>
      <c r="P299" s="55">
        <v>1</v>
      </c>
      <c r="Q299" s="56">
        <v>26</v>
      </c>
    </row>
    <row r="300" spans="2:17">
      <c r="B300" s="54">
        <v>41021</v>
      </c>
      <c r="C300" s="55">
        <v>28</v>
      </c>
      <c r="D300" s="55">
        <v>0</v>
      </c>
      <c r="E300" s="55">
        <v>0</v>
      </c>
      <c r="F300" s="55">
        <v>1</v>
      </c>
      <c r="G300" s="55">
        <v>1</v>
      </c>
      <c r="H300" s="55">
        <v>4</v>
      </c>
      <c r="I300" s="63">
        <v>0</v>
      </c>
      <c r="J300" s="55">
        <v>0</v>
      </c>
      <c r="K300" s="55">
        <v>0</v>
      </c>
      <c r="L300" s="55">
        <v>0</v>
      </c>
      <c r="M300" s="55">
        <v>0</v>
      </c>
      <c r="N300" s="55">
        <v>0</v>
      </c>
      <c r="O300" s="55">
        <v>0</v>
      </c>
      <c r="P300" s="55">
        <v>1</v>
      </c>
      <c r="Q300" s="56">
        <v>24</v>
      </c>
    </row>
    <row r="301" spans="2:17">
      <c r="B301" s="54">
        <v>41022</v>
      </c>
      <c r="C301" s="55">
        <v>32</v>
      </c>
      <c r="D301" s="55">
        <v>0</v>
      </c>
      <c r="E301" s="55">
        <v>0</v>
      </c>
      <c r="F301" s="55">
        <v>1</v>
      </c>
      <c r="G301" s="55">
        <v>0</v>
      </c>
      <c r="H301" s="55">
        <v>2</v>
      </c>
      <c r="I301" s="63">
        <v>0</v>
      </c>
      <c r="J301" s="55">
        <v>1</v>
      </c>
      <c r="K301" s="55">
        <v>0</v>
      </c>
      <c r="L301" s="55">
        <v>0</v>
      </c>
      <c r="M301" s="55">
        <v>0</v>
      </c>
      <c r="N301" s="55">
        <v>0</v>
      </c>
      <c r="O301" s="55">
        <v>0</v>
      </c>
      <c r="P301" s="55">
        <v>1</v>
      </c>
      <c r="Q301" s="56">
        <v>19</v>
      </c>
    </row>
    <row r="302" spans="2:17">
      <c r="B302" s="54">
        <v>41023</v>
      </c>
      <c r="C302" s="55">
        <v>27</v>
      </c>
      <c r="D302" s="55">
        <v>0</v>
      </c>
      <c r="E302" s="55">
        <v>0</v>
      </c>
      <c r="F302" s="55">
        <v>0</v>
      </c>
      <c r="G302" s="55">
        <v>0</v>
      </c>
      <c r="H302" s="55">
        <v>1</v>
      </c>
      <c r="I302" s="63">
        <v>0</v>
      </c>
      <c r="J302" s="55">
        <v>0</v>
      </c>
      <c r="K302" s="55">
        <v>1</v>
      </c>
      <c r="L302" s="55">
        <v>0</v>
      </c>
      <c r="M302" s="55">
        <v>0</v>
      </c>
      <c r="N302" s="55">
        <v>0</v>
      </c>
      <c r="O302" s="55">
        <v>0</v>
      </c>
      <c r="P302" s="55">
        <v>1</v>
      </c>
      <c r="Q302" s="56">
        <v>29</v>
      </c>
    </row>
    <row r="303" spans="2:17">
      <c r="B303" s="54">
        <v>41024</v>
      </c>
      <c r="C303" s="55">
        <v>35</v>
      </c>
      <c r="D303" s="55">
        <v>0</v>
      </c>
      <c r="E303" s="55">
        <v>0</v>
      </c>
      <c r="F303" s="55">
        <v>0</v>
      </c>
      <c r="G303" s="55">
        <v>0</v>
      </c>
      <c r="H303" s="55">
        <v>1</v>
      </c>
      <c r="I303" s="63">
        <v>0</v>
      </c>
      <c r="J303" s="55">
        <v>0</v>
      </c>
      <c r="K303" s="55">
        <v>0</v>
      </c>
      <c r="L303" s="55">
        <v>1</v>
      </c>
      <c r="M303" s="55">
        <v>0</v>
      </c>
      <c r="N303" s="55">
        <v>0</v>
      </c>
      <c r="O303" s="55">
        <v>0</v>
      </c>
      <c r="P303" s="55">
        <v>1</v>
      </c>
      <c r="Q303" s="56">
        <v>20</v>
      </c>
    </row>
    <row r="304" spans="2:17">
      <c r="B304" s="54">
        <v>41025</v>
      </c>
      <c r="C304" s="55">
        <v>29</v>
      </c>
      <c r="D304" s="55">
        <v>0</v>
      </c>
      <c r="E304" s="55">
        <v>0</v>
      </c>
      <c r="F304" s="55">
        <v>0</v>
      </c>
      <c r="G304" s="55">
        <v>0</v>
      </c>
      <c r="H304" s="55">
        <v>1</v>
      </c>
      <c r="I304" s="63">
        <v>0</v>
      </c>
      <c r="J304" s="55">
        <v>0</v>
      </c>
      <c r="K304" s="55">
        <v>0</v>
      </c>
      <c r="L304" s="55">
        <v>0</v>
      </c>
      <c r="M304" s="55">
        <v>1</v>
      </c>
      <c r="N304" s="55">
        <v>0</v>
      </c>
      <c r="O304" s="55">
        <v>0</v>
      </c>
      <c r="P304" s="55">
        <v>1</v>
      </c>
      <c r="Q304" s="56">
        <v>23</v>
      </c>
    </row>
    <row r="305" spans="2:17">
      <c r="B305" s="54">
        <v>41026</v>
      </c>
      <c r="C305" s="55">
        <v>32</v>
      </c>
      <c r="D305" s="55">
        <v>0</v>
      </c>
      <c r="E305" s="55">
        <v>0</v>
      </c>
      <c r="F305" s="55">
        <v>1</v>
      </c>
      <c r="G305" s="55">
        <v>1</v>
      </c>
      <c r="H305" s="55">
        <v>4</v>
      </c>
      <c r="I305" s="63">
        <v>0</v>
      </c>
      <c r="J305" s="55">
        <v>0</v>
      </c>
      <c r="K305" s="55">
        <v>0</v>
      </c>
      <c r="L305" s="55">
        <v>0</v>
      </c>
      <c r="M305" s="55">
        <v>0</v>
      </c>
      <c r="N305" s="55">
        <v>1</v>
      </c>
      <c r="O305" s="55">
        <v>0</v>
      </c>
      <c r="P305" s="55">
        <v>1</v>
      </c>
      <c r="Q305" s="56">
        <v>22</v>
      </c>
    </row>
    <row r="306" spans="2:17">
      <c r="B306" s="54">
        <v>41027</v>
      </c>
      <c r="C306" s="55">
        <v>43</v>
      </c>
      <c r="D306" s="55">
        <v>0</v>
      </c>
      <c r="E306" s="55">
        <v>0</v>
      </c>
      <c r="F306" s="55">
        <v>2</v>
      </c>
      <c r="G306" s="55">
        <v>2</v>
      </c>
      <c r="H306" s="55">
        <v>9</v>
      </c>
      <c r="I306" s="63">
        <v>0</v>
      </c>
      <c r="J306" s="55">
        <v>0</v>
      </c>
      <c r="K306" s="55">
        <v>0</v>
      </c>
      <c r="L306" s="55">
        <v>0</v>
      </c>
      <c r="M306" s="55">
        <v>0</v>
      </c>
      <c r="N306" s="55">
        <v>0</v>
      </c>
      <c r="O306" s="55">
        <v>1</v>
      </c>
      <c r="P306" s="55">
        <v>1</v>
      </c>
      <c r="Q306" s="56">
        <v>21</v>
      </c>
    </row>
    <row r="307" spans="2:17">
      <c r="B307" s="54">
        <v>41028</v>
      </c>
      <c r="C307" s="55">
        <v>54</v>
      </c>
      <c r="D307" s="55">
        <v>0</v>
      </c>
      <c r="E307" s="55">
        <v>0</v>
      </c>
      <c r="F307" s="55">
        <v>3</v>
      </c>
      <c r="G307" s="55">
        <v>2</v>
      </c>
      <c r="H307" s="55">
        <v>12</v>
      </c>
      <c r="I307" s="63">
        <v>1</v>
      </c>
      <c r="J307" s="55">
        <v>0</v>
      </c>
      <c r="K307" s="55">
        <v>0</v>
      </c>
      <c r="L307" s="55">
        <v>0</v>
      </c>
      <c r="M307" s="55">
        <v>0</v>
      </c>
      <c r="N307" s="55">
        <v>0</v>
      </c>
      <c r="O307" s="55">
        <v>0</v>
      </c>
      <c r="P307" s="55">
        <v>1</v>
      </c>
      <c r="Q307" s="56">
        <v>19</v>
      </c>
    </row>
    <row r="308" spans="2:17">
      <c r="B308" s="54">
        <v>41029</v>
      </c>
      <c r="C308" s="55">
        <v>39</v>
      </c>
      <c r="D308" s="55">
        <v>0</v>
      </c>
      <c r="E308" s="55">
        <v>0</v>
      </c>
      <c r="F308" s="55">
        <v>2</v>
      </c>
      <c r="G308" s="55">
        <v>1</v>
      </c>
      <c r="H308" s="55">
        <v>6</v>
      </c>
      <c r="I308" s="63">
        <v>1</v>
      </c>
      <c r="J308" s="55">
        <v>1</v>
      </c>
      <c r="K308" s="55">
        <v>0</v>
      </c>
      <c r="L308" s="55">
        <v>0</v>
      </c>
      <c r="M308" s="55">
        <v>0</v>
      </c>
      <c r="N308" s="55">
        <v>0</v>
      </c>
      <c r="O308" s="55">
        <v>0</v>
      </c>
      <c r="P308" s="55">
        <v>1</v>
      </c>
      <c r="Q308" s="56">
        <v>21</v>
      </c>
    </row>
    <row r="309" spans="2:17">
      <c r="B309" s="54">
        <v>41030</v>
      </c>
      <c r="C309" s="55">
        <v>31</v>
      </c>
      <c r="D309" s="55">
        <v>0</v>
      </c>
      <c r="E309" s="55">
        <v>0</v>
      </c>
      <c r="F309" s="55">
        <v>0</v>
      </c>
      <c r="G309" s="55">
        <v>0</v>
      </c>
      <c r="H309" s="55">
        <v>1</v>
      </c>
      <c r="I309" s="63">
        <v>0</v>
      </c>
      <c r="J309" s="55">
        <v>0</v>
      </c>
      <c r="K309" s="55">
        <v>1</v>
      </c>
      <c r="L309" s="55">
        <v>0</v>
      </c>
      <c r="M309" s="55">
        <v>0</v>
      </c>
      <c r="N309" s="55">
        <v>0</v>
      </c>
      <c r="O309" s="55">
        <v>0</v>
      </c>
      <c r="P309" s="55">
        <v>0</v>
      </c>
      <c r="Q309" s="56">
        <v>15</v>
      </c>
    </row>
    <row r="310" spans="2:17">
      <c r="B310" s="54">
        <v>41031</v>
      </c>
      <c r="C310" s="55">
        <v>30</v>
      </c>
      <c r="D310" s="55">
        <v>0</v>
      </c>
      <c r="E310" s="55">
        <v>0</v>
      </c>
      <c r="F310" s="55">
        <v>0</v>
      </c>
      <c r="G310" s="55">
        <v>0</v>
      </c>
      <c r="H310" s="55">
        <v>1</v>
      </c>
      <c r="I310" s="63">
        <v>0</v>
      </c>
      <c r="J310" s="55">
        <v>0</v>
      </c>
      <c r="K310" s="55">
        <v>0</v>
      </c>
      <c r="L310" s="55">
        <v>1</v>
      </c>
      <c r="M310" s="55">
        <v>0</v>
      </c>
      <c r="N310" s="55">
        <v>0</v>
      </c>
      <c r="O310" s="55">
        <v>0</v>
      </c>
      <c r="P310" s="55">
        <v>0</v>
      </c>
      <c r="Q310" s="56">
        <v>18</v>
      </c>
    </row>
    <row r="311" spans="2:17">
      <c r="B311" s="54">
        <v>41032</v>
      </c>
      <c r="C311" s="55">
        <v>27</v>
      </c>
      <c r="D311" s="55">
        <v>0</v>
      </c>
      <c r="E311" s="55">
        <v>0</v>
      </c>
      <c r="F311" s="55">
        <v>1</v>
      </c>
      <c r="G311" s="55">
        <v>1</v>
      </c>
      <c r="H311" s="55">
        <v>4</v>
      </c>
      <c r="I311" s="63">
        <v>1</v>
      </c>
      <c r="J311" s="55">
        <v>0</v>
      </c>
      <c r="K311" s="55">
        <v>0</v>
      </c>
      <c r="L311" s="55">
        <v>0</v>
      </c>
      <c r="M311" s="55">
        <v>1</v>
      </c>
      <c r="N311" s="55">
        <v>0</v>
      </c>
      <c r="O311" s="55">
        <v>0</v>
      </c>
      <c r="P311" s="55">
        <v>0</v>
      </c>
      <c r="Q311" s="56">
        <v>15</v>
      </c>
    </row>
    <row r="312" spans="2:17">
      <c r="B312" s="54">
        <v>41033</v>
      </c>
      <c r="C312" s="55">
        <v>27</v>
      </c>
      <c r="D312" s="55">
        <v>0</v>
      </c>
      <c r="E312" s="55">
        <v>0</v>
      </c>
      <c r="F312" s="55">
        <v>2</v>
      </c>
      <c r="G312" s="55">
        <v>2</v>
      </c>
      <c r="H312" s="55">
        <v>9</v>
      </c>
      <c r="I312" s="63">
        <v>1</v>
      </c>
      <c r="J312" s="55">
        <v>0</v>
      </c>
      <c r="K312" s="55">
        <v>0</v>
      </c>
      <c r="L312" s="55">
        <v>0</v>
      </c>
      <c r="M312" s="55">
        <v>0</v>
      </c>
      <c r="N312" s="55">
        <v>1</v>
      </c>
      <c r="O312" s="55">
        <v>0</v>
      </c>
      <c r="P312" s="55">
        <v>0</v>
      </c>
      <c r="Q312" s="56">
        <v>18</v>
      </c>
    </row>
    <row r="313" spans="2:17">
      <c r="B313" s="54">
        <v>41034</v>
      </c>
      <c r="C313" s="55">
        <v>16</v>
      </c>
      <c r="D313" s="55">
        <v>0</v>
      </c>
      <c r="E313" s="55">
        <v>0</v>
      </c>
      <c r="F313" s="55">
        <v>1</v>
      </c>
      <c r="G313" s="55">
        <v>0</v>
      </c>
      <c r="H313" s="55">
        <v>2</v>
      </c>
      <c r="I313" s="63">
        <v>1</v>
      </c>
      <c r="J313" s="55">
        <v>0</v>
      </c>
      <c r="K313" s="55">
        <v>0</v>
      </c>
      <c r="L313" s="55">
        <v>0</v>
      </c>
      <c r="M313" s="55">
        <v>0</v>
      </c>
      <c r="N313" s="55">
        <v>0</v>
      </c>
      <c r="O313" s="55">
        <v>1</v>
      </c>
      <c r="P313" s="55">
        <v>0</v>
      </c>
      <c r="Q313" s="56">
        <v>14</v>
      </c>
    </row>
    <row r="314" spans="2:17">
      <c r="B314" s="54">
        <v>41035</v>
      </c>
      <c r="C314" s="55">
        <v>12</v>
      </c>
      <c r="D314" s="55">
        <v>0</v>
      </c>
      <c r="E314" s="55">
        <v>0</v>
      </c>
      <c r="F314" s="55">
        <v>0</v>
      </c>
      <c r="G314" s="55">
        <v>0</v>
      </c>
      <c r="H314" s="55">
        <v>1</v>
      </c>
      <c r="I314" s="63">
        <v>0</v>
      </c>
      <c r="J314" s="55">
        <v>0</v>
      </c>
      <c r="K314" s="55">
        <v>0</v>
      </c>
      <c r="L314" s="55">
        <v>0</v>
      </c>
      <c r="M314" s="55">
        <v>0</v>
      </c>
      <c r="N314" s="55">
        <v>0</v>
      </c>
      <c r="O314" s="55">
        <v>0</v>
      </c>
      <c r="P314" s="55">
        <v>0</v>
      </c>
      <c r="Q314" s="56">
        <v>6</v>
      </c>
    </row>
    <row r="315" spans="2:17">
      <c r="B315" s="54">
        <v>41036</v>
      </c>
      <c r="C315" s="55">
        <v>21</v>
      </c>
      <c r="D315" s="55">
        <v>0</v>
      </c>
      <c r="E315" s="55">
        <v>0</v>
      </c>
      <c r="F315" s="55">
        <v>0</v>
      </c>
      <c r="G315" s="55">
        <v>0</v>
      </c>
      <c r="H315" s="55">
        <v>1</v>
      </c>
      <c r="I315" s="63">
        <v>0</v>
      </c>
      <c r="J315" s="55">
        <v>1</v>
      </c>
      <c r="K315" s="55">
        <v>0</v>
      </c>
      <c r="L315" s="55">
        <v>0</v>
      </c>
      <c r="M315" s="55">
        <v>0</v>
      </c>
      <c r="N315" s="55">
        <v>0</v>
      </c>
      <c r="O315" s="55">
        <v>0</v>
      </c>
      <c r="P315" s="55">
        <v>0</v>
      </c>
      <c r="Q315" s="56">
        <v>11</v>
      </c>
    </row>
    <row r="316" spans="2:17">
      <c r="B316" s="54">
        <v>41037</v>
      </c>
      <c r="C316" s="55">
        <v>22</v>
      </c>
      <c r="D316" s="55">
        <v>0</v>
      </c>
      <c r="E316" s="55">
        <v>0</v>
      </c>
      <c r="F316" s="55">
        <v>0</v>
      </c>
      <c r="G316" s="55">
        <v>0</v>
      </c>
      <c r="H316" s="55">
        <v>1</v>
      </c>
      <c r="I316" s="63">
        <v>0</v>
      </c>
      <c r="J316" s="55">
        <v>0</v>
      </c>
      <c r="K316" s="55">
        <v>1</v>
      </c>
      <c r="L316" s="55">
        <v>0</v>
      </c>
      <c r="M316" s="55">
        <v>0</v>
      </c>
      <c r="N316" s="55">
        <v>0</v>
      </c>
      <c r="O316" s="55">
        <v>0</v>
      </c>
      <c r="P316" s="55">
        <v>0</v>
      </c>
      <c r="Q316" s="56">
        <v>7</v>
      </c>
    </row>
    <row r="317" spans="2:17">
      <c r="B317" s="54">
        <v>41038</v>
      </c>
      <c r="C317" s="55">
        <v>19</v>
      </c>
      <c r="D317" s="55">
        <v>0</v>
      </c>
      <c r="E317" s="55">
        <v>0</v>
      </c>
      <c r="F317" s="55">
        <v>0</v>
      </c>
      <c r="G317" s="55">
        <v>0</v>
      </c>
      <c r="H317" s="55">
        <v>1</v>
      </c>
      <c r="I317" s="63">
        <v>0</v>
      </c>
      <c r="J317" s="55">
        <v>0</v>
      </c>
      <c r="K317" s="55">
        <v>0</v>
      </c>
      <c r="L317" s="55">
        <v>1</v>
      </c>
      <c r="M317" s="55">
        <v>0</v>
      </c>
      <c r="N317" s="55">
        <v>0</v>
      </c>
      <c r="O317" s="55">
        <v>0</v>
      </c>
      <c r="P317" s="55">
        <v>0</v>
      </c>
      <c r="Q317" s="56">
        <v>6</v>
      </c>
    </row>
    <row r="318" spans="2:17">
      <c r="B318" s="54">
        <v>41039</v>
      </c>
      <c r="C318" s="55">
        <v>16</v>
      </c>
      <c r="D318" s="55">
        <v>0</v>
      </c>
      <c r="E318" s="55">
        <v>0</v>
      </c>
      <c r="F318" s="55">
        <v>0</v>
      </c>
      <c r="G318" s="55">
        <v>0</v>
      </c>
      <c r="H318" s="55">
        <v>1</v>
      </c>
      <c r="I318" s="63">
        <v>0</v>
      </c>
      <c r="J318" s="55">
        <v>0</v>
      </c>
      <c r="K318" s="55">
        <v>0</v>
      </c>
      <c r="L318" s="55">
        <v>0</v>
      </c>
      <c r="M318" s="55">
        <v>1</v>
      </c>
      <c r="N318" s="55">
        <v>0</v>
      </c>
      <c r="O318" s="55">
        <v>0</v>
      </c>
      <c r="P318" s="55">
        <v>0</v>
      </c>
      <c r="Q318" s="56">
        <v>11</v>
      </c>
    </row>
    <row r="319" spans="2:17">
      <c r="B319" s="54">
        <v>41040</v>
      </c>
      <c r="C319" s="55">
        <v>19</v>
      </c>
      <c r="D319" s="55">
        <v>0</v>
      </c>
      <c r="E319" s="55">
        <v>0</v>
      </c>
      <c r="F319" s="55">
        <v>0</v>
      </c>
      <c r="G319" s="55">
        <v>0</v>
      </c>
      <c r="H319" s="55">
        <v>1</v>
      </c>
      <c r="I319" s="63">
        <v>0</v>
      </c>
      <c r="J319" s="55">
        <v>0</v>
      </c>
      <c r="K319" s="55">
        <v>0</v>
      </c>
      <c r="L319" s="55">
        <v>0</v>
      </c>
      <c r="M319" s="55">
        <v>0</v>
      </c>
      <c r="N319" s="55">
        <v>1</v>
      </c>
      <c r="O319" s="55">
        <v>0</v>
      </c>
      <c r="P319" s="55">
        <v>0</v>
      </c>
      <c r="Q319" s="56">
        <v>5</v>
      </c>
    </row>
    <row r="320" spans="2:17">
      <c r="B320" s="54">
        <v>41041</v>
      </c>
      <c r="C320" s="55">
        <v>32</v>
      </c>
      <c r="D320" s="55">
        <v>0</v>
      </c>
      <c r="E320" s="55">
        <v>0</v>
      </c>
      <c r="F320" s="55">
        <v>1</v>
      </c>
      <c r="G320" s="55">
        <v>1</v>
      </c>
      <c r="H320" s="55">
        <v>4</v>
      </c>
      <c r="I320" s="63">
        <v>0</v>
      </c>
      <c r="J320" s="55">
        <v>0</v>
      </c>
      <c r="K320" s="55">
        <v>0</v>
      </c>
      <c r="L320" s="55">
        <v>0</v>
      </c>
      <c r="M320" s="55">
        <v>0</v>
      </c>
      <c r="N320" s="55">
        <v>0</v>
      </c>
      <c r="O320" s="55">
        <v>1</v>
      </c>
      <c r="P320" s="55">
        <v>0</v>
      </c>
      <c r="Q320" s="56">
        <v>21</v>
      </c>
    </row>
    <row r="321" spans="2:17">
      <c r="B321" s="54">
        <v>41042</v>
      </c>
      <c r="C321" s="55">
        <v>26</v>
      </c>
      <c r="D321" s="55">
        <v>0</v>
      </c>
      <c r="E321" s="55">
        <v>0</v>
      </c>
      <c r="F321" s="55">
        <v>1</v>
      </c>
      <c r="G321" s="55">
        <v>0</v>
      </c>
      <c r="H321" s="55">
        <v>2</v>
      </c>
      <c r="I321" s="63">
        <v>0</v>
      </c>
      <c r="J321" s="55">
        <v>0</v>
      </c>
      <c r="K321" s="55">
        <v>0</v>
      </c>
      <c r="L321" s="55">
        <v>0</v>
      </c>
      <c r="M321" s="55">
        <v>0</v>
      </c>
      <c r="N321" s="55">
        <v>0</v>
      </c>
      <c r="O321" s="55">
        <v>0</v>
      </c>
      <c r="P321" s="55">
        <v>0</v>
      </c>
      <c r="Q321" s="56">
        <v>20</v>
      </c>
    </row>
    <row r="322" spans="2:17">
      <c r="B322" s="54">
        <v>41043</v>
      </c>
      <c r="C322" s="55">
        <v>22</v>
      </c>
      <c r="D322" s="55">
        <v>0</v>
      </c>
      <c r="E322" s="55">
        <v>0</v>
      </c>
      <c r="F322" s="55">
        <v>0</v>
      </c>
      <c r="G322" s="55">
        <v>0</v>
      </c>
      <c r="H322" s="55">
        <v>1</v>
      </c>
      <c r="I322" s="63">
        <v>0</v>
      </c>
      <c r="J322" s="55">
        <v>1</v>
      </c>
      <c r="K322" s="55">
        <v>0</v>
      </c>
      <c r="L322" s="55">
        <v>0</v>
      </c>
      <c r="M322" s="55">
        <v>0</v>
      </c>
      <c r="N322" s="55">
        <v>0</v>
      </c>
      <c r="O322" s="55">
        <v>0</v>
      </c>
      <c r="P322" s="55">
        <v>0</v>
      </c>
      <c r="Q322" s="56">
        <v>17</v>
      </c>
    </row>
    <row r="323" spans="2:17">
      <c r="B323" s="54">
        <v>41044</v>
      </c>
      <c r="C323" s="55">
        <v>21</v>
      </c>
      <c r="D323" s="55">
        <v>0</v>
      </c>
      <c r="E323" s="55">
        <v>0</v>
      </c>
      <c r="F323" s="55">
        <v>0</v>
      </c>
      <c r="G323" s="55">
        <v>0</v>
      </c>
      <c r="H323" s="55">
        <v>1</v>
      </c>
      <c r="I323" s="63">
        <v>0</v>
      </c>
      <c r="J323" s="55">
        <v>0</v>
      </c>
      <c r="K323" s="55">
        <v>1</v>
      </c>
      <c r="L323" s="55">
        <v>0</v>
      </c>
      <c r="M323" s="55">
        <v>0</v>
      </c>
      <c r="N323" s="55">
        <v>0</v>
      </c>
      <c r="O323" s="55">
        <v>0</v>
      </c>
      <c r="P323" s="55">
        <v>0</v>
      </c>
      <c r="Q323" s="56">
        <v>7</v>
      </c>
    </row>
    <row r="324" spans="2:17">
      <c r="B324" s="54">
        <v>41045</v>
      </c>
      <c r="C324" s="55">
        <v>11</v>
      </c>
      <c r="D324" s="55">
        <v>0</v>
      </c>
      <c r="E324" s="55">
        <v>0</v>
      </c>
      <c r="F324" s="55">
        <v>0</v>
      </c>
      <c r="G324" s="55">
        <v>0</v>
      </c>
      <c r="H324" s="55">
        <v>1</v>
      </c>
      <c r="I324" s="63">
        <v>0</v>
      </c>
      <c r="J324" s="55">
        <v>0</v>
      </c>
      <c r="K324" s="55">
        <v>0</v>
      </c>
      <c r="L324" s="55">
        <v>1</v>
      </c>
      <c r="M324" s="55">
        <v>0</v>
      </c>
      <c r="N324" s="55">
        <v>0</v>
      </c>
      <c r="O324" s="55">
        <v>0</v>
      </c>
      <c r="P324" s="55">
        <v>0</v>
      </c>
      <c r="Q324" s="56">
        <v>11</v>
      </c>
    </row>
    <row r="325" spans="2:17">
      <c r="B325" s="54">
        <v>41046</v>
      </c>
      <c r="C325" s="55">
        <v>14</v>
      </c>
      <c r="D325" s="55">
        <v>0</v>
      </c>
      <c r="E325" s="55">
        <v>0</v>
      </c>
      <c r="F325" s="55">
        <v>0</v>
      </c>
      <c r="G325" s="55">
        <v>0</v>
      </c>
      <c r="H325" s="55">
        <v>1</v>
      </c>
      <c r="I325" s="63">
        <v>0</v>
      </c>
      <c r="J325" s="55">
        <v>0</v>
      </c>
      <c r="K325" s="55">
        <v>0</v>
      </c>
      <c r="L325" s="55">
        <v>0</v>
      </c>
      <c r="M325" s="55">
        <v>1</v>
      </c>
      <c r="N325" s="55">
        <v>0</v>
      </c>
      <c r="O325" s="55">
        <v>0</v>
      </c>
      <c r="P325" s="55">
        <v>0</v>
      </c>
      <c r="Q325" s="56">
        <v>10</v>
      </c>
    </row>
    <row r="326" spans="2:17">
      <c r="B326" s="54">
        <v>41047</v>
      </c>
      <c r="C326" s="55">
        <v>19</v>
      </c>
      <c r="D326" s="55">
        <v>0</v>
      </c>
      <c r="E326" s="55">
        <v>0</v>
      </c>
      <c r="F326" s="55">
        <v>0</v>
      </c>
      <c r="G326" s="55">
        <v>0</v>
      </c>
      <c r="H326" s="55">
        <v>1</v>
      </c>
      <c r="I326" s="63">
        <v>0</v>
      </c>
      <c r="J326" s="55">
        <v>0</v>
      </c>
      <c r="K326" s="55">
        <v>0</v>
      </c>
      <c r="L326" s="55">
        <v>0</v>
      </c>
      <c r="M326" s="55">
        <v>0</v>
      </c>
      <c r="N326" s="55">
        <v>1</v>
      </c>
      <c r="O326" s="55">
        <v>0</v>
      </c>
      <c r="P326" s="55">
        <v>0</v>
      </c>
      <c r="Q326" s="56">
        <v>16</v>
      </c>
    </row>
    <row r="327" spans="2:17">
      <c r="B327" s="54">
        <v>41048</v>
      </c>
      <c r="C327" s="55">
        <v>33</v>
      </c>
      <c r="D327" s="55">
        <v>0</v>
      </c>
      <c r="E327" s="55">
        <v>0</v>
      </c>
      <c r="F327" s="55">
        <v>1</v>
      </c>
      <c r="G327" s="55">
        <v>1</v>
      </c>
      <c r="H327" s="55">
        <v>4</v>
      </c>
      <c r="I327" s="63">
        <v>0</v>
      </c>
      <c r="J327" s="55">
        <v>0</v>
      </c>
      <c r="K327" s="55">
        <v>0</v>
      </c>
      <c r="L327" s="55">
        <v>0</v>
      </c>
      <c r="M327" s="55">
        <v>0</v>
      </c>
      <c r="N327" s="55">
        <v>0</v>
      </c>
      <c r="O327" s="55">
        <v>1</v>
      </c>
      <c r="P327" s="55">
        <v>0</v>
      </c>
      <c r="Q327" s="56">
        <v>22</v>
      </c>
    </row>
    <row r="328" spans="2:17">
      <c r="B328" s="54">
        <v>41049</v>
      </c>
      <c r="C328" s="55">
        <v>25</v>
      </c>
      <c r="D328" s="55">
        <v>0</v>
      </c>
      <c r="E328" s="55">
        <v>0</v>
      </c>
      <c r="F328" s="55">
        <v>1</v>
      </c>
      <c r="G328" s="55">
        <v>0</v>
      </c>
      <c r="H328" s="55">
        <v>2</v>
      </c>
      <c r="I328" s="63">
        <v>0</v>
      </c>
      <c r="J328" s="55">
        <v>0</v>
      </c>
      <c r="K328" s="55">
        <v>0</v>
      </c>
      <c r="L328" s="55">
        <v>0</v>
      </c>
      <c r="M328" s="55">
        <v>0</v>
      </c>
      <c r="N328" s="55">
        <v>0</v>
      </c>
      <c r="O328" s="55">
        <v>0</v>
      </c>
      <c r="P328" s="55">
        <v>0</v>
      </c>
      <c r="Q328" s="56">
        <v>21</v>
      </c>
    </row>
    <row r="329" spans="2:17">
      <c r="B329" s="54">
        <v>41050</v>
      </c>
      <c r="C329" s="55">
        <v>15</v>
      </c>
      <c r="D329" s="55">
        <v>0</v>
      </c>
      <c r="E329" s="55">
        <v>0</v>
      </c>
      <c r="F329" s="55">
        <v>0</v>
      </c>
      <c r="G329" s="55">
        <v>0</v>
      </c>
      <c r="H329" s="55">
        <v>1</v>
      </c>
      <c r="I329" s="63">
        <v>0</v>
      </c>
      <c r="J329" s="55">
        <v>1</v>
      </c>
      <c r="K329" s="55">
        <v>0</v>
      </c>
      <c r="L329" s="55">
        <v>0</v>
      </c>
      <c r="M329" s="55">
        <v>0</v>
      </c>
      <c r="N329" s="55">
        <v>0</v>
      </c>
      <c r="O329" s="55">
        <v>0</v>
      </c>
      <c r="P329" s="55">
        <v>0</v>
      </c>
      <c r="Q329" s="56">
        <v>13</v>
      </c>
    </row>
    <row r="330" spans="2:17">
      <c r="B330" s="54">
        <v>41051</v>
      </c>
      <c r="C330" s="55">
        <v>21</v>
      </c>
      <c r="D330" s="55">
        <v>0</v>
      </c>
      <c r="E330" s="55">
        <v>0</v>
      </c>
      <c r="F330" s="55">
        <v>0</v>
      </c>
      <c r="G330" s="55">
        <v>0</v>
      </c>
      <c r="H330" s="55">
        <v>1</v>
      </c>
      <c r="I330" s="63">
        <v>0</v>
      </c>
      <c r="J330" s="55">
        <v>0</v>
      </c>
      <c r="K330" s="55">
        <v>1</v>
      </c>
      <c r="L330" s="55">
        <v>0</v>
      </c>
      <c r="M330" s="55">
        <v>0</v>
      </c>
      <c r="N330" s="55">
        <v>0</v>
      </c>
      <c r="O330" s="55">
        <v>0</v>
      </c>
      <c r="P330" s="55">
        <v>0</v>
      </c>
      <c r="Q330" s="56">
        <v>10</v>
      </c>
    </row>
    <row r="331" spans="2:17">
      <c r="B331" s="54">
        <v>41052</v>
      </c>
      <c r="C331" s="55">
        <v>19</v>
      </c>
      <c r="D331" s="55">
        <v>0</v>
      </c>
      <c r="E331" s="55">
        <v>0</v>
      </c>
      <c r="F331" s="55">
        <v>0</v>
      </c>
      <c r="G331" s="55">
        <v>0</v>
      </c>
      <c r="H331" s="55">
        <v>1</v>
      </c>
      <c r="I331" s="63">
        <v>0</v>
      </c>
      <c r="J331" s="55">
        <v>0</v>
      </c>
      <c r="K331" s="55">
        <v>0</v>
      </c>
      <c r="L331" s="55">
        <v>1</v>
      </c>
      <c r="M331" s="55">
        <v>0</v>
      </c>
      <c r="N331" s="55">
        <v>0</v>
      </c>
      <c r="O331" s="55">
        <v>0</v>
      </c>
      <c r="P331" s="55">
        <v>0</v>
      </c>
      <c r="Q331" s="56">
        <v>14</v>
      </c>
    </row>
    <row r="332" spans="2:17">
      <c r="B332" s="54">
        <v>41053</v>
      </c>
      <c r="C332" s="55">
        <v>23</v>
      </c>
      <c r="D332" s="55">
        <v>0</v>
      </c>
      <c r="E332" s="55">
        <v>0</v>
      </c>
      <c r="F332" s="55">
        <v>0</v>
      </c>
      <c r="G332" s="55">
        <v>0</v>
      </c>
      <c r="H332" s="55">
        <v>1</v>
      </c>
      <c r="I332" s="63">
        <v>0</v>
      </c>
      <c r="J332" s="55">
        <v>0</v>
      </c>
      <c r="K332" s="55">
        <v>0</v>
      </c>
      <c r="L332" s="55">
        <v>0</v>
      </c>
      <c r="M332" s="55">
        <v>1</v>
      </c>
      <c r="N332" s="55">
        <v>0</v>
      </c>
      <c r="O332" s="55">
        <v>0</v>
      </c>
      <c r="P332" s="55">
        <v>0</v>
      </c>
      <c r="Q332" s="56">
        <v>18</v>
      </c>
    </row>
    <row r="333" spans="2:17">
      <c r="B333" s="54">
        <v>41054</v>
      </c>
      <c r="C333" s="55">
        <v>32</v>
      </c>
      <c r="D333" s="55">
        <v>0</v>
      </c>
      <c r="E333" s="55">
        <v>0</v>
      </c>
      <c r="F333" s="55">
        <v>1</v>
      </c>
      <c r="G333" s="55">
        <v>0</v>
      </c>
      <c r="H333" s="55">
        <v>2</v>
      </c>
      <c r="I333" s="63">
        <v>0</v>
      </c>
      <c r="J333" s="55">
        <v>0</v>
      </c>
      <c r="K333" s="55">
        <v>0</v>
      </c>
      <c r="L333" s="55">
        <v>0</v>
      </c>
      <c r="M333" s="55">
        <v>0</v>
      </c>
      <c r="N333" s="55">
        <v>1</v>
      </c>
      <c r="O333" s="55">
        <v>0</v>
      </c>
      <c r="P333" s="55">
        <v>0</v>
      </c>
      <c r="Q333" s="56">
        <v>17</v>
      </c>
    </row>
    <row r="334" spans="2:17">
      <c r="B334" s="54">
        <v>41055</v>
      </c>
      <c r="C334" s="55">
        <v>39</v>
      </c>
      <c r="D334" s="55">
        <v>0</v>
      </c>
      <c r="E334" s="55">
        <v>0</v>
      </c>
      <c r="F334" s="55">
        <v>2</v>
      </c>
      <c r="G334" s="55">
        <v>1</v>
      </c>
      <c r="H334" s="55">
        <v>6</v>
      </c>
      <c r="I334" s="63">
        <v>0</v>
      </c>
      <c r="J334" s="55">
        <v>0</v>
      </c>
      <c r="K334" s="55">
        <v>0</v>
      </c>
      <c r="L334" s="55">
        <v>0</v>
      </c>
      <c r="M334" s="55">
        <v>0</v>
      </c>
      <c r="N334" s="55">
        <v>0</v>
      </c>
      <c r="O334" s="55">
        <v>1</v>
      </c>
      <c r="P334" s="55">
        <v>0</v>
      </c>
      <c r="Q334" s="56">
        <v>31</v>
      </c>
    </row>
    <row r="335" spans="2:17">
      <c r="B335" s="54">
        <v>41056</v>
      </c>
      <c r="C335" s="55">
        <v>32</v>
      </c>
      <c r="D335" s="55">
        <v>0</v>
      </c>
      <c r="E335" s="55">
        <v>0</v>
      </c>
      <c r="F335" s="55">
        <v>1</v>
      </c>
      <c r="G335" s="55">
        <v>1</v>
      </c>
      <c r="H335" s="55">
        <v>4</v>
      </c>
      <c r="I335" s="63">
        <v>0</v>
      </c>
      <c r="J335" s="55">
        <v>0</v>
      </c>
      <c r="K335" s="55">
        <v>0</v>
      </c>
      <c r="L335" s="55">
        <v>0</v>
      </c>
      <c r="M335" s="55">
        <v>0</v>
      </c>
      <c r="N335" s="55">
        <v>0</v>
      </c>
      <c r="O335" s="55">
        <v>0</v>
      </c>
      <c r="P335" s="55">
        <v>0</v>
      </c>
      <c r="Q335" s="56">
        <v>24</v>
      </c>
    </row>
    <row r="336" spans="2:17">
      <c r="B336" s="54">
        <v>41057</v>
      </c>
      <c r="C336" s="55">
        <v>30</v>
      </c>
      <c r="D336" s="55">
        <v>0</v>
      </c>
      <c r="E336" s="55">
        <v>0</v>
      </c>
      <c r="F336" s="55">
        <v>1</v>
      </c>
      <c r="G336" s="55">
        <v>0</v>
      </c>
      <c r="H336" s="55">
        <v>2</v>
      </c>
      <c r="I336" s="63">
        <v>0</v>
      </c>
      <c r="J336" s="55">
        <v>1</v>
      </c>
      <c r="K336" s="55">
        <v>0</v>
      </c>
      <c r="L336" s="55">
        <v>0</v>
      </c>
      <c r="M336" s="55">
        <v>0</v>
      </c>
      <c r="N336" s="55">
        <v>0</v>
      </c>
      <c r="O336" s="55">
        <v>0</v>
      </c>
      <c r="P336" s="55">
        <v>0</v>
      </c>
      <c r="Q336" s="56">
        <v>24</v>
      </c>
    </row>
    <row r="337" spans="2:17">
      <c r="B337" s="54">
        <v>41058</v>
      </c>
      <c r="C337" s="55">
        <v>33</v>
      </c>
      <c r="D337" s="55">
        <v>0</v>
      </c>
      <c r="E337" s="55">
        <v>0</v>
      </c>
      <c r="F337" s="55">
        <v>0</v>
      </c>
      <c r="G337" s="55">
        <v>0</v>
      </c>
      <c r="H337" s="55">
        <v>1</v>
      </c>
      <c r="I337" s="63">
        <v>0</v>
      </c>
      <c r="J337" s="55">
        <v>0</v>
      </c>
      <c r="K337" s="55">
        <v>1</v>
      </c>
      <c r="L337" s="55">
        <v>0</v>
      </c>
      <c r="M337" s="55">
        <v>0</v>
      </c>
      <c r="N337" s="55">
        <v>0</v>
      </c>
      <c r="O337" s="55">
        <v>0</v>
      </c>
      <c r="P337" s="55">
        <v>0</v>
      </c>
      <c r="Q337" s="56">
        <v>25</v>
      </c>
    </row>
    <row r="338" spans="2:17">
      <c r="B338" s="54">
        <v>41059</v>
      </c>
      <c r="C338" s="55">
        <v>27</v>
      </c>
      <c r="D338" s="55">
        <v>0</v>
      </c>
      <c r="E338" s="55">
        <v>0</v>
      </c>
      <c r="F338" s="55">
        <v>1</v>
      </c>
      <c r="G338" s="55">
        <v>0</v>
      </c>
      <c r="H338" s="55">
        <v>2</v>
      </c>
      <c r="I338" s="63">
        <v>0</v>
      </c>
      <c r="J338" s="55">
        <v>0</v>
      </c>
      <c r="K338" s="55">
        <v>0</v>
      </c>
      <c r="L338" s="55">
        <v>1</v>
      </c>
      <c r="M338" s="55">
        <v>0</v>
      </c>
      <c r="N338" s="55">
        <v>0</v>
      </c>
      <c r="O338" s="55">
        <v>0</v>
      </c>
      <c r="P338" s="55">
        <v>0</v>
      </c>
      <c r="Q338" s="56">
        <v>14</v>
      </c>
    </row>
    <row r="339" spans="2:17">
      <c r="B339" s="54">
        <v>41060</v>
      </c>
      <c r="C339" s="55">
        <v>35</v>
      </c>
      <c r="D339" s="55">
        <v>0</v>
      </c>
      <c r="E339" s="55">
        <v>0</v>
      </c>
      <c r="F339" s="55">
        <v>1</v>
      </c>
      <c r="G339" s="55">
        <v>1</v>
      </c>
      <c r="H339" s="55">
        <v>4</v>
      </c>
      <c r="I339" s="63">
        <v>0</v>
      </c>
      <c r="J339" s="55">
        <v>0</v>
      </c>
      <c r="K339" s="55">
        <v>0</v>
      </c>
      <c r="L339" s="55">
        <v>0</v>
      </c>
      <c r="M339" s="55">
        <v>1</v>
      </c>
      <c r="N339" s="55">
        <v>0</v>
      </c>
      <c r="O339" s="55">
        <v>0</v>
      </c>
      <c r="P339" s="55">
        <v>0</v>
      </c>
      <c r="Q339" s="56">
        <v>15</v>
      </c>
    </row>
    <row r="340" spans="2:17">
      <c r="B340" s="54">
        <v>41061</v>
      </c>
      <c r="C340" s="55">
        <v>30</v>
      </c>
      <c r="D340" s="55">
        <v>0</v>
      </c>
      <c r="E340" s="55">
        <v>0</v>
      </c>
      <c r="F340" s="55">
        <v>0</v>
      </c>
      <c r="G340" s="55">
        <v>0</v>
      </c>
      <c r="H340" s="55">
        <v>1</v>
      </c>
      <c r="I340" s="63">
        <v>0</v>
      </c>
      <c r="J340" s="55">
        <v>0</v>
      </c>
      <c r="K340" s="55">
        <v>0</v>
      </c>
      <c r="L340" s="55">
        <v>0</v>
      </c>
      <c r="M340" s="55">
        <v>0</v>
      </c>
      <c r="N340" s="55">
        <v>1</v>
      </c>
      <c r="O340" s="55">
        <v>0</v>
      </c>
      <c r="P340" s="55">
        <v>0</v>
      </c>
      <c r="Q340" s="56">
        <v>13</v>
      </c>
    </row>
    <row r="341" spans="2:17">
      <c r="B341" s="54">
        <v>41062</v>
      </c>
      <c r="C341" s="55">
        <v>36</v>
      </c>
      <c r="D341" s="55">
        <v>0</v>
      </c>
      <c r="E341" s="55">
        <v>0</v>
      </c>
      <c r="F341" s="55">
        <v>1</v>
      </c>
      <c r="G341" s="55">
        <v>1</v>
      </c>
      <c r="H341" s="55">
        <v>4</v>
      </c>
      <c r="I341" s="63">
        <v>0</v>
      </c>
      <c r="J341" s="55">
        <v>0</v>
      </c>
      <c r="K341" s="55">
        <v>0</v>
      </c>
      <c r="L341" s="55">
        <v>0</v>
      </c>
      <c r="M341" s="55">
        <v>0</v>
      </c>
      <c r="N341" s="55">
        <v>0</v>
      </c>
      <c r="O341" s="55">
        <v>1</v>
      </c>
      <c r="P341" s="55">
        <v>0</v>
      </c>
      <c r="Q341" s="56">
        <v>25</v>
      </c>
    </row>
    <row r="342" spans="2:17">
      <c r="B342" s="54">
        <v>41063</v>
      </c>
      <c r="C342" s="55">
        <v>28</v>
      </c>
      <c r="D342" s="55">
        <v>0</v>
      </c>
      <c r="E342" s="55">
        <v>0</v>
      </c>
      <c r="F342" s="55">
        <v>1</v>
      </c>
      <c r="G342" s="55">
        <v>1</v>
      </c>
      <c r="H342" s="55">
        <v>4</v>
      </c>
      <c r="I342" s="63">
        <v>0</v>
      </c>
      <c r="J342" s="55">
        <v>0</v>
      </c>
      <c r="K342" s="55">
        <v>0</v>
      </c>
      <c r="L342" s="55">
        <v>0</v>
      </c>
      <c r="M342" s="55">
        <v>0</v>
      </c>
      <c r="N342" s="55">
        <v>0</v>
      </c>
      <c r="O342" s="55">
        <v>0</v>
      </c>
      <c r="P342" s="55">
        <v>0</v>
      </c>
      <c r="Q342" s="56">
        <v>23</v>
      </c>
    </row>
    <row r="343" spans="2:17">
      <c r="B343" s="54">
        <v>41064</v>
      </c>
      <c r="C343" s="55">
        <v>22</v>
      </c>
      <c r="D343" s="55">
        <v>0</v>
      </c>
      <c r="E343" s="55">
        <v>0</v>
      </c>
      <c r="F343" s="55">
        <v>0</v>
      </c>
      <c r="G343" s="55">
        <v>0</v>
      </c>
      <c r="H343" s="55">
        <v>1</v>
      </c>
      <c r="I343" s="63">
        <v>0</v>
      </c>
      <c r="J343" s="55">
        <v>1</v>
      </c>
      <c r="K343" s="55">
        <v>0</v>
      </c>
      <c r="L343" s="55">
        <v>0</v>
      </c>
      <c r="M343" s="55">
        <v>0</v>
      </c>
      <c r="N343" s="55">
        <v>0</v>
      </c>
      <c r="O343" s="55">
        <v>0</v>
      </c>
      <c r="P343" s="55">
        <v>0</v>
      </c>
      <c r="Q343" s="56">
        <v>7</v>
      </c>
    </row>
    <row r="344" spans="2:17">
      <c r="B344" s="54">
        <v>41065</v>
      </c>
      <c r="C344" s="55">
        <v>23</v>
      </c>
      <c r="D344" s="55">
        <v>0</v>
      </c>
      <c r="E344" s="55">
        <v>0</v>
      </c>
      <c r="F344" s="55">
        <v>0</v>
      </c>
      <c r="G344" s="55">
        <v>0</v>
      </c>
      <c r="H344" s="55">
        <v>1</v>
      </c>
      <c r="I344" s="63">
        <v>0</v>
      </c>
      <c r="J344" s="55">
        <v>0</v>
      </c>
      <c r="K344" s="55">
        <v>1</v>
      </c>
      <c r="L344" s="55">
        <v>0</v>
      </c>
      <c r="M344" s="55">
        <v>0</v>
      </c>
      <c r="N344" s="55">
        <v>0</v>
      </c>
      <c r="O344" s="55">
        <v>0</v>
      </c>
      <c r="P344" s="55">
        <v>0</v>
      </c>
      <c r="Q344" s="56">
        <v>4</v>
      </c>
    </row>
    <row r="345" spans="2:17">
      <c r="B345" s="54">
        <v>41066</v>
      </c>
      <c r="C345" s="55">
        <v>13</v>
      </c>
      <c r="D345" s="55">
        <v>0</v>
      </c>
      <c r="E345" s="55">
        <v>0</v>
      </c>
      <c r="F345" s="55">
        <v>0</v>
      </c>
      <c r="G345" s="55">
        <v>0</v>
      </c>
      <c r="H345" s="55">
        <v>1</v>
      </c>
      <c r="I345" s="63">
        <v>0</v>
      </c>
      <c r="J345" s="55">
        <v>0</v>
      </c>
      <c r="K345" s="55">
        <v>0</v>
      </c>
      <c r="L345" s="55">
        <v>1</v>
      </c>
      <c r="M345" s="55">
        <v>0</v>
      </c>
      <c r="N345" s="55">
        <v>0</v>
      </c>
      <c r="O345" s="55">
        <v>0</v>
      </c>
      <c r="P345" s="55">
        <v>0</v>
      </c>
      <c r="Q345" s="56">
        <v>13</v>
      </c>
    </row>
    <row r="346" spans="2:17">
      <c r="B346" s="54">
        <v>41067</v>
      </c>
      <c r="C346" s="55">
        <v>13</v>
      </c>
      <c r="D346" s="55">
        <v>0</v>
      </c>
      <c r="E346" s="55">
        <v>0</v>
      </c>
      <c r="F346" s="55">
        <v>0</v>
      </c>
      <c r="G346" s="55">
        <v>0</v>
      </c>
      <c r="H346" s="55">
        <v>1</v>
      </c>
      <c r="I346" s="63">
        <v>0</v>
      </c>
      <c r="J346" s="55">
        <v>0</v>
      </c>
      <c r="K346" s="55">
        <v>0</v>
      </c>
      <c r="L346" s="55">
        <v>0</v>
      </c>
      <c r="M346" s="55">
        <v>1</v>
      </c>
      <c r="N346" s="55">
        <v>0</v>
      </c>
      <c r="O346" s="55">
        <v>0</v>
      </c>
      <c r="P346" s="55">
        <v>0</v>
      </c>
      <c r="Q346" s="56">
        <v>14</v>
      </c>
    </row>
    <row r="347" spans="2:17">
      <c r="B347" s="54">
        <v>41068</v>
      </c>
      <c r="C347" s="55">
        <v>12</v>
      </c>
      <c r="D347" s="55">
        <v>0</v>
      </c>
      <c r="E347" s="55">
        <v>0</v>
      </c>
      <c r="F347" s="55">
        <v>0</v>
      </c>
      <c r="G347" s="55">
        <v>0</v>
      </c>
      <c r="H347" s="55">
        <v>1</v>
      </c>
      <c r="I347" s="63">
        <v>0</v>
      </c>
      <c r="J347" s="55">
        <v>0</v>
      </c>
      <c r="K347" s="55">
        <v>0</v>
      </c>
      <c r="L347" s="55">
        <v>0</v>
      </c>
      <c r="M347" s="55">
        <v>0</v>
      </c>
      <c r="N347" s="55">
        <v>1</v>
      </c>
      <c r="O347" s="55">
        <v>0</v>
      </c>
      <c r="P347" s="55">
        <v>0</v>
      </c>
      <c r="Q347" s="56">
        <v>18</v>
      </c>
    </row>
    <row r="348" spans="2:17">
      <c r="B348" s="54">
        <v>41069</v>
      </c>
      <c r="C348" s="55">
        <v>38</v>
      </c>
      <c r="D348" s="55">
        <v>0</v>
      </c>
      <c r="E348" s="55">
        <v>0</v>
      </c>
      <c r="F348" s="55">
        <v>1</v>
      </c>
      <c r="G348" s="55">
        <v>1</v>
      </c>
      <c r="H348" s="55">
        <v>4</v>
      </c>
      <c r="I348" s="63">
        <v>0</v>
      </c>
      <c r="J348" s="55">
        <v>0</v>
      </c>
      <c r="K348" s="55">
        <v>0</v>
      </c>
      <c r="L348" s="55">
        <v>0</v>
      </c>
      <c r="M348" s="55">
        <v>0</v>
      </c>
      <c r="N348" s="55">
        <v>0</v>
      </c>
      <c r="O348" s="55">
        <v>1</v>
      </c>
      <c r="P348" s="55">
        <v>0</v>
      </c>
      <c r="Q348" s="56">
        <v>20</v>
      </c>
    </row>
    <row r="349" spans="2:17">
      <c r="B349" s="54">
        <v>41070</v>
      </c>
      <c r="C349" s="55">
        <v>17</v>
      </c>
      <c r="D349" s="55">
        <v>0</v>
      </c>
      <c r="E349" s="55">
        <v>0</v>
      </c>
      <c r="F349" s="55">
        <v>1</v>
      </c>
      <c r="G349" s="55">
        <v>0</v>
      </c>
      <c r="H349" s="55">
        <v>2</v>
      </c>
      <c r="I349" s="63">
        <v>0</v>
      </c>
      <c r="J349" s="55">
        <v>0</v>
      </c>
      <c r="K349" s="55">
        <v>0</v>
      </c>
      <c r="L349" s="55">
        <v>0</v>
      </c>
      <c r="M349" s="55">
        <v>0</v>
      </c>
      <c r="N349" s="55">
        <v>0</v>
      </c>
      <c r="O349" s="55">
        <v>0</v>
      </c>
      <c r="P349" s="55">
        <v>0</v>
      </c>
      <c r="Q349" s="56">
        <v>11</v>
      </c>
    </row>
    <row r="350" spans="2:17">
      <c r="B350" s="54">
        <v>41071</v>
      </c>
      <c r="C350" s="55">
        <v>22</v>
      </c>
      <c r="D350" s="55">
        <v>0</v>
      </c>
      <c r="E350" s="55">
        <v>0</v>
      </c>
      <c r="F350" s="55">
        <v>0</v>
      </c>
      <c r="G350" s="55">
        <v>0</v>
      </c>
      <c r="H350" s="55">
        <v>1</v>
      </c>
      <c r="I350" s="63">
        <v>0</v>
      </c>
      <c r="J350" s="55">
        <v>1</v>
      </c>
      <c r="K350" s="55">
        <v>0</v>
      </c>
      <c r="L350" s="55">
        <v>0</v>
      </c>
      <c r="M350" s="55">
        <v>0</v>
      </c>
      <c r="N350" s="55">
        <v>0</v>
      </c>
      <c r="O350" s="55">
        <v>0</v>
      </c>
      <c r="P350" s="55">
        <v>0</v>
      </c>
      <c r="Q350" s="56">
        <v>8</v>
      </c>
    </row>
    <row r="351" spans="2:17">
      <c r="B351" s="54">
        <v>41072</v>
      </c>
      <c r="C351" s="55">
        <v>12</v>
      </c>
      <c r="D351" s="55">
        <v>0</v>
      </c>
      <c r="E351" s="55">
        <v>0</v>
      </c>
      <c r="F351" s="55">
        <v>0</v>
      </c>
      <c r="G351" s="55">
        <v>0</v>
      </c>
      <c r="H351" s="55">
        <v>1</v>
      </c>
      <c r="I351" s="63">
        <v>0</v>
      </c>
      <c r="J351" s="55">
        <v>0</v>
      </c>
      <c r="K351" s="55">
        <v>1</v>
      </c>
      <c r="L351" s="55">
        <v>0</v>
      </c>
      <c r="M351" s="55">
        <v>0</v>
      </c>
      <c r="N351" s="55">
        <v>0</v>
      </c>
      <c r="O351" s="55">
        <v>0</v>
      </c>
      <c r="P351" s="55">
        <v>0</v>
      </c>
      <c r="Q351" s="56">
        <v>9</v>
      </c>
    </row>
    <row r="352" spans="2:17">
      <c r="B352" s="54">
        <v>41073</v>
      </c>
      <c r="C352" s="55">
        <v>22</v>
      </c>
      <c r="D352" s="55">
        <v>0</v>
      </c>
      <c r="E352" s="55">
        <v>0</v>
      </c>
      <c r="F352" s="55">
        <v>0</v>
      </c>
      <c r="G352" s="55">
        <v>0</v>
      </c>
      <c r="H352" s="55">
        <v>1</v>
      </c>
      <c r="I352" s="63">
        <v>0</v>
      </c>
      <c r="J352" s="55">
        <v>0</v>
      </c>
      <c r="K352" s="55">
        <v>0</v>
      </c>
      <c r="L352" s="55">
        <v>1</v>
      </c>
      <c r="M352" s="55">
        <v>0</v>
      </c>
      <c r="N352" s="55">
        <v>0</v>
      </c>
      <c r="O352" s="55">
        <v>0</v>
      </c>
      <c r="P352" s="55">
        <v>0</v>
      </c>
      <c r="Q352" s="56">
        <v>11</v>
      </c>
    </row>
    <row r="353" spans="2:17">
      <c r="B353" s="54">
        <v>41074</v>
      </c>
      <c r="C353" s="55">
        <v>20</v>
      </c>
      <c r="D353" s="55">
        <v>0</v>
      </c>
      <c r="E353" s="55">
        <v>0</v>
      </c>
      <c r="F353" s="55">
        <v>0</v>
      </c>
      <c r="G353" s="55">
        <v>0</v>
      </c>
      <c r="H353" s="55">
        <v>1</v>
      </c>
      <c r="I353" s="63">
        <v>0</v>
      </c>
      <c r="J353" s="55">
        <v>0</v>
      </c>
      <c r="K353" s="55">
        <v>0</v>
      </c>
      <c r="L353" s="55">
        <v>0</v>
      </c>
      <c r="M353" s="55">
        <v>1</v>
      </c>
      <c r="N353" s="55">
        <v>0</v>
      </c>
      <c r="O353" s="55">
        <v>0</v>
      </c>
      <c r="P353" s="55">
        <v>0</v>
      </c>
      <c r="Q353" s="56">
        <v>15</v>
      </c>
    </row>
    <row r="354" spans="2:17">
      <c r="B354" s="54">
        <v>41075</v>
      </c>
      <c r="C354" s="55">
        <v>20</v>
      </c>
      <c r="D354" s="55">
        <v>0</v>
      </c>
      <c r="E354" s="55">
        <v>0</v>
      </c>
      <c r="F354" s="55">
        <v>0</v>
      </c>
      <c r="G354" s="55">
        <v>0</v>
      </c>
      <c r="H354" s="55">
        <v>1</v>
      </c>
      <c r="I354" s="63">
        <v>0</v>
      </c>
      <c r="J354" s="55">
        <v>0</v>
      </c>
      <c r="K354" s="55">
        <v>0</v>
      </c>
      <c r="L354" s="55">
        <v>0</v>
      </c>
      <c r="M354" s="55">
        <v>0</v>
      </c>
      <c r="N354" s="55">
        <v>1</v>
      </c>
      <c r="O354" s="55">
        <v>0</v>
      </c>
      <c r="P354" s="55">
        <v>0</v>
      </c>
      <c r="Q354" s="56">
        <v>13</v>
      </c>
    </row>
    <row r="355" spans="2:17">
      <c r="B355" s="54">
        <v>41076</v>
      </c>
      <c r="C355" s="55">
        <v>42</v>
      </c>
      <c r="D355" s="55">
        <v>0</v>
      </c>
      <c r="E355" s="55">
        <v>0</v>
      </c>
      <c r="F355" s="55">
        <v>1</v>
      </c>
      <c r="G355" s="55">
        <v>1</v>
      </c>
      <c r="H355" s="55">
        <v>4</v>
      </c>
      <c r="I355" s="63">
        <v>0</v>
      </c>
      <c r="J355" s="55">
        <v>0</v>
      </c>
      <c r="K355" s="55">
        <v>0</v>
      </c>
      <c r="L355" s="55">
        <v>0</v>
      </c>
      <c r="M355" s="55">
        <v>0</v>
      </c>
      <c r="N355" s="55">
        <v>0</v>
      </c>
      <c r="O355" s="55">
        <v>1</v>
      </c>
      <c r="P355" s="55">
        <v>0</v>
      </c>
      <c r="Q355" s="56">
        <v>20</v>
      </c>
    </row>
    <row r="356" spans="2:17">
      <c r="B356" s="54">
        <v>41077</v>
      </c>
      <c r="C356" s="55">
        <v>22</v>
      </c>
      <c r="D356" s="55">
        <v>0</v>
      </c>
      <c r="E356" s="55">
        <v>0</v>
      </c>
      <c r="F356" s="55">
        <v>1</v>
      </c>
      <c r="G356" s="55">
        <v>0</v>
      </c>
      <c r="H356" s="55">
        <v>2</v>
      </c>
      <c r="I356" s="63">
        <v>0</v>
      </c>
      <c r="J356" s="55">
        <v>0</v>
      </c>
      <c r="K356" s="55">
        <v>0</v>
      </c>
      <c r="L356" s="55">
        <v>0</v>
      </c>
      <c r="M356" s="55">
        <v>0</v>
      </c>
      <c r="N356" s="55">
        <v>0</v>
      </c>
      <c r="O356" s="55">
        <v>0</v>
      </c>
      <c r="P356" s="55">
        <v>0</v>
      </c>
      <c r="Q356" s="56">
        <v>16</v>
      </c>
    </row>
    <row r="357" spans="2:17">
      <c r="B357" s="54">
        <v>41078</v>
      </c>
      <c r="C357" s="55">
        <v>23</v>
      </c>
      <c r="D357" s="55">
        <v>0</v>
      </c>
      <c r="E357" s="55">
        <v>0</v>
      </c>
      <c r="F357" s="55">
        <v>0</v>
      </c>
      <c r="G357" s="55">
        <v>0</v>
      </c>
      <c r="H357" s="55">
        <v>1</v>
      </c>
      <c r="I357" s="63">
        <v>0</v>
      </c>
      <c r="J357" s="55">
        <v>1</v>
      </c>
      <c r="K357" s="55">
        <v>0</v>
      </c>
      <c r="L357" s="55">
        <v>0</v>
      </c>
      <c r="M357" s="55">
        <v>0</v>
      </c>
      <c r="N357" s="55">
        <v>0</v>
      </c>
      <c r="O357" s="55">
        <v>0</v>
      </c>
      <c r="P357" s="55">
        <v>0</v>
      </c>
      <c r="Q357" s="56">
        <v>18</v>
      </c>
    </row>
    <row r="358" spans="2:17">
      <c r="B358" s="54">
        <v>41079</v>
      </c>
      <c r="C358" s="55">
        <v>19</v>
      </c>
      <c r="D358" s="55">
        <v>0</v>
      </c>
      <c r="E358" s="55">
        <v>0</v>
      </c>
      <c r="F358" s="55">
        <v>0</v>
      </c>
      <c r="G358" s="55">
        <v>0</v>
      </c>
      <c r="H358" s="55">
        <v>1</v>
      </c>
      <c r="I358" s="63">
        <v>0</v>
      </c>
      <c r="J358" s="55">
        <v>0</v>
      </c>
      <c r="K358" s="55">
        <v>1</v>
      </c>
      <c r="L358" s="55">
        <v>0</v>
      </c>
      <c r="M358" s="55">
        <v>0</v>
      </c>
      <c r="N358" s="55">
        <v>0</v>
      </c>
      <c r="O358" s="55">
        <v>0</v>
      </c>
      <c r="P358" s="55">
        <v>0</v>
      </c>
      <c r="Q358" s="56">
        <v>11</v>
      </c>
    </row>
    <row r="359" spans="2:17">
      <c r="B359" s="54">
        <v>41080</v>
      </c>
      <c r="C359" s="55">
        <v>21</v>
      </c>
      <c r="D359" s="55">
        <v>0</v>
      </c>
      <c r="E359" s="55">
        <v>0</v>
      </c>
      <c r="F359" s="55">
        <v>0</v>
      </c>
      <c r="G359" s="55">
        <v>0</v>
      </c>
      <c r="H359" s="55">
        <v>1</v>
      </c>
      <c r="I359" s="63">
        <v>0</v>
      </c>
      <c r="J359" s="55">
        <v>0</v>
      </c>
      <c r="K359" s="55">
        <v>0</v>
      </c>
      <c r="L359" s="55">
        <v>1</v>
      </c>
      <c r="M359" s="55">
        <v>0</v>
      </c>
      <c r="N359" s="55">
        <v>0</v>
      </c>
      <c r="O359" s="55">
        <v>0</v>
      </c>
      <c r="P359" s="55">
        <v>0</v>
      </c>
      <c r="Q359" s="56">
        <v>7</v>
      </c>
    </row>
    <row r="360" spans="2:17">
      <c r="B360" s="54">
        <v>41081</v>
      </c>
      <c r="C360" s="55">
        <v>20</v>
      </c>
      <c r="D360" s="55">
        <v>0</v>
      </c>
      <c r="E360" s="55">
        <v>0</v>
      </c>
      <c r="F360" s="55">
        <v>0</v>
      </c>
      <c r="G360" s="55">
        <v>0</v>
      </c>
      <c r="H360" s="55">
        <v>1</v>
      </c>
      <c r="I360" s="63">
        <v>0</v>
      </c>
      <c r="J360" s="55">
        <v>0</v>
      </c>
      <c r="K360" s="55">
        <v>0</v>
      </c>
      <c r="L360" s="55">
        <v>0</v>
      </c>
      <c r="M360" s="55">
        <v>1</v>
      </c>
      <c r="N360" s="55">
        <v>0</v>
      </c>
      <c r="O360" s="55">
        <v>0</v>
      </c>
      <c r="P360" s="55">
        <v>0</v>
      </c>
      <c r="Q360" s="56">
        <v>12</v>
      </c>
    </row>
    <row r="361" spans="2:17">
      <c r="B361" s="54">
        <v>41082</v>
      </c>
      <c r="C361" s="55">
        <v>32</v>
      </c>
      <c r="D361" s="55">
        <v>0</v>
      </c>
      <c r="E361" s="55">
        <v>0</v>
      </c>
      <c r="F361" s="55">
        <v>0</v>
      </c>
      <c r="G361" s="55">
        <v>0</v>
      </c>
      <c r="H361" s="55">
        <v>1</v>
      </c>
      <c r="I361" s="63">
        <v>0</v>
      </c>
      <c r="J361" s="55">
        <v>0</v>
      </c>
      <c r="K361" s="55">
        <v>0</v>
      </c>
      <c r="L361" s="55">
        <v>0</v>
      </c>
      <c r="M361" s="55">
        <v>0</v>
      </c>
      <c r="N361" s="55">
        <v>1</v>
      </c>
      <c r="O361" s="55">
        <v>0</v>
      </c>
      <c r="P361" s="55">
        <v>0</v>
      </c>
      <c r="Q361" s="56">
        <v>20</v>
      </c>
    </row>
    <row r="362" spans="2:17">
      <c r="B362" s="54">
        <v>41083</v>
      </c>
      <c r="C362" s="55">
        <v>38</v>
      </c>
      <c r="D362" s="55">
        <v>0</v>
      </c>
      <c r="E362" s="55">
        <v>0</v>
      </c>
      <c r="F362" s="55">
        <v>2</v>
      </c>
      <c r="G362" s="55">
        <v>1</v>
      </c>
      <c r="H362" s="55">
        <v>6</v>
      </c>
      <c r="I362" s="63">
        <v>0</v>
      </c>
      <c r="J362" s="55">
        <v>0</v>
      </c>
      <c r="K362" s="55">
        <v>0</v>
      </c>
      <c r="L362" s="55">
        <v>0</v>
      </c>
      <c r="M362" s="55">
        <v>0</v>
      </c>
      <c r="N362" s="55">
        <v>0</v>
      </c>
      <c r="O362" s="55">
        <v>1</v>
      </c>
      <c r="P362" s="55">
        <v>0</v>
      </c>
      <c r="Q362" s="56">
        <v>23</v>
      </c>
    </row>
    <row r="363" spans="2:17">
      <c r="B363" s="54">
        <v>41084</v>
      </c>
      <c r="C363" s="55">
        <v>34</v>
      </c>
      <c r="D363" s="55">
        <v>0</v>
      </c>
      <c r="E363" s="55">
        <v>0</v>
      </c>
      <c r="F363" s="55">
        <v>1</v>
      </c>
      <c r="G363" s="55">
        <v>1</v>
      </c>
      <c r="H363" s="55">
        <v>4</v>
      </c>
      <c r="I363" s="63">
        <v>0</v>
      </c>
      <c r="J363" s="55">
        <v>0</v>
      </c>
      <c r="K363" s="55">
        <v>0</v>
      </c>
      <c r="L363" s="55">
        <v>0</v>
      </c>
      <c r="M363" s="55">
        <v>0</v>
      </c>
      <c r="N363" s="55">
        <v>0</v>
      </c>
      <c r="O363" s="55">
        <v>0</v>
      </c>
      <c r="P363" s="55">
        <v>0</v>
      </c>
      <c r="Q363" s="56">
        <v>23</v>
      </c>
    </row>
    <row r="364" spans="2:17">
      <c r="B364" s="54">
        <v>41085</v>
      </c>
      <c r="C364" s="55">
        <v>31</v>
      </c>
      <c r="D364" s="55">
        <v>0</v>
      </c>
      <c r="E364" s="55">
        <v>0</v>
      </c>
      <c r="F364" s="55">
        <v>0</v>
      </c>
      <c r="G364" s="55">
        <v>0</v>
      </c>
      <c r="H364" s="55">
        <v>1</v>
      </c>
      <c r="I364" s="63">
        <v>0</v>
      </c>
      <c r="J364" s="55">
        <v>1</v>
      </c>
      <c r="K364" s="55">
        <v>0</v>
      </c>
      <c r="L364" s="55">
        <v>0</v>
      </c>
      <c r="M364" s="55">
        <v>0</v>
      </c>
      <c r="N364" s="55">
        <v>0</v>
      </c>
      <c r="O364" s="55">
        <v>0</v>
      </c>
      <c r="P364" s="55">
        <v>0</v>
      </c>
      <c r="Q364" s="56">
        <v>18</v>
      </c>
    </row>
    <row r="365" spans="2:17">
      <c r="B365" s="54">
        <v>41086</v>
      </c>
      <c r="C365" s="55">
        <v>33</v>
      </c>
      <c r="D365" s="55">
        <v>0</v>
      </c>
      <c r="E365" s="55">
        <v>0</v>
      </c>
      <c r="F365" s="55">
        <v>1</v>
      </c>
      <c r="G365" s="55">
        <v>0</v>
      </c>
      <c r="H365" s="55">
        <v>2</v>
      </c>
      <c r="I365" s="63">
        <v>0</v>
      </c>
      <c r="J365" s="55">
        <v>0</v>
      </c>
      <c r="K365" s="55">
        <v>1</v>
      </c>
      <c r="L365" s="55">
        <v>0</v>
      </c>
      <c r="M365" s="55">
        <v>0</v>
      </c>
      <c r="N365" s="55">
        <v>0</v>
      </c>
      <c r="O365" s="55">
        <v>0</v>
      </c>
      <c r="P365" s="55">
        <v>0</v>
      </c>
      <c r="Q365" s="56">
        <v>21</v>
      </c>
    </row>
    <row r="366" spans="2:17">
      <c r="B366" s="54">
        <v>41087</v>
      </c>
      <c r="C366" s="55">
        <v>31</v>
      </c>
      <c r="D366" s="55">
        <v>0</v>
      </c>
      <c r="E366" s="55">
        <v>0</v>
      </c>
      <c r="F366" s="55">
        <v>0</v>
      </c>
      <c r="G366" s="55">
        <v>0</v>
      </c>
      <c r="H366" s="55">
        <v>1</v>
      </c>
      <c r="I366" s="63">
        <v>0</v>
      </c>
      <c r="J366" s="55">
        <v>0</v>
      </c>
      <c r="K366" s="55">
        <v>0</v>
      </c>
      <c r="L366" s="55">
        <v>1</v>
      </c>
      <c r="M366" s="55">
        <v>0</v>
      </c>
      <c r="N366" s="55">
        <v>0</v>
      </c>
      <c r="O366" s="55">
        <v>0</v>
      </c>
      <c r="P366" s="55">
        <v>0</v>
      </c>
      <c r="Q366" s="56">
        <v>25</v>
      </c>
    </row>
    <row r="367" spans="2:17">
      <c r="B367" s="54">
        <v>41088</v>
      </c>
      <c r="C367" s="55">
        <v>42</v>
      </c>
      <c r="D367" s="55">
        <v>0</v>
      </c>
      <c r="E367" s="55">
        <v>0</v>
      </c>
      <c r="F367" s="55">
        <v>1</v>
      </c>
      <c r="G367" s="55">
        <v>0</v>
      </c>
      <c r="H367" s="55">
        <v>2</v>
      </c>
      <c r="I367" s="63">
        <v>0</v>
      </c>
      <c r="J367" s="55">
        <v>0</v>
      </c>
      <c r="K367" s="55">
        <v>0</v>
      </c>
      <c r="L367" s="55">
        <v>0</v>
      </c>
      <c r="M367" s="55">
        <v>1</v>
      </c>
      <c r="N367" s="55">
        <v>0</v>
      </c>
      <c r="O367" s="55">
        <v>0</v>
      </c>
      <c r="P367" s="55">
        <v>0</v>
      </c>
      <c r="Q367" s="56">
        <v>24</v>
      </c>
    </row>
    <row r="368" spans="2:17">
      <c r="B368" s="54">
        <v>41089</v>
      </c>
      <c r="C368" s="55">
        <v>52</v>
      </c>
      <c r="D368" s="55">
        <v>0</v>
      </c>
      <c r="E368" s="55">
        <v>0</v>
      </c>
      <c r="F368" s="55">
        <v>1</v>
      </c>
      <c r="G368" s="55">
        <v>1</v>
      </c>
      <c r="H368" s="55">
        <v>4</v>
      </c>
      <c r="I368" s="63">
        <v>0</v>
      </c>
      <c r="J368" s="55">
        <v>0</v>
      </c>
      <c r="K368" s="55">
        <v>0</v>
      </c>
      <c r="L368" s="55">
        <v>0</v>
      </c>
      <c r="M368" s="55">
        <v>0</v>
      </c>
      <c r="N368" s="55">
        <v>1</v>
      </c>
      <c r="O368" s="55">
        <v>0</v>
      </c>
      <c r="P368" s="55">
        <v>0</v>
      </c>
      <c r="Q368" s="56">
        <v>16</v>
      </c>
    </row>
    <row r="369" spans="2:17" ht="21" thickBot="1">
      <c r="B369" s="57">
        <v>41090</v>
      </c>
      <c r="C369" s="58">
        <v>55</v>
      </c>
      <c r="D369" s="58">
        <v>0</v>
      </c>
      <c r="E369" s="58">
        <v>0</v>
      </c>
      <c r="F369" s="58">
        <v>2</v>
      </c>
      <c r="G369" s="58">
        <v>2</v>
      </c>
      <c r="H369" s="58">
        <v>9</v>
      </c>
      <c r="I369" s="64">
        <v>0</v>
      </c>
      <c r="J369" s="58">
        <v>0</v>
      </c>
      <c r="K369" s="58">
        <v>0</v>
      </c>
      <c r="L369" s="58">
        <v>0</v>
      </c>
      <c r="M369" s="58">
        <v>0</v>
      </c>
      <c r="N369" s="58">
        <v>0</v>
      </c>
      <c r="O369" s="58">
        <v>1</v>
      </c>
      <c r="P369" s="58">
        <v>0</v>
      </c>
      <c r="Q369" s="59">
        <v>25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77F-9B08-D34A-A337-2F2C1363208C}">
  <dimension ref="B1:AB369"/>
  <sheetViews>
    <sheetView topLeftCell="O4" workbookViewId="0">
      <selection activeCell="T17" sqref="T17:U30"/>
    </sheetView>
  </sheetViews>
  <sheetFormatPr baseColWidth="10" defaultRowHeight="20"/>
  <sheetData>
    <row r="1" spans="2:25" ht="21" thickBot="1"/>
    <row r="2" spans="2:25" ht="21" thickBot="1">
      <c r="B2" s="60" t="s">
        <v>0</v>
      </c>
      <c r="C2" s="61" t="s">
        <v>1</v>
      </c>
      <c r="D2" s="61" t="s">
        <v>2</v>
      </c>
      <c r="E2" s="61" t="s">
        <v>3</v>
      </c>
      <c r="F2" s="61" t="s">
        <v>4</v>
      </c>
      <c r="G2" s="61" t="s">
        <v>5</v>
      </c>
      <c r="H2" s="61" t="s">
        <v>6</v>
      </c>
      <c r="I2" s="60" t="s">
        <v>57</v>
      </c>
      <c r="J2" s="61" t="s">
        <v>43</v>
      </c>
      <c r="K2" s="61" t="s">
        <v>44</v>
      </c>
      <c r="L2" s="61" t="s">
        <v>45</v>
      </c>
      <c r="M2" s="61" t="s">
        <v>46</v>
      </c>
      <c r="N2" s="61" t="s">
        <v>47</v>
      </c>
      <c r="O2" s="61" t="s">
        <v>48</v>
      </c>
      <c r="P2" s="61" t="s">
        <v>49</v>
      </c>
      <c r="Q2" s="62" t="s">
        <v>50</v>
      </c>
      <c r="T2" t="s">
        <v>11</v>
      </c>
    </row>
    <row r="3" spans="2:25" ht="21" thickBot="1">
      <c r="B3" s="54">
        <v>40724</v>
      </c>
      <c r="C3" s="55">
        <v>24</v>
      </c>
      <c r="D3" s="55">
        <v>0</v>
      </c>
      <c r="E3" s="55">
        <v>0</v>
      </c>
      <c r="F3" s="55">
        <v>1</v>
      </c>
      <c r="G3" s="55">
        <v>2</v>
      </c>
      <c r="H3" s="55">
        <v>6</v>
      </c>
      <c r="I3" s="63">
        <v>0</v>
      </c>
      <c r="J3" s="55">
        <v>0</v>
      </c>
      <c r="K3" s="55">
        <v>0</v>
      </c>
      <c r="L3" s="55">
        <v>0</v>
      </c>
      <c r="M3" s="55">
        <v>1</v>
      </c>
      <c r="N3" s="55">
        <v>0</v>
      </c>
      <c r="O3" s="55">
        <v>0</v>
      </c>
      <c r="P3" s="55">
        <v>0</v>
      </c>
      <c r="Q3" s="56">
        <v>17</v>
      </c>
    </row>
    <row r="4" spans="2:25">
      <c r="B4" s="54">
        <v>40725</v>
      </c>
      <c r="C4" s="55">
        <v>16</v>
      </c>
      <c r="D4" s="55">
        <v>0</v>
      </c>
      <c r="E4" s="55">
        <v>0</v>
      </c>
      <c r="F4" s="55">
        <v>-1</v>
      </c>
      <c r="G4" s="55">
        <v>-1</v>
      </c>
      <c r="H4" s="55">
        <v>0</v>
      </c>
      <c r="I4" s="63">
        <v>0</v>
      </c>
      <c r="J4" s="55">
        <v>0</v>
      </c>
      <c r="K4" s="55">
        <v>0</v>
      </c>
      <c r="L4" s="55">
        <v>0</v>
      </c>
      <c r="M4" s="55">
        <v>0</v>
      </c>
      <c r="N4" s="55">
        <v>1</v>
      </c>
      <c r="O4" s="55">
        <v>0</v>
      </c>
      <c r="P4" s="55">
        <v>0</v>
      </c>
      <c r="Q4" s="56">
        <v>18</v>
      </c>
      <c r="T4" s="28" t="s">
        <v>12</v>
      </c>
      <c r="U4" s="28"/>
    </row>
    <row r="5" spans="2:25">
      <c r="B5" s="54">
        <v>40726</v>
      </c>
      <c r="C5" s="55">
        <v>25</v>
      </c>
      <c r="D5" s="55">
        <v>0</v>
      </c>
      <c r="E5" s="55">
        <v>0</v>
      </c>
      <c r="F5" s="55">
        <v>2</v>
      </c>
      <c r="G5" s="55">
        <v>1</v>
      </c>
      <c r="H5" s="55">
        <v>6</v>
      </c>
      <c r="I5" s="63">
        <v>0</v>
      </c>
      <c r="J5" s="55">
        <v>0</v>
      </c>
      <c r="K5" s="55">
        <v>0</v>
      </c>
      <c r="L5" s="55">
        <v>0</v>
      </c>
      <c r="M5" s="55">
        <v>0</v>
      </c>
      <c r="N5" s="55">
        <v>0</v>
      </c>
      <c r="O5" s="55">
        <v>1</v>
      </c>
      <c r="P5" s="55">
        <v>0</v>
      </c>
      <c r="Q5" s="56">
        <v>20</v>
      </c>
      <c r="T5" s="25" t="s">
        <v>13</v>
      </c>
      <c r="U5" s="25">
        <v>0.83276541332882537</v>
      </c>
    </row>
    <row r="6" spans="2:25">
      <c r="B6" s="54">
        <v>40727</v>
      </c>
      <c r="C6" s="55">
        <v>17</v>
      </c>
      <c r="D6" s="55">
        <v>0</v>
      </c>
      <c r="E6" s="55">
        <v>0</v>
      </c>
      <c r="F6" s="55">
        <v>1</v>
      </c>
      <c r="G6" s="55">
        <v>1</v>
      </c>
      <c r="H6" s="55">
        <v>4</v>
      </c>
      <c r="I6" s="63">
        <v>0</v>
      </c>
      <c r="J6" s="55">
        <v>0</v>
      </c>
      <c r="K6" s="55">
        <v>0</v>
      </c>
      <c r="L6" s="55">
        <v>0</v>
      </c>
      <c r="M6" s="55">
        <v>0</v>
      </c>
      <c r="N6" s="55">
        <v>0</v>
      </c>
      <c r="O6" s="55">
        <v>0</v>
      </c>
      <c r="P6" s="55">
        <v>0</v>
      </c>
      <c r="Q6" s="56">
        <v>20</v>
      </c>
      <c r="T6" s="25" t="s">
        <v>14</v>
      </c>
      <c r="U6" s="25">
        <v>0.69349823363672936</v>
      </c>
    </row>
    <row r="7" spans="2:25">
      <c r="B7" s="54">
        <v>40728</v>
      </c>
      <c r="C7" s="55">
        <v>11</v>
      </c>
      <c r="D7" s="55">
        <v>0</v>
      </c>
      <c r="E7" s="55">
        <v>0</v>
      </c>
      <c r="F7" s="55">
        <v>0</v>
      </c>
      <c r="G7" s="55">
        <v>0</v>
      </c>
      <c r="H7" s="55">
        <v>1</v>
      </c>
      <c r="I7" s="63">
        <v>0</v>
      </c>
      <c r="J7" s="55">
        <v>1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6">
        <v>14</v>
      </c>
      <c r="T7" s="25" t="s">
        <v>15</v>
      </c>
      <c r="U7" s="25">
        <v>0.6831083432515338</v>
      </c>
    </row>
    <row r="8" spans="2:25">
      <c r="B8" s="54">
        <v>40729</v>
      </c>
      <c r="C8" s="55">
        <v>8</v>
      </c>
      <c r="D8" s="55">
        <v>0</v>
      </c>
      <c r="E8" s="55">
        <v>0</v>
      </c>
      <c r="F8" s="55">
        <v>0</v>
      </c>
      <c r="G8" s="55">
        <v>0</v>
      </c>
      <c r="H8" s="55">
        <v>1</v>
      </c>
      <c r="I8" s="63">
        <v>0</v>
      </c>
      <c r="J8" s="55">
        <v>0</v>
      </c>
      <c r="K8" s="55">
        <v>1</v>
      </c>
      <c r="L8" s="55">
        <v>0</v>
      </c>
      <c r="M8" s="55">
        <v>0</v>
      </c>
      <c r="N8" s="55">
        <v>0</v>
      </c>
      <c r="O8" s="55">
        <v>0</v>
      </c>
      <c r="P8" s="55">
        <v>0</v>
      </c>
      <c r="Q8" s="56">
        <v>14</v>
      </c>
      <c r="T8" s="25" t="s">
        <v>16</v>
      </c>
      <c r="U8" s="25">
        <v>6.9392487901119519</v>
      </c>
    </row>
    <row r="9" spans="2:25" ht="21" thickBot="1">
      <c r="B9" s="54">
        <v>40730</v>
      </c>
      <c r="C9" s="55">
        <v>11</v>
      </c>
      <c r="D9" s="55">
        <v>0</v>
      </c>
      <c r="E9" s="55">
        <v>0</v>
      </c>
      <c r="F9" s="55">
        <v>0</v>
      </c>
      <c r="G9" s="55">
        <v>0</v>
      </c>
      <c r="H9" s="55">
        <v>1</v>
      </c>
      <c r="I9" s="63">
        <v>0</v>
      </c>
      <c r="J9" s="55">
        <v>0</v>
      </c>
      <c r="K9" s="55">
        <v>0</v>
      </c>
      <c r="L9" s="55">
        <v>1</v>
      </c>
      <c r="M9" s="55">
        <v>0</v>
      </c>
      <c r="N9" s="55">
        <v>0</v>
      </c>
      <c r="O9" s="55">
        <v>0</v>
      </c>
      <c r="P9" s="55">
        <v>0</v>
      </c>
      <c r="Q9" s="56">
        <v>4</v>
      </c>
      <c r="T9" s="26" t="s">
        <v>17</v>
      </c>
      <c r="U9" s="26">
        <v>367</v>
      </c>
    </row>
    <row r="10" spans="2:25">
      <c r="B10" s="54">
        <v>40731</v>
      </c>
      <c r="C10" s="55">
        <v>10</v>
      </c>
      <c r="D10" s="55">
        <v>0</v>
      </c>
      <c r="E10" s="55">
        <v>0</v>
      </c>
      <c r="F10" s="55">
        <v>0</v>
      </c>
      <c r="G10" s="55">
        <v>0</v>
      </c>
      <c r="H10" s="55">
        <v>1</v>
      </c>
      <c r="I10" s="63">
        <v>0</v>
      </c>
      <c r="J10" s="55">
        <v>0</v>
      </c>
      <c r="K10" s="55">
        <v>0</v>
      </c>
      <c r="L10" s="55">
        <v>0</v>
      </c>
      <c r="M10" s="55">
        <v>1</v>
      </c>
      <c r="N10" s="55">
        <v>0</v>
      </c>
      <c r="O10" s="55">
        <v>0</v>
      </c>
      <c r="P10" s="55">
        <v>0</v>
      </c>
      <c r="Q10" s="56">
        <v>10</v>
      </c>
    </row>
    <row r="11" spans="2:25" ht="21" thickBot="1">
      <c r="B11" s="54">
        <v>40732</v>
      </c>
      <c r="C11" s="55">
        <v>16</v>
      </c>
      <c r="D11" s="55">
        <v>0</v>
      </c>
      <c r="E11" s="55">
        <v>0</v>
      </c>
      <c r="F11" s="55">
        <v>0</v>
      </c>
      <c r="G11" s="55">
        <v>0</v>
      </c>
      <c r="H11" s="55">
        <v>1</v>
      </c>
      <c r="I11" s="63">
        <v>0</v>
      </c>
      <c r="J11" s="55">
        <v>0</v>
      </c>
      <c r="K11" s="55">
        <v>0</v>
      </c>
      <c r="L11" s="55">
        <v>0</v>
      </c>
      <c r="M11" s="55">
        <v>0</v>
      </c>
      <c r="N11" s="55">
        <v>1</v>
      </c>
      <c r="O11" s="55">
        <v>0</v>
      </c>
      <c r="P11" s="55">
        <v>0</v>
      </c>
      <c r="Q11" s="56">
        <v>12</v>
      </c>
      <c r="T11" t="s">
        <v>18</v>
      </c>
    </row>
    <row r="12" spans="2:25">
      <c r="B12" s="54">
        <v>40733</v>
      </c>
      <c r="C12" s="55">
        <v>19</v>
      </c>
      <c r="D12" s="55">
        <v>0</v>
      </c>
      <c r="E12" s="55">
        <v>0</v>
      </c>
      <c r="F12" s="55">
        <v>1</v>
      </c>
      <c r="G12" s="55">
        <v>1</v>
      </c>
      <c r="H12" s="55">
        <v>4</v>
      </c>
      <c r="I12" s="63">
        <v>0</v>
      </c>
      <c r="J12" s="55">
        <v>0</v>
      </c>
      <c r="K12" s="55">
        <v>0</v>
      </c>
      <c r="L12" s="55">
        <v>0</v>
      </c>
      <c r="M12" s="55">
        <v>0</v>
      </c>
      <c r="N12" s="55">
        <v>0</v>
      </c>
      <c r="O12" s="55">
        <v>1</v>
      </c>
      <c r="P12" s="55">
        <v>0</v>
      </c>
      <c r="Q12" s="56">
        <v>21</v>
      </c>
      <c r="T12" s="27"/>
      <c r="U12" s="27" t="s">
        <v>23</v>
      </c>
      <c r="V12" s="27" t="s">
        <v>24</v>
      </c>
      <c r="W12" s="27" t="s">
        <v>25</v>
      </c>
      <c r="X12" s="27" t="s">
        <v>26</v>
      </c>
      <c r="Y12" s="27" t="s">
        <v>27</v>
      </c>
    </row>
    <row r="13" spans="2:25">
      <c r="B13" s="54">
        <v>40734</v>
      </c>
      <c r="C13" s="55">
        <v>20</v>
      </c>
      <c r="D13" s="55">
        <v>0</v>
      </c>
      <c r="E13" s="55">
        <v>0</v>
      </c>
      <c r="F13" s="55">
        <v>1</v>
      </c>
      <c r="G13" s="55">
        <v>1</v>
      </c>
      <c r="H13" s="55">
        <v>4</v>
      </c>
      <c r="I13" s="63">
        <v>0</v>
      </c>
      <c r="J13" s="55">
        <v>0</v>
      </c>
      <c r="K13" s="55">
        <v>0</v>
      </c>
      <c r="L13" s="55">
        <v>0</v>
      </c>
      <c r="M13" s="55">
        <v>0</v>
      </c>
      <c r="N13" s="55">
        <v>0</v>
      </c>
      <c r="O13" s="55">
        <v>0</v>
      </c>
      <c r="P13" s="55">
        <v>0</v>
      </c>
      <c r="Q13" s="56">
        <v>15</v>
      </c>
      <c r="T13" s="25" t="s">
        <v>19</v>
      </c>
      <c r="U13" s="25">
        <v>12</v>
      </c>
      <c r="V13" s="25">
        <v>38569.193378774144</v>
      </c>
      <c r="W13" s="25">
        <v>3214.0994482311785</v>
      </c>
      <c r="X13" s="25">
        <v>66.747406173301258</v>
      </c>
      <c r="Y13" s="25">
        <v>3.2091517439599569E-83</v>
      </c>
    </row>
    <row r="14" spans="2:25">
      <c r="B14" s="54">
        <v>40735</v>
      </c>
      <c r="C14" s="55">
        <v>17</v>
      </c>
      <c r="D14" s="55">
        <v>0</v>
      </c>
      <c r="E14" s="55">
        <v>0</v>
      </c>
      <c r="F14" s="55">
        <v>0</v>
      </c>
      <c r="G14" s="55">
        <v>0</v>
      </c>
      <c r="H14" s="55">
        <v>1</v>
      </c>
      <c r="I14" s="63">
        <v>0</v>
      </c>
      <c r="J14" s="55">
        <v>1</v>
      </c>
      <c r="K14" s="55">
        <v>0</v>
      </c>
      <c r="L14" s="55">
        <v>0</v>
      </c>
      <c r="M14" s="55">
        <v>0</v>
      </c>
      <c r="N14" s="55">
        <v>0</v>
      </c>
      <c r="O14" s="55">
        <v>0</v>
      </c>
      <c r="P14" s="55">
        <v>0</v>
      </c>
      <c r="Q14" s="56">
        <v>11</v>
      </c>
      <c r="T14" s="25" t="s">
        <v>20</v>
      </c>
      <c r="U14" s="25">
        <v>354</v>
      </c>
      <c r="V14" s="25">
        <v>17046.223514958849</v>
      </c>
      <c r="W14" s="25">
        <v>48.153173771070193</v>
      </c>
      <c r="X14" s="25"/>
      <c r="Y14" s="25"/>
    </row>
    <row r="15" spans="2:25" ht="21" thickBot="1">
      <c r="B15" s="54">
        <v>40736</v>
      </c>
      <c r="C15" s="55">
        <v>10</v>
      </c>
      <c r="D15" s="55">
        <v>0</v>
      </c>
      <c r="E15" s="55">
        <v>0</v>
      </c>
      <c r="F15" s="55">
        <v>0</v>
      </c>
      <c r="G15" s="55">
        <v>0</v>
      </c>
      <c r="H15" s="55">
        <v>1</v>
      </c>
      <c r="I15" s="63">
        <v>0</v>
      </c>
      <c r="J15" s="55">
        <v>0</v>
      </c>
      <c r="K15" s="55">
        <v>1</v>
      </c>
      <c r="L15" s="55">
        <v>0</v>
      </c>
      <c r="M15" s="55">
        <v>0</v>
      </c>
      <c r="N15" s="55">
        <v>0</v>
      </c>
      <c r="O15" s="55">
        <v>0</v>
      </c>
      <c r="P15" s="55">
        <v>0</v>
      </c>
      <c r="Q15" s="56">
        <v>8</v>
      </c>
      <c r="T15" s="26" t="s">
        <v>21</v>
      </c>
      <c r="U15" s="26">
        <v>366</v>
      </c>
      <c r="V15" s="26">
        <v>55615.416893732996</v>
      </c>
      <c r="W15" s="26"/>
      <c r="X15" s="26"/>
      <c r="Y15" s="26"/>
    </row>
    <row r="16" spans="2:25" ht="21" thickBot="1">
      <c r="B16" s="54">
        <v>40737</v>
      </c>
      <c r="C16" s="55">
        <v>9</v>
      </c>
      <c r="D16" s="55">
        <v>0</v>
      </c>
      <c r="E16" s="55">
        <v>0</v>
      </c>
      <c r="F16" s="55">
        <v>0</v>
      </c>
      <c r="G16" s="55">
        <v>0</v>
      </c>
      <c r="H16" s="55">
        <v>1</v>
      </c>
      <c r="I16" s="63">
        <v>0</v>
      </c>
      <c r="J16" s="55">
        <v>0</v>
      </c>
      <c r="K16" s="55">
        <v>0</v>
      </c>
      <c r="L16" s="55">
        <v>1</v>
      </c>
      <c r="M16" s="55">
        <v>0</v>
      </c>
      <c r="N16" s="55">
        <v>0</v>
      </c>
      <c r="O16" s="55">
        <v>0</v>
      </c>
      <c r="P16" s="55">
        <v>0</v>
      </c>
      <c r="Q16" s="56">
        <v>13</v>
      </c>
    </row>
    <row r="17" spans="2:28">
      <c r="B17" s="54">
        <v>40738</v>
      </c>
      <c r="C17" s="55">
        <v>16</v>
      </c>
      <c r="D17" s="55">
        <v>0</v>
      </c>
      <c r="E17" s="55">
        <v>0</v>
      </c>
      <c r="F17" s="55">
        <v>0</v>
      </c>
      <c r="G17" s="55">
        <v>0</v>
      </c>
      <c r="H17" s="55">
        <v>1</v>
      </c>
      <c r="I17" s="63">
        <v>0</v>
      </c>
      <c r="J17" s="55">
        <v>0</v>
      </c>
      <c r="K17" s="55">
        <v>0</v>
      </c>
      <c r="L17" s="55">
        <v>0</v>
      </c>
      <c r="M17" s="55">
        <v>1</v>
      </c>
      <c r="N17" s="55">
        <v>0</v>
      </c>
      <c r="O17" s="55">
        <v>0</v>
      </c>
      <c r="P17" s="55">
        <v>0</v>
      </c>
      <c r="Q17" s="56">
        <v>8</v>
      </c>
      <c r="T17" s="72"/>
      <c r="U17" s="72" t="s">
        <v>28</v>
      </c>
      <c r="V17" s="27" t="s">
        <v>16</v>
      </c>
      <c r="W17" s="27" t="s">
        <v>29</v>
      </c>
      <c r="X17" s="27" t="s">
        <v>30</v>
      </c>
      <c r="Y17" s="27" t="s">
        <v>31</v>
      </c>
      <c r="Z17" s="27" t="s">
        <v>32</v>
      </c>
      <c r="AA17" s="27" t="s">
        <v>33</v>
      </c>
      <c r="AB17" s="27" t="s">
        <v>34</v>
      </c>
    </row>
    <row r="18" spans="2:28">
      <c r="B18" s="54">
        <v>40739</v>
      </c>
      <c r="C18" s="55">
        <v>19</v>
      </c>
      <c r="D18" s="55">
        <v>0</v>
      </c>
      <c r="E18" s="55">
        <v>0</v>
      </c>
      <c r="F18" s="55">
        <v>0</v>
      </c>
      <c r="G18" s="55">
        <v>0</v>
      </c>
      <c r="H18" s="55">
        <v>1</v>
      </c>
      <c r="I18" s="63">
        <v>0</v>
      </c>
      <c r="J18" s="55">
        <v>0</v>
      </c>
      <c r="K18" s="55">
        <v>0</v>
      </c>
      <c r="L18" s="55">
        <v>0</v>
      </c>
      <c r="M18" s="55">
        <v>0</v>
      </c>
      <c r="N18" s="55">
        <v>1</v>
      </c>
      <c r="O18" s="55">
        <v>0</v>
      </c>
      <c r="P18" s="55">
        <v>0</v>
      </c>
      <c r="Q18" s="56">
        <v>16</v>
      </c>
      <c r="T18" s="73" t="s">
        <v>22</v>
      </c>
      <c r="U18" s="73">
        <v>5.3656205887659176</v>
      </c>
      <c r="V18" s="25">
        <v>1.4228119021214949</v>
      </c>
      <c r="W18" s="25">
        <v>3.771138392056931</v>
      </c>
      <c r="X18" s="25">
        <v>1.9038960081799235E-4</v>
      </c>
      <c r="Y18" s="25">
        <v>2.5673936419175769</v>
      </c>
      <c r="Z18" s="25">
        <v>8.1638475356142592</v>
      </c>
      <c r="AA18" s="25">
        <v>2.5673936419175769</v>
      </c>
      <c r="AB18" s="25">
        <v>8.1638475356142592</v>
      </c>
    </row>
    <row r="19" spans="2:28">
      <c r="B19" s="54">
        <v>40740</v>
      </c>
      <c r="C19" s="55">
        <v>17</v>
      </c>
      <c r="D19" s="55">
        <v>0</v>
      </c>
      <c r="E19" s="55">
        <v>0</v>
      </c>
      <c r="F19" s="55">
        <v>2</v>
      </c>
      <c r="G19" s="55">
        <v>1</v>
      </c>
      <c r="H19" s="55">
        <v>6</v>
      </c>
      <c r="I19" s="63">
        <v>0</v>
      </c>
      <c r="J19" s="55">
        <v>0</v>
      </c>
      <c r="K19" s="55">
        <v>0</v>
      </c>
      <c r="L19" s="55">
        <v>0</v>
      </c>
      <c r="M19" s="55">
        <v>0</v>
      </c>
      <c r="N19" s="55">
        <v>0</v>
      </c>
      <c r="O19" s="55">
        <v>1</v>
      </c>
      <c r="P19" s="55">
        <v>0</v>
      </c>
      <c r="Q19" s="56">
        <v>23</v>
      </c>
      <c r="T19" s="73" t="s">
        <v>4</v>
      </c>
      <c r="U19" s="73">
        <v>5.3179073766994058</v>
      </c>
      <c r="V19" s="25">
        <v>1.0423524464423943</v>
      </c>
      <c r="W19" s="25">
        <v>5.1018322975589623</v>
      </c>
      <c r="X19" s="25">
        <v>5.4971710585278473E-7</v>
      </c>
      <c r="Y19" s="25">
        <v>3.2679254364307213</v>
      </c>
      <c r="Z19" s="25">
        <v>7.3678893169680908</v>
      </c>
      <c r="AA19" s="25">
        <v>3.2679254364307213</v>
      </c>
      <c r="AB19" s="25">
        <v>7.3678893169680908</v>
      </c>
    </row>
    <row r="20" spans="2:28">
      <c r="B20" s="54">
        <v>40741</v>
      </c>
      <c r="C20" s="55">
        <v>23</v>
      </c>
      <c r="D20" s="55">
        <v>0</v>
      </c>
      <c r="E20" s="55">
        <v>0</v>
      </c>
      <c r="F20" s="55">
        <v>2</v>
      </c>
      <c r="G20" s="55">
        <v>1</v>
      </c>
      <c r="H20" s="55">
        <v>6</v>
      </c>
      <c r="I20" s="63">
        <v>0</v>
      </c>
      <c r="J20" s="55">
        <v>0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6">
        <v>25</v>
      </c>
      <c r="T20" s="73" t="s">
        <v>5</v>
      </c>
      <c r="U20" s="73">
        <v>3.8074290823476789</v>
      </c>
      <c r="V20" s="25">
        <v>1.2293524208567639</v>
      </c>
      <c r="W20" s="25">
        <v>3.0971013826077587</v>
      </c>
      <c r="X20" s="25">
        <v>2.1102761464135197E-3</v>
      </c>
      <c r="Y20" s="25">
        <v>1.3896765557590345</v>
      </c>
      <c r="Z20" s="25">
        <v>6.2251816089363228</v>
      </c>
      <c r="AA20" s="25">
        <v>1.3896765557590345</v>
      </c>
      <c r="AB20" s="25">
        <v>6.2251816089363228</v>
      </c>
    </row>
    <row r="21" spans="2:28">
      <c r="B21" s="54">
        <v>40742</v>
      </c>
      <c r="C21" s="55">
        <v>19</v>
      </c>
      <c r="D21" s="55">
        <v>0</v>
      </c>
      <c r="E21" s="55">
        <v>0</v>
      </c>
      <c r="F21" s="55">
        <v>1</v>
      </c>
      <c r="G21" s="55">
        <v>0</v>
      </c>
      <c r="H21" s="55">
        <v>2</v>
      </c>
      <c r="I21" s="63">
        <v>1</v>
      </c>
      <c r="J21" s="55">
        <v>1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0</v>
      </c>
      <c r="Q21" s="56">
        <v>18</v>
      </c>
      <c r="T21" s="73" t="s">
        <v>6</v>
      </c>
      <c r="U21" s="73">
        <v>-0.75404490265982793</v>
      </c>
      <c r="V21" s="25">
        <v>0.27191913554142327</v>
      </c>
      <c r="W21" s="25">
        <v>-2.773048322467027</v>
      </c>
      <c r="X21" s="25">
        <v>5.8473680313278686E-3</v>
      </c>
      <c r="Y21" s="25">
        <v>-1.2888249753463046</v>
      </c>
      <c r="Z21" s="25">
        <v>-0.21926482997335139</v>
      </c>
      <c r="AA21" s="25">
        <v>-1.2888249753463046</v>
      </c>
      <c r="AB21" s="25">
        <v>-0.21926482997335139</v>
      </c>
    </row>
    <row r="22" spans="2:28">
      <c r="B22" s="54">
        <v>40743</v>
      </c>
      <c r="C22" s="55">
        <v>13</v>
      </c>
      <c r="D22" s="55">
        <v>0</v>
      </c>
      <c r="E22" s="55">
        <v>0</v>
      </c>
      <c r="F22" s="55">
        <v>0</v>
      </c>
      <c r="G22" s="55">
        <v>0</v>
      </c>
      <c r="H22" s="55">
        <v>1</v>
      </c>
      <c r="I22" s="63">
        <v>0</v>
      </c>
      <c r="J22" s="55">
        <v>0</v>
      </c>
      <c r="K22" s="55">
        <v>1</v>
      </c>
      <c r="L22" s="55">
        <v>0</v>
      </c>
      <c r="M22" s="55">
        <v>0</v>
      </c>
      <c r="N22" s="55">
        <v>0</v>
      </c>
      <c r="O22" s="55">
        <v>0</v>
      </c>
      <c r="P22" s="55">
        <v>0</v>
      </c>
      <c r="Q22" s="56">
        <v>21</v>
      </c>
      <c r="T22" s="73" t="s">
        <v>57</v>
      </c>
      <c r="U22" s="73">
        <v>-0.9661306496536447</v>
      </c>
      <c r="V22" s="25">
        <v>1.912143058376085</v>
      </c>
      <c r="W22" s="25">
        <v>-0.50526065265961062</v>
      </c>
      <c r="X22" s="25">
        <v>0.61369019453611462</v>
      </c>
      <c r="Y22" s="25">
        <v>-4.7267192588709923</v>
      </c>
      <c r="Z22" s="25">
        <v>2.7944579595637027</v>
      </c>
      <c r="AA22" s="25">
        <v>-4.7267192588709923</v>
      </c>
      <c r="AB22" s="25">
        <v>2.7944579595637027</v>
      </c>
    </row>
    <row r="23" spans="2:28">
      <c r="B23" s="54">
        <v>40744</v>
      </c>
      <c r="C23" s="55">
        <v>15</v>
      </c>
      <c r="D23" s="55">
        <v>0</v>
      </c>
      <c r="E23" s="55">
        <v>0</v>
      </c>
      <c r="F23" s="55">
        <v>0</v>
      </c>
      <c r="G23" s="55">
        <v>0</v>
      </c>
      <c r="H23" s="55">
        <v>1</v>
      </c>
      <c r="I23" s="63">
        <v>0</v>
      </c>
      <c r="J23" s="55">
        <v>0</v>
      </c>
      <c r="K23" s="55">
        <v>0</v>
      </c>
      <c r="L23" s="55">
        <v>1</v>
      </c>
      <c r="M23" s="55">
        <v>0</v>
      </c>
      <c r="N23" s="55">
        <v>0</v>
      </c>
      <c r="O23" s="55">
        <v>0</v>
      </c>
      <c r="P23" s="55">
        <v>0</v>
      </c>
      <c r="Q23" s="56">
        <v>9</v>
      </c>
      <c r="T23" s="73" t="s">
        <v>56</v>
      </c>
      <c r="U23" s="73">
        <v>4.914951809728664</v>
      </c>
      <c r="V23" s="25">
        <v>1.4508401349190789</v>
      </c>
      <c r="W23" s="25">
        <v>3.387659116559246</v>
      </c>
      <c r="X23" s="25">
        <v>7.8420935268368587E-4</v>
      </c>
      <c r="Y23" s="25">
        <v>2.0616020766780179</v>
      </c>
      <c r="Z23" s="25">
        <v>7.7683015427793105</v>
      </c>
      <c r="AA23" s="25">
        <v>2.0616020766780179</v>
      </c>
      <c r="AB23" s="25">
        <v>7.7683015427793105</v>
      </c>
    </row>
    <row r="24" spans="2:28">
      <c r="B24" s="54">
        <v>40745</v>
      </c>
      <c r="C24" s="55">
        <v>14</v>
      </c>
      <c r="D24" s="55">
        <v>0</v>
      </c>
      <c r="E24" s="55">
        <v>0</v>
      </c>
      <c r="F24" s="55">
        <v>0</v>
      </c>
      <c r="G24" s="55">
        <v>0</v>
      </c>
      <c r="H24" s="55">
        <v>1</v>
      </c>
      <c r="I24" s="63">
        <v>0</v>
      </c>
      <c r="J24" s="55">
        <v>0</v>
      </c>
      <c r="K24" s="55">
        <v>0</v>
      </c>
      <c r="L24" s="55">
        <v>0</v>
      </c>
      <c r="M24" s="55">
        <v>1</v>
      </c>
      <c r="N24" s="55">
        <v>0</v>
      </c>
      <c r="O24" s="55">
        <v>0</v>
      </c>
      <c r="P24" s="55">
        <v>0</v>
      </c>
      <c r="Q24" s="56">
        <v>8</v>
      </c>
      <c r="T24" s="73" t="s">
        <v>55</v>
      </c>
      <c r="U24" s="73">
        <v>4.9235459496112179</v>
      </c>
      <c r="V24" s="25">
        <v>1.4591061439958168</v>
      </c>
      <c r="W24" s="25">
        <v>3.3743576297526259</v>
      </c>
      <c r="X24" s="25">
        <v>8.2184870932450953E-4</v>
      </c>
      <c r="Y24" s="25">
        <v>2.053939556557284</v>
      </c>
      <c r="Z24" s="25">
        <v>7.7931523426651523</v>
      </c>
      <c r="AA24" s="25">
        <v>2.053939556557284</v>
      </c>
      <c r="AB24" s="25">
        <v>7.7931523426651523</v>
      </c>
    </row>
    <row r="25" spans="2:28">
      <c r="B25" s="54">
        <v>40746</v>
      </c>
      <c r="C25" s="55">
        <v>18</v>
      </c>
      <c r="D25" s="55">
        <v>0</v>
      </c>
      <c r="E25" s="55">
        <v>0</v>
      </c>
      <c r="F25" s="55">
        <v>1</v>
      </c>
      <c r="G25" s="55">
        <v>0</v>
      </c>
      <c r="H25" s="55">
        <v>2</v>
      </c>
      <c r="I25" s="63">
        <v>0</v>
      </c>
      <c r="J25" s="55">
        <v>0</v>
      </c>
      <c r="K25" s="55">
        <v>0</v>
      </c>
      <c r="L25" s="55">
        <v>0</v>
      </c>
      <c r="M25" s="55">
        <v>0</v>
      </c>
      <c r="N25" s="55">
        <v>1</v>
      </c>
      <c r="O25" s="55">
        <v>0</v>
      </c>
      <c r="P25" s="55">
        <v>0</v>
      </c>
      <c r="Q25" s="56">
        <v>12</v>
      </c>
      <c r="T25" s="73" t="s">
        <v>54</v>
      </c>
      <c r="U25" s="73">
        <v>4.5246396658135168</v>
      </c>
      <c r="V25" s="25">
        <v>1.4463871643105495</v>
      </c>
      <c r="W25" s="25">
        <v>3.1282354942428436</v>
      </c>
      <c r="X25" s="25">
        <v>1.9044252842162878E-3</v>
      </c>
      <c r="Y25" s="25">
        <v>1.6800475361619793</v>
      </c>
      <c r="Z25" s="25">
        <v>7.3692317954650548</v>
      </c>
      <c r="AA25" s="25">
        <v>1.6800475361619793</v>
      </c>
      <c r="AB25" s="25">
        <v>7.3692317954650548</v>
      </c>
    </row>
    <row r="26" spans="2:28">
      <c r="B26" s="54">
        <v>40747</v>
      </c>
      <c r="C26" s="55">
        <v>22</v>
      </c>
      <c r="D26" s="55">
        <v>0</v>
      </c>
      <c r="E26" s="55">
        <v>0</v>
      </c>
      <c r="F26" s="55">
        <v>1</v>
      </c>
      <c r="G26" s="55">
        <v>1</v>
      </c>
      <c r="H26" s="55">
        <v>4</v>
      </c>
      <c r="I26" s="63">
        <v>0</v>
      </c>
      <c r="J26" s="55">
        <v>0</v>
      </c>
      <c r="K26" s="55">
        <v>0</v>
      </c>
      <c r="L26" s="55">
        <v>0</v>
      </c>
      <c r="M26" s="55">
        <v>0</v>
      </c>
      <c r="N26" s="55">
        <v>0</v>
      </c>
      <c r="O26" s="55">
        <v>1</v>
      </c>
      <c r="P26" s="55">
        <v>0</v>
      </c>
      <c r="Q26" s="56">
        <v>23</v>
      </c>
      <c r="T26" s="73" t="s">
        <v>53</v>
      </c>
      <c r="U26" s="73">
        <v>3.1591336869211086</v>
      </c>
      <c r="V26" s="25">
        <v>1.4199146116073889</v>
      </c>
      <c r="W26" s="25">
        <v>2.2248758207684531</v>
      </c>
      <c r="X26" s="25">
        <v>2.6719387971423057E-2</v>
      </c>
      <c r="Y26" s="25">
        <v>0.36660480625940206</v>
      </c>
      <c r="Z26" s="25">
        <v>5.9516625675828152</v>
      </c>
      <c r="AA26" s="25">
        <v>0.36660480625940206</v>
      </c>
      <c r="AB26" s="25">
        <v>5.9516625675828152</v>
      </c>
    </row>
    <row r="27" spans="2:28">
      <c r="B27" s="54">
        <v>40748</v>
      </c>
      <c r="C27" s="55">
        <v>23</v>
      </c>
      <c r="D27" s="55">
        <v>0</v>
      </c>
      <c r="E27" s="55">
        <v>0</v>
      </c>
      <c r="F27" s="55">
        <v>1</v>
      </c>
      <c r="G27" s="55">
        <v>1</v>
      </c>
      <c r="H27" s="55">
        <v>4</v>
      </c>
      <c r="I27" s="63">
        <v>0</v>
      </c>
      <c r="J27" s="55">
        <v>0</v>
      </c>
      <c r="K27" s="55">
        <v>0</v>
      </c>
      <c r="L27" s="55">
        <v>0</v>
      </c>
      <c r="M27" s="55">
        <v>0</v>
      </c>
      <c r="N27" s="55">
        <v>0</v>
      </c>
      <c r="O27" s="55">
        <v>0</v>
      </c>
      <c r="P27" s="55">
        <v>0</v>
      </c>
      <c r="Q27" s="56">
        <v>18</v>
      </c>
      <c r="T27" s="73" t="s">
        <v>52</v>
      </c>
      <c r="U27" s="73">
        <v>4.5865655790482771</v>
      </c>
      <c r="V27" s="25">
        <v>1.424384127960161</v>
      </c>
      <c r="W27" s="25">
        <v>3.22003418110017</v>
      </c>
      <c r="X27" s="25">
        <v>1.4003882015412113E-3</v>
      </c>
      <c r="Y27" s="25">
        <v>1.7852465546725225</v>
      </c>
      <c r="Z27" s="25">
        <v>7.3878846034240322</v>
      </c>
      <c r="AA27" s="25">
        <v>1.7852465546725225</v>
      </c>
      <c r="AB27" s="25">
        <v>7.3878846034240322</v>
      </c>
    </row>
    <row r="28" spans="2:28">
      <c r="B28" s="54">
        <v>40749</v>
      </c>
      <c r="C28" s="55">
        <v>14</v>
      </c>
      <c r="D28" s="55">
        <v>0</v>
      </c>
      <c r="E28" s="55">
        <v>0</v>
      </c>
      <c r="F28" s="55">
        <v>1</v>
      </c>
      <c r="G28" s="55">
        <v>0</v>
      </c>
      <c r="H28" s="55">
        <v>2</v>
      </c>
      <c r="I28" s="63">
        <v>0</v>
      </c>
      <c r="J28" s="55">
        <v>1</v>
      </c>
      <c r="K28" s="55">
        <v>0</v>
      </c>
      <c r="L28" s="55">
        <v>0</v>
      </c>
      <c r="M28" s="55">
        <v>0</v>
      </c>
      <c r="N28" s="55">
        <v>0</v>
      </c>
      <c r="O28" s="55">
        <v>0</v>
      </c>
      <c r="P28" s="55">
        <v>0</v>
      </c>
      <c r="Q28" s="56">
        <v>18</v>
      </c>
      <c r="T28" s="73" t="s">
        <v>51</v>
      </c>
      <c r="U28" s="73">
        <v>2.7009262610823073</v>
      </c>
      <c r="V28" s="25">
        <v>1.3696019978542073</v>
      </c>
      <c r="W28" s="25">
        <v>1.9720519284536104</v>
      </c>
      <c r="X28" s="25">
        <v>4.9381766672604785E-2</v>
      </c>
      <c r="Y28" s="25">
        <v>7.3465889284891617E-3</v>
      </c>
      <c r="Z28" s="25">
        <v>5.3945059332361254</v>
      </c>
      <c r="AA28" s="25">
        <v>7.3465889284891617E-3</v>
      </c>
      <c r="AB28" s="25">
        <v>5.3945059332361254</v>
      </c>
    </row>
    <row r="29" spans="2:28">
      <c r="B29" s="54">
        <v>40750</v>
      </c>
      <c r="C29" s="55">
        <v>11</v>
      </c>
      <c r="D29" s="55">
        <v>0</v>
      </c>
      <c r="E29" s="55">
        <v>0</v>
      </c>
      <c r="F29" s="55">
        <v>1</v>
      </c>
      <c r="G29" s="55">
        <v>0</v>
      </c>
      <c r="H29" s="55">
        <v>2</v>
      </c>
      <c r="I29" s="63">
        <v>0</v>
      </c>
      <c r="J29" s="55">
        <v>0</v>
      </c>
      <c r="K29" s="55">
        <v>1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6">
        <v>14</v>
      </c>
      <c r="T29" s="73" t="s">
        <v>49</v>
      </c>
      <c r="U29" s="73">
        <v>8.1332181007052498</v>
      </c>
      <c r="V29" s="25">
        <v>1.1885207141423084</v>
      </c>
      <c r="W29" s="25">
        <v>6.8431437533459878</v>
      </c>
      <c r="X29" s="25">
        <v>3.4234161981658575E-11</v>
      </c>
      <c r="Y29" s="25">
        <v>5.795768797503924</v>
      </c>
      <c r="Z29" s="25">
        <v>10.470667403906575</v>
      </c>
      <c r="AA29" s="25">
        <v>5.795768797503924</v>
      </c>
      <c r="AB29" s="25">
        <v>10.470667403906575</v>
      </c>
    </row>
    <row r="30" spans="2:28" ht="21" thickBot="1">
      <c r="B30" s="54">
        <v>40751</v>
      </c>
      <c r="C30" s="55">
        <v>14</v>
      </c>
      <c r="D30" s="55">
        <v>0</v>
      </c>
      <c r="E30" s="55">
        <v>0</v>
      </c>
      <c r="F30" s="55">
        <v>1</v>
      </c>
      <c r="G30" s="55">
        <v>0</v>
      </c>
      <c r="H30" s="55">
        <v>2</v>
      </c>
      <c r="I30" s="63">
        <v>0</v>
      </c>
      <c r="J30" s="55">
        <v>0</v>
      </c>
      <c r="K30" s="55">
        <v>0</v>
      </c>
      <c r="L30" s="55">
        <v>1</v>
      </c>
      <c r="M30" s="55">
        <v>0</v>
      </c>
      <c r="N30" s="55">
        <v>0</v>
      </c>
      <c r="O30" s="55">
        <v>0</v>
      </c>
      <c r="P30" s="55">
        <v>0</v>
      </c>
      <c r="Q30" s="56">
        <v>18</v>
      </c>
      <c r="T30" s="74" t="s">
        <v>50</v>
      </c>
      <c r="U30" s="74">
        <v>0.57512576934356696</v>
      </c>
      <c r="V30" s="26">
        <v>6.4696405902287965E-2</v>
      </c>
      <c r="W30" s="26">
        <v>8.889609265346035</v>
      </c>
      <c r="X30" s="26">
        <v>3.1765554712473267E-17</v>
      </c>
      <c r="Y30" s="26">
        <v>0.44788813091076624</v>
      </c>
      <c r="Z30" s="26">
        <v>0.70236340777636763</v>
      </c>
      <c r="AA30" s="26">
        <v>0.44788813091076624</v>
      </c>
      <c r="AB30" s="26">
        <v>0.70236340777636763</v>
      </c>
    </row>
    <row r="31" spans="2:28">
      <c r="B31" s="54">
        <v>40752</v>
      </c>
      <c r="C31" s="55">
        <v>17</v>
      </c>
      <c r="D31" s="55">
        <v>0</v>
      </c>
      <c r="E31" s="55">
        <v>0</v>
      </c>
      <c r="F31" s="55">
        <v>1</v>
      </c>
      <c r="G31" s="55">
        <v>0</v>
      </c>
      <c r="H31" s="55">
        <v>2</v>
      </c>
      <c r="I31" s="63">
        <v>0</v>
      </c>
      <c r="J31" s="55">
        <v>0</v>
      </c>
      <c r="K31" s="55">
        <v>0</v>
      </c>
      <c r="L31" s="55">
        <v>0</v>
      </c>
      <c r="M31" s="55">
        <v>1</v>
      </c>
      <c r="N31" s="55">
        <v>0</v>
      </c>
      <c r="O31" s="55">
        <v>0</v>
      </c>
      <c r="P31" s="55">
        <v>0</v>
      </c>
      <c r="Q31" s="56">
        <v>19</v>
      </c>
    </row>
    <row r="32" spans="2:28">
      <c r="B32" s="54">
        <v>40753</v>
      </c>
      <c r="C32" s="55">
        <v>24</v>
      </c>
      <c r="D32" s="55">
        <v>0</v>
      </c>
      <c r="E32" s="55">
        <v>0</v>
      </c>
      <c r="F32" s="55">
        <v>1</v>
      </c>
      <c r="G32" s="55">
        <v>1</v>
      </c>
      <c r="H32" s="55">
        <v>4</v>
      </c>
      <c r="I32" s="63">
        <v>0</v>
      </c>
      <c r="J32" s="55">
        <v>0</v>
      </c>
      <c r="K32" s="55">
        <v>0</v>
      </c>
      <c r="L32" s="55">
        <v>0</v>
      </c>
      <c r="M32" s="55">
        <v>0</v>
      </c>
      <c r="N32" s="55">
        <v>1</v>
      </c>
      <c r="O32" s="55">
        <v>0</v>
      </c>
      <c r="P32" s="55">
        <v>0</v>
      </c>
      <c r="Q32" s="56">
        <v>15</v>
      </c>
    </row>
    <row r="33" spans="2:17">
      <c r="B33" s="54">
        <v>40754</v>
      </c>
      <c r="C33" s="55">
        <v>23</v>
      </c>
      <c r="D33" s="55">
        <v>0</v>
      </c>
      <c r="E33" s="55">
        <v>0</v>
      </c>
      <c r="F33" s="55">
        <v>2</v>
      </c>
      <c r="G33" s="55">
        <v>2</v>
      </c>
      <c r="H33" s="55">
        <v>9</v>
      </c>
      <c r="I33" s="63">
        <v>0</v>
      </c>
      <c r="J33" s="55">
        <v>0</v>
      </c>
      <c r="K33" s="55">
        <v>0</v>
      </c>
      <c r="L33" s="55">
        <v>0</v>
      </c>
      <c r="M33" s="55">
        <v>0</v>
      </c>
      <c r="N33" s="55">
        <v>0</v>
      </c>
      <c r="O33" s="55">
        <v>1</v>
      </c>
      <c r="P33" s="55">
        <v>0</v>
      </c>
      <c r="Q33" s="56">
        <v>18</v>
      </c>
    </row>
    <row r="34" spans="2:17">
      <c r="B34" s="54">
        <v>40755</v>
      </c>
      <c r="C34" s="55">
        <v>31</v>
      </c>
      <c r="D34" s="55">
        <v>0</v>
      </c>
      <c r="E34" s="55">
        <v>0</v>
      </c>
      <c r="F34" s="55">
        <v>2</v>
      </c>
      <c r="G34" s="55">
        <v>1</v>
      </c>
      <c r="H34" s="55">
        <v>6</v>
      </c>
      <c r="I34" s="63">
        <v>0</v>
      </c>
      <c r="J34" s="55">
        <v>0</v>
      </c>
      <c r="K34" s="55">
        <v>0</v>
      </c>
      <c r="L34" s="55">
        <v>0</v>
      </c>
      <c r="M34" s="55">
        <v>0</v>
      </c>
      <c r="N34" s="55">
        <v>0</v>
      </c>
      <c r="O34" s="55">
        <v>0</v>
      </c>
      <c r="P34" s="55">
        <v>0</v>
      </c>
      <c r="Q34" s="56">
        <v>20</v>
      </c>
    </row>
    <row r="35" spans="2:17">
      <c r="B35" s="54">
        <v>40756</v>
      </c>
      <c r="C35" s="55">
        <v>19</v>
      </c>
      <c r="D35" s="55">
        <v>0</v>
      </c>
      <c r="E35" s="55">
        <v>0</v>
      </c>
      <c r="F35" s="55">
        <v>1</v>
      </c>
      <c r="G35" s="55">
        <v>0</v>
      </c>
      <c r="H35" s="55">
        <v>2</v>
      </c>
      <c r="I35" s="63">
        <v>0</v>
      </c>
      <c r="J35" s="55">
        <v>1</v>
      </c>
      <c r="K35" s="55">
        <v>0</v>
      </c>
      <c r="L35" s="55">
        <v>0</v>
      </c>
      <c r="M35" s="55">
        <v>0</v>
      </c>
      <c r="N35" s="55">
        <v>0</v>
      </c>
      <c r="O35" s="55">
        <v>0</v>
      </c>
      <c r="P35" s="55">
        <v>0</v>
      </c>
      <c r="Q35" s="56">
        <v>17</v>
      </c>
    </row>
    <row r="36" spans="2:17">
      <c r="B36" s="54">
        <v>40757</v>
      </c>
      <c r="C36" s="55">
        <v>10</v>
      </c>
      <c r="D36" s="55">
        <v>0</v>
      </c>
      <c r="E36" s="55">
        <v>0</v>
      </c>
      <c r="F36" s="55">
        <v>0</v>
      </c>
      <c r="G36" s="55">
        <v>0</v>
      </c>
      <c r="H36" s="55">
        <v>1</v>
      </c>
      <c r="I36" s="63">
        <v>0</v>
      </c>
      <c r="J36" s="55">
        <v>0</v>
      </c>
      <c r="K36" s="55">
        <v>1</v>
      </c>
      <c r="L36" s="55">
        <v>0</v>
      </c>
      <c r="M36" s="55">
        <v>0</v>
      </c>
      <c r="N36" s="55">
        <v>0</v>
      </c>
      <c r="O36" s="55">
        <v>0</v>
      </c>
      <c r="P36" s="55">
        <v>0</v>
      </c>
      <c r="Q36" s="56">
        <v>15</v>
      </c>
    </row>
    <row r="37" spans="2:17">
      <c r="B37" s="54">
        <v>40758</v>
      </c>
      <c r="C37" s="55">
        <v>11</v>
      </c>
      <c r="D37" s="55">
        <v>0</v>
      </c>
      <c r="E37" s="55">
        <v>0</v>
      </c>
      <c r="F37" s="55">
        <v>0</v>
      </c>
      <c r="G37" s="55">
        <v>0</v>
      </c>
      <c r="H37" s="55">
        <v>1</v>
      </c>
      <c r="I37" s="63">
        <v>0</v>
      </c>
      <c r="J37" s="55">
        <v>0</v>
      </c>
      <c r="K37" s="55">
        <v>0</v>
      </c>
      <c r="L37" s="55">
        <v>1</v>
      </c>
      <c r="M37" s="55">
        <v>0</v>
      </c>
      <c r="N37" s="55">
        <v>0</v>
      </c>
      <c r="O37" s="55">
        <v>0</v>
      </c>
      <c r="P37" s="55">
        <v>0</v>
      </c>
      <c r="Q37" s="56">
        <v>14</v>
      </c>
    </row>
    <row r="38" spans="2:17">
      <c r="B38" s="54">
        <v>40759</v>
      </c>
      <c r="C38" s="55">
        <v>12</v>
      </c>
      <c r="D38" s="55">
        <v>0</v>
      </c>
      <c r="E38" s="55">
        <v>0</v>
      </c>
      <c r="F38" s="55">
        <v>0</v>
      </c>
      <c r="G38" s="55">
        <v>0</v>
      </c>
      <c r="H38" s="55">
        <v>1</v>
      </c>
      <c r="I38" s="63">
        <v>0</v>
      </c>
      <c r="J38" s="55">
        <v>0</v>
      </c>
      <c r="K38" s="55">
        <v>0</v>
      </c>
      <c r="L38" s="55">
        <v>0</v>
      </c>
      <c r="M38" s="55">
        <v>1</v>
      </c>
      <c r="N38" s="55">
        <v>0</v>
      </c>
      <c r="O38" s="55">
        <v>0</v>
      </c>
      <c r="P38" s="55">
        <v>0</v>
      </c>
      <c r="Q38" s="56">
        <v>15</v>
      </c>
    </row>
    <row r="39" spans="2:17">
      <c r="B39" s="54">
        <v>40760</v>
      </c>
      <c r="C39" s="55">
        <v>15</v>
      </c>
      <c r="D39" s="55">
        <v>0</v>
      </c>
      <c r="E39" s="55">
        <v>0</v>
      </c>
      <c r="F39" s="55">
        <v>0</v>
      </c>
      <c r="G39" s="55">
        <v>0</v>
      </c>
      <c r="H39" s="55">
        <v>1</v>
      </c>
      <c r="I39" s="63">
        <v>0</v>
      </c>
      <c r="J39" s="55">
        <v>0</v>
      </c>
      <c r="K39" s="55">
        <v>0</v>
      </c>
      <c r="L39" s="55">
        <v>0</v>
      </c>
      <c r="M39" s="55">
        <v>0</v>
      </c>
      <c r="N39" s="55">
        <v>1</v>
      </c>
      <c r="O39" s="55">
        <v>0</v>
      </c>
      <c r="P39" s="55">
        <v>0</v>
      </c>
      <c r="Q39" s="56">
        <v>17</v>
      </c>
    </row>
    <row r="40" spans="2:17">
      <c r="B40" s="54">
        <v>40761</v>
      </c>
      <c r="C40" s="55">
        <v>22</v>
      </c>
      <c r="D40" s="55">
        <v>0</v>
      </c>
      <c r="E40" s="55">
        <v>0</v>
      </c>
      <c r="F40" s="55">
        <v>1</v>
      </c>
      <c r="G40" s="55">
        <v>1</v>
      </c>
      <c r="H40" s="55">
        <v>4</v>
      </c>
      <c r="I40" s="63">
        <v>0</v>
      </c>
      <c r="J40" s="55">
        <v>0</v>
      </c>
      <c r="K40" s="55">
        <v>0</v>
      </c>
      <c r="L40" s="55">
        <v>0</v>
      </c>
      <c r="M40" s="55">
        <v>0</v>
      </c>
      <c r="N40" s="55">
        <v>0</v>
      </c>
      <c r="O40" s="55">
        <v>1</v>
      </c>
      <c r="P40" s="55">
        <v>0</v>
      </c>
      <c r="Q40" s="56">
        <v>18</v>
      </c>
    </row>
    <row r="41" spans="2:17">
      <c r="B41" s="54">
        <v>40762</v>
      </c>
      <c r="C41" s="55">
        <v>12</v>
      </c>
      <c r="D41" s="55">
        <v>0</v>
      </c>
      <c r="E41" s="55">
        <v>0</v>
      </c>
      <c r="F41" s="55">
        <v>1</v>
      </c>
      <c r="G41" s="55">
        <v>0</v>
      </c>
      <c r="H41" s="55">
        <v>2</v>
      </c>
      <c r="I41" s="63">
        <v>0</v>
      </c>
      <c r="J41" s="55">
        <v>0</v>
      </c>
      <c r="K41" s="55">
        <v>0</v>
      </c>
      <c r="L41" s="55">
        <v>0</v>
      </c>
      <c r="M41" s="55">
        <v>0</v>
      </c>
      <c r="N41" s="55">
        <v>0</v>
      </c>
      <c r="O41" s="55">
        <v>0</v>
      </c>
      <c r="P41" s="55">
        <v>0</v>
      </c>
      <c r="Q41" s="56">
        <v>20</v>
      </c>
    </row>
    <row r="42" spans="2:17">
      <c r="B42" s="54">
        <v>40763</v>
      </c>
      <c r="C42" s="55">
        <v>15</v>
      </c>
      <c r="D42" s="55">
        <v>0</v>
      </c>
      <c r="E42" s="55">
        <v>0</v>
      </c>
      <c r="F42" s="55">
        <v>0</v>
      </c>
      <c r="G42" s="55">
        <v>0</v>
      </c>
      <c r="H42" s="55">
        <v>1</v>
      </c>
      <c r="I42" s="63">
        <v>0</v>
      </c>
      <c r="J42" s="55">
        <v>1</v>
      </c>
      <c r="K42" s="55">
        <v>0</v>
      </c>
      <c r="L42" s="55">
        <v>0</v>
      </c>
      <c r="M42" s="55">
        <v>0</v>
      </c>
      <c r="N42" s="55">
        <v>0</v>
      </c>
      <c r="O42" s="55">
        <v>0</v>
      </c>
      <c r="P42" s="55">
        <v>0</v>
      </c>
      <c r="Q42" s="56">
        <v>11</v>
      </c>
    </row>
    <row r="43" spans="2:17">
      <c r="B43" s="54">
        <v>40764</v>
      </c>
      <c r="C43" s="55">
        <v>13</v>
      </c>
      <c r="D43" s="55">
        <v>0</v>
      </c>
      <c r="E43" s="55">
        <v>0</v>
      </c>
      <c r="F43" s="55">
        <v>0</v>
      </c>
      <c r="G43" s="55">
        <v>0</v>
      </c>
      <c r="H43" s="55">
        <v>1</v>
      </c>
      <c r="I43" s="63">
        <v>0</v>
      </c>
      <c r="J43" s="55">
        <v>0</v>
      </c>
      <c r="K43" s="55">
        <v>1</v>
      </c>
      <c r="L43" s="55">
        <v>0</v>
      </c>
      <c r="M43" s="55">
        <v>0</v>
      </c>
      <c r="N43" s="55">
        <v>0</v>
      </c>
      <c r="O43" s="55">
        <v>0</v>
      </c>
      <c r="P43" s="55">
        <v>0</v>
      </c>
      <c r="Q43" s="56">
        <v>13</v>
      </c>
    </row>
    <row r="44" spans="2:17">
      <c r="B44" s="54">
        <v>40765</v>
      </c>
      <c r="C44" s="55">
        <v>15</v>
      </c>
      <c r="D44" s="55">
        <v>0</v>
      </c>
      <c r="E44" s="55">
        <v>0</v>
      </c>
      <c r="F44" s="55">
        <v>0</v>
      </c>
      <c r="G44" s="55">
        <v>0</v>
      </c>
      <c r="H44" s="55">
        <v>1</v>
      </c>
      <c r="I44" s="63">
        <v>0</v>
      </c>
      <c r="J44" s="55">
        <v>0</v>
      </c>
      <c r="K44" s="55">
        <v>0</v>
      </c>
      <c r="L44" s="55">
        <v>1</v>
      </c>
      <c r="M44" s="55">
        <v>0</v>
      </c>
      <c r="N44" s="55">
        <v>0</v>
      </c>
      <c r="O44" s="55">
        <v>0</v>
      </c>
      <c r="P44" s="55">
        <v>0</v>
      </c>
      <c r="Q44" s="56">
        <v>15</v>
      </c>
    </row>
    <row r="45" spans="2:17">
      <c r="B45" s="54">
        <v>40766</v>
      </c>
      <c r="C45" s="55">
        <v>11</v>
      </c>
      <c r="D45" s="55">
        <v>0</v>
      </c>
      <c r="E45" s="55">
        <v>0</v>
      </c>
      <c r="F45" s="55">
        <v>0</v>
      </c>
      <c r="G45" s="55">
        <v>0</v>
      </c>
      <c r="H45" s="55">
        <v>1</v>
      </c>
      <c r="I45" s="63">
        <v>0</v>
      </c>
      <c r="J45" s="55">
        <v>0</v>
      </c>
      <c r="K45" s="55">
        <v>0</v>
      </c>
      <c r="L45" s="55">
        <v>0</v>
      </c>
      <c r="M45" s="55">
        <v>1</v>
      </c>
      <c r="N45" s="55">
        <v>0</v>
      </c>
      <c r="O45" s="55">
        <v>0</v>
      </c>
      <c r="P45" s="55">
        <v>0</v>
      </c>
      <c r="Q45" s="56">
        <v>15</v>
      </c>
    </row>
    <row r="46" spans="2:17">
      <c r="B46" s="54">
        <v>40767</v>
      </c>
      <c r="C46" s="55">
        <v>16</v>
      </c>
      <c r="D46" s="55">
        <v>0</v>
      </c>
      <c r="E46" s="55">
        <v>0</v>
      </c>
      <c r="F46" s="55">
        <v>0</v>
      </c>
      <c r="G46" s="55">
        <v>0</v>
      </c>
      <c r="H46" s="55">
        <v>1</v>
      </c>
      <c r="I46" s="63">
        <v>0</v>
      </c>
      <c r="J46" s="55">
        <v>0</v>
      </c>
      <c r="K46" s="55">
        <v>0</v>
      </c>
      <c r="L46" s="55">
        <v>0</v>
      </c>
      <c r="M46" s="55">
        <v>0</v>
      </c>
      <c r="N46" s="55">
        <v>1</v>
      </c>
      <c r="O46" s="55">
        <v>0</v>
      </c>
      <c r="P46" s="55">
        <v>0</v>
      </c>
      <c r="Q46" s="56">
        <v>15</v>
      </c>
    </row>
    <row r="47" spans="2:17">
      <c r="B47" s="54">
        <v>40768</v>
      </c>
      <c r="C47" s="55">
        <v>13</v>
      </c>
      <c r="D47" s="55">
        <v>0</v>
      </c>
      <c r="E47" s="55">
        <v>0</v>
      </c>
      <c r="F47" s="55">
        <v>0</v>
      </c>
      <c r="G47" s="55">
        <v>0</v>
      </c>
      <c r="H47" s="55">
        <v>1</v>
      </c>
      <c r="I47" s="63">
        <v>0</v>
      </c>
      <c r="J47" s="55">
        <v>0</v>
      </c>
      <c r="K47" s="55">
        <v>0</v>
      </c>
      <c r="L47" s="55">
        <v>0</v>
      </c>
      <c r="M47" s="55">
        <v>0</v>
      </c>
      <c r="N47" s="55">
        <v>0</v>
      </c>
      <c r="O47" s="55">
        <v>1</v>
      </c>
      <c r="P47" s="55">
        <v>0</v>
      </c>
      <c r="Q47" s="56">
        <v>18</v>
      </c>
    </row>
    <row r="48" spans="2:17">
      <c r="B48" s="54">
        <v>40769</v>
      </c>
      <c r="C48" s="55">
        <v>0</v>
      </c>
      <c r="D48" s="55">
        <v>0</v>
      </c>
      <c r="E48" s="55">
        <v>0</v>
      </c>
      <c r="F48" s="55">
        <v>0</v>
      </c>
      <c r="G48" s="55">
        <v>0</v>
      </c>
      <c r="H48" s="55">
        <v>1</v>
      </c>
      <c r="I48" s="63">
        <v>0</v>
      </c>
      <c r="J48" s="55">
        <v>0</v>
      </c>
      <c r="K48" s="55">
        <v>0</v>
      </c>
      <c r="L48" s="55">
        <v>0</v>
      </c>
      <c r="M48" s="55">
        <v>0</v>
      </c>
      <c r="N48" s="55">
        <v>0</v>
      </c>
      <c r="O48" s="55">
        <v>0</v>
      </c>
      <c r="P48" s="55">
        <v>0</v>
      </c>
      <c r="Q48" s="56">
        <v>12</v>
      </c>
    </row>
    <row r="49" spans="2:17">
      <c r="B49" s="54">
        <v>40770</v>
      </c>
      <c r="C49" s="55">
        <v>19</v>
      </c>
      <c r="D49" s="55">
        <v>0</v>
      </c>
      <c r="E49" s="55">
        <v>0</v>
      </c>
      <c r="F49" s="55">
        <v>0</v>
      </c>
      <c r="G49" s="55">
        <v>0</v>
      </c>
      <c r="H49" s="55">
        <v>1</v>
      </c>
      <c r="I49" s="63">
        <v>0</v>
      </c>
      <c r="J49" s="55">
        <v>1</v>
      </c>
      <c r="K49" s="55">
        <v>0</v>
      </c>
      <c r="L49" s="55">
        <v>0</v>
      </c>
      <c r="M49" s="55">
        <v>0</v>
      </c>
      <c r="N49" s="55">
        <v>0</v>
      </c>
      <c r="O49" s="55">
        <v>0</v>
      </c>
      <c r="P49" s="55">
        <v>0</v>
      </c>
      <c r="Q49" s="56">
        <v>18</v>
      </c>
    </row>
    <row r="50" spans="2:17">
      <c r="B50" s="54">
        <v>40771</v>
      </c>
      <c r="C50" s="55">
        <v>17</v>
      </c>
      <c r="D50" s="55">
        <v>0</v>
      </c>
      <c r="E50" s="55">
        <v>0</v>
      </c>
      <c r="F50" s="55">
        <v>0</v>
      </c>
      <c r="G50" s="55">
        <v>0</v>
      </c>
      <c r="H50" s="55">
        <v>1</v>
      </c>
      <c r="I50" s="63">
        <v>0</v>
      </c>
      <c r="J50" s="55">
        <v>0</v>
      </c>
      <c r="K50" s="55">
        <v>1</v>
      </c>
      <c r="L50" s="55">
        <v>0</v>
      </c>
      <c r="M50" s="55">
        <v>0</v>
      </c>
      <c r="N50" s="55">
        <v>0</v>
      </c>
      <c r="O50" s="55">
        <v>0</v>
      </c>
      <c r="P50" s="55">
        <v>0</v>
      </c>
      <c r="Q50" s="56">
        <v>15</v>
      </c>
    </row>
    <row r="51" spans="2:17">
      <c r="B51" s="54">
        <v>40772</v>
      </c>
      <c r="C51" s="55">
        <v>5</v>
      </c>
      <c r="D51" s="55">
        <v>0</v>
      </c>
      <c r="E51" s="55">
        <v>0</v>
      </c>
      <c r="F51" s="55">
        <v>0</v>
      </c>
      <c r="G51" s="55">
        <v>0</v>
      </c>
      <c r="H51" s="55">
        <v>1</v>
      </c>
      <c r="I51" s="63">
        <v>0</v>
      </c>
      <c r="J51" s="55">
        <v>0</v>
      </c>
      <c r="K51" s="55">
        <v>0</v>
      </c>
      <c r="L51" s="55">
        <v>1</v>
      </c>
      <c r="M51" s="55">
        <v>0</v>
      </c>
      <c r="N51" s="55">
        <v>0</v>
      </c>
      <c r="O51" s="55">
        <v>0</v>
      </c>
      <c r="P51" s="55">
        <v>0</v>
      </c>
      <c r="Q51" s="56">
        <v>0</v>
      </c>
    </row>
    <row r="52" spans="2:17">
      <c r="B52" s="54">
        <v>40773</v>
      </c>
      <c r="C52" s="55">
        <v>11</v>
      </c>
      <c r="D52" s="55">
        <v>0</v>
      </c>
      <c r="E52" s="55">
        <v>0</v>
      </c>
      <c r="F52" s="55">
        <v>0</v>
      </c>
      <c r="G52" s="55">
        <v>0</v>
      </c>
      <c r="H52" s="55">
        <v>1</v>
      </c>
      <c r="I52" s="63">
        <v>0</v>
      </c>
      <c r="J52" s="55">
        <v>0</v>
      </c>
      <c r="K52" s="55">
        <v>0</v>
      </c>
      <c r="L52" s="55">
        <v>0</v>
      </c>
      <c r="M52" s="55">
        <v>1</v>
      </c>
      <c r="N52" s="55">
        <v>0</v>
      </c>
      <c r="O52" s="55">
        <v>0</v>
      </c>
      <c r="P52" s="55">
        <v>0</v>
      </c>
      <c r="Q52" s="56">
        <v>17</v>
      </c>
    </row>
    <row r="53" spans="2:17">
      <c r="B53" s="54">
        <v>40774</v>
      </c>
      <c r="C53" s="55">
        <v>16</v>
      </c>
      <c r="D53" s="55">
        <v>0</v>
      </c>
      <c r="E53" s="55">
        <v>0</v>
      </c>
      <c r="F53" s="55">
        <v>0</v>
      </c>
      <c r="G53" s="55">
        <v>0</v>
      </c>
      <c r="H53" s="55">
        <v>1</v>
      </c>
      <c r="I53" s="63">
        <v>0</v>
      </c>
      <c r="J53" s="55">
        <v>0</v>
      </c>
      <c r="K53" s="55">
        <v>0</v>
      </c>
      <c r="L53" s="55">
        <v>0</v>
      </c>
      <c r="M53" s="55">
        <v>0</v>
      </c>
      <c r="N53" s="55">
        <v>1</v>
      </c>
      <c r="O53" s="55">
        <v>0</v>
      </c>
      <c r="P53" s="55">
        <v>0</v>
      </c>
      <c r="Q53" s="56">
        <v>15</v>
      </c>
    </row>
    <row r="54" spans="2:17">
      <c r="B54" s="54">
        <v>40775</v>
      </c>
      <c r="C54" s="55">
        <v>16</v>
      </c>
      <c r="D54" s="55">
        <v>0</v>
      </c>
      <c r="E54" s="55">
        <v>0</v>
      </c>
      <c r="F54" s="55">
        <v>1</v>
      </c>
      <c r="G54" s="55">
        <v>1</v>
      </c>
      <c r="H54" s="55">
        <v>4</v>
      </c>
      <c r="I54" s="63">
        <v>0</v>
      </c>
      <c r="J54" s="55">
        <v>0</v>
      </c>
      <c r="K54" s="55">
        <v>0</v>
      </c>
      <c r="L54" s="55">
        <v>0</v>
      </c>
      <c r="M54" s="55">
        <v>0</v>
      </c>
      <c r="N54" s="55">
        <v>0</v>
      </c>
      <c r="O54" s="55">
        <v>1</v>
      </c>
      <c r="P54" s="55">
        <v>0</v>
      </c>
      <c r="Q54" s="56">
        <v>19</v>
      </c>
    </row>
    <row r="55" spans="2:17">
      <c r="B55" s="54">
        <v>40776</v>
      </c>
      <c r="C55" s="55">
        <v>13</v>
      </c>
      <c r="D55" s="55">
        <v>0</v>
      </c>
      <c r="E55" s="55">
        <v>0</v>
      </c>
      <c r="F55" s="55">
        <v>1</v>
      </c>
      <c r="G55" s="55">
        <v>0</v>
      </c>
      <c r="H55" s="55">
        <v>2</v>
      </c>
      <c r="I55" s="63">
        <v>0</v>
      </c>
      <c r="J55" s="55">
        <v>0</v>
      </c>
      <c r="K55" s="55">
        <v>0</v>
      </c>
      <c r="L55" s="55">
        <v>0</v>
      </c>
      <c r="M55" s="55">
        <v>0</v>
      </c>
      <c r="N55" s="55">
        <v>0</v>
      </c>
      <c r="O55" s="55">
        <v>0</v>
      </c>
      <c r="P55" s="55">
        <v>0</v>
      </c>
      <c r="Q55" s="56">
        <v>18</v>
      </c>
    </row>
    <row r="56" spans="2:17">
      <c r="B56" s="54">
        <v>40777</v>
      </c>
      <c r="C56" s="55">
        <v>13</v>
      </c>
      <c r="D56" s="55">
        <v>0</v>
      </c>
      <c r="E56" s="55">
        <v>0</v>
      </c>
      <c r="F56" s="55">
        <v>0</v>
      </c>
      <c r="G56" s="55">
        <v>0</v>
      </c>
      <c r="H56" s="55">
        <v>1</v>
      </c>
      <c r="I56" s="63">
        <v>0</v>
      </c>
      <c r="J56" s="55">
        <v>1</v>
      </c>
      <c r="K56" s="55">
        <v>0</v>
      </c>
      <c r="L56" s="55">
        <v>0</v>
      </c>
      <c r="M56" s="55">
        <v>0</v>
      </c>
      <c r="N56" s="55">
        <v>0</v>
      </c>
      <c r="O56" s="55">
        <v>0</v>
      </c>
      <c r="P56" s="55">
        <v>0</v>
      </c>
      <c r="Q56" s="56">
        <v>19</v>
      </c>
    </row>
    <row r="57" spans="2:17">
      <c r="B57" s="54">
        <v>40778</v>
      </c>
      <c r="C57" s="55">
        <v>13</v>
      </c>
      <c r="D57" s="55">
        <v>0</v>
      </c>
      <c r="E57" s="55">
        <v>0</v>
      </c>
      <c r="F57" s="55">
        <v>0</v>
      </c>
      <c r="G57" s="55">
        <v>0</v>
      </c>
      <c r="H57" s="55">
        <v>1</v>
      </c>
      <c r="I57" s="63">
        <v>0</v>
      </c>
      <c r="J57" s="55">
        <v>0</v>
      </c>
      <c r="K57" s="55">
        <v>1</v>
      </c>
      <c r="L57" s="55">
        <v>0</v>
      </c>
      <c r="M57" s="55">
        <v>0</v>
      </c>
      <c r="N57" s="55">
        <v>0</v>
      </c>
      <c r="O57" s="55">
        <v>0</v>
      </c>
      <c r="P57" s="55">
        <v>0</v>
      </c>
      <c r="Q57" s="56">
        <v>11</v>
      </c>
    </row>
    <row r="58" spans="2:17">
      <c r="B58" s="54">
        <v>40779</v>
      </c>
      <c r="C58" s="55">
        <v>8</v>
      </c>
      <c r="D58" s="55">
        <v>0</v>
      </c>
      <c r="E58" s="55">
        <v>0</v>
      </c>
      <c r="F58" s="55">
        <v>0</v>
      </c>
      <c r="G58" s="55">
        <v>0</v>
      </c>
      <c r="H58" s="55">
        <v>1</v>
      </c>
      <c r="I58" s="63">
        <v>0</v>
      </c>
      <c r="J58" s="55">
        <v>0</v>
      </c>
      <c r="K58" s="55">
        <v>0</v>
      </c>
      <c r="L58" s="55">
        <v>1</v>
      </c>
      <c r="M58" s="55">
        <v>0</v>
      </c>
      <c r="N58" s="55">
        <v>0</v>
      </c>
      <c r="O58" s="55">
        <v>0</v>
      </c>
      <c r="P58" s="55">
        <v>0</v>
      </c>
      <c r="Q58" s="56">
        <v>13</v>
      </c>
    </row>
    <row r="59" spans="2:17">
      <c r="B59" s="54">
        <v>40780</v>
      </c>
      <c r="C59" s="55">
        <v>9</v>
      </c>
      <c r="D59" s="55">
        <v>0</v>
      </c>
      <c r="E59" s="55">
        <v>0</v>
      </c>
      <c r="F59" s="55">
        <v>0</v>
      </c>
      <c r="G59" s="55">
        <v>0</v>
      </c>
      <c r="H59" s="55">
        <v>1</v>
      </c>
      <c r="I59" s="63">
        <v>0</v>
      </c>
      <c r="J59" s="55">
        <v>0</v>
      </c>
      <c r="K59" s="55">
        <v>0</v>
      </c>
      <c r="L59" s="55">
        <v>0</v>
      </c>
      <c r="M59" s="55">
        <v>1</v>
      </c>
      <c r="N59" s="55">
        <v>0</v>
      </c>
      <c r="O59" s="55">
        <v>0</v>
      </c>
      <c r="P59" s="55">
        <v>0</v>
      </c>
      <c r="Q59" s="56">
        <v>20</v>
      </c>
    </row>
    <row r="60" spans="2:17">
      <c r="B60" s="54">
        <v>40781</v>
      </c>
      <c r="C60" s="55">
        <v>22</v>
      </c>
      <c r="D60" s="55">
        <v>0</v>
      </c>
      <c r="E60" s="55">
        <v>0</v>
      </c>
      <c r="F60" s="55">
        <v>0</v>
      </c>
      <c r="G60" s="55">
        <v>0</v>
      </c>
      <c r="H60" s="55">
        <v>1</v>
      </c>
      <c r="I60" s="63">
        <v>0</v>
      </c>
      <c r="J60" s="55">
        <v>0</v>
      </c>
      <c r="K60" s="55">
        <v>0</v>
      </c>
      <c r="L60" s="55">
        <v>0</v>
      </c>
      <c r="M60" s="55">
        <v>0</v>
      </c>
      <c r="N60" s="55">
        <v>1</v>
      </c>
      <c r="O60" s="55">
        <v>0</v>
      </c>
      <c r="P60" s="55">
        <v>0</v>
      </c>
      <c r="Q60" s="56">
        <v>20</v>
      </c>
    </row>
    <row r="61" spans="2:17">
      <c r="B61" s="54">
        <v>40782</v>
      </c>
      <c r="C61" s="55">
        <v>23</v>
      </c>
      <c r="D61" s="55">
        <v>0</v>
      </c>
      <c r="E61" s="55">
        <v>0</v>
      </c>
      <c r="F61" s="55">
        <v>1</v>
      </c>
      <c r="G61" s="55">
        <v>1</v>
      </c>
      <c r="H61" s="55">
        <v>4</v>
      </c>
      <c r="I61" s="63">
        <v>0</v>
      </c>
      <c r="J61" s="55">
        <v>0</v>
      </c>
      <c r="K61" s="55">
        <v>0</v>
      </c>
      <c r="L61" s="55">
        <v>0</v>
      </c>
      <c r="M61" s="55">
        <v>0</v>
      </c>
      <c r="N61" s="55">
        <v>0</v>
      </c>
      <c r="O61" s="55">
        <v>1</v>
      </c>
      <c r="P61" s="55">
        <v>0</v>
      </c>
      <c r="Q61" s="56">
        <v>27</v>
      </c>
    </row>
    <row r="62" spans="2:17">
      <c r="B62" s="54">
        <v>40783</v>
      </c>
      <c r="C62" s="55">
        <v>25</v>
      </c>
      <c r="D62" s="55">
        <v>0</v>
      </c>
      <c r="E62" s="55">
        <v>0</v>
      </c>
      <c r="F62" s="55">
        <v>1</v>
      </c>
      <c r="G62" s="55">
        <v>1</v>
      </c>
      <c r="H62" s="55">
        <v>4</v>
      </c>
      <c r="I62" s="63">
        <v>0</v>
      </c>
      <c r="J62" s="55">
        <v>0</v>
      </c>
      <c r="K62" s="55">
        <v>0</v>
      </c>
      <c r="L62" s="55">
        <v>0</v>
      </c>
      <c r="M62" s="55">
        <v>0</v>
      </c>
      <c r="N62" s="55">
        <v>0</v>
      </c>
      <c r="O62" s="55">
        <v>0</v>
      </c>
      <c r="P62" s="55">
        <v>0</v>
      </c>
      <c r="Q62" s="56">
        <v>23</v>
      </c>
    </row>
    <row r="63" spans="2:17">
      <c r="B63" s="54">
        <v>40784</v>
      </c>
      <c r="C63" s="55">
        <v>24</v>
      </c>
      <c r="D63" s="55">
        <v>0</v>
      </c>
      <c r="E63" s="55">
        <v>0</v>
      </c>
      <c r="F63" s="55">
        <v>0</v>
      </c>
      <c r="G63" s="55">
        <v>0</v>
      </c>
      <c r="H63" s="55">
        <v>1</v>
      </c>
      <c r="I63" s="63">
        <v>0</v>
      </c>
      <c r="J63" s="55">
        <v>1</v>
      </c>
      <c r="K63" s="55">
        <v>0</v>
      </c>
      <c r="L63" s="55">
        <v>0</v>
      </c>
      <c r="M63" s="55">
        <v>0</v>
      </c>
      <c r="N63" s="55">
        <v>0</v>
      </c>
      <c r="O63" s="55">
        <v>0</v>
      </c>
      <c r="P63" s="55">
        <v>0</v>
      </c>
      <c r="Q63" s="56">
        <v>24</v>
      </c>
    </row>
    <row r="64" spans="2:17">
      <c r="B64" s="54">
        <v>40785</v>
      </c>
      <c r="C64" s="55">
        <v>21</v>
      </c>
      <c r="D64" s="55">
        <v>0</v>
      </c>
      <c r="E64" s="55">
        <v>0</v>
      </c>
      <c r="F64" s="55">
        <v>0</v>
      </c>
      <c r="G64" s="55">
        <v>0</v>
      </c>
      <c r="H64" s="55">
        <v>1</v>
      </c>
      <c r="I64" s="63">
        <v>0</v>
      </c>
      <c r="J64" s="55">
        <v>0</v>
      </c>
      <c r="K64" s="55">
        <v>1</v>
      </c>
      <c r="L64" s="55">
        <v>0</v>
      </c>
      <c r="M64" s="55">
        <v>0</v>
      </c>
      <c r="N64" s="55">
        <v>0</v>
      </c>
      <c r="O64" s="55">
        <v>0</v>
      </c>
      <c r="P64" s="55">
        <v>0</v>
      </c>
      <c r="Q64" s="56">
        <v>18</v>
      </c>
    </row>
    <row r="65" spans="2:17">
      <c r="B65" s="54">
        <v>40786</v>
      </c>
      <c r="C65" s="55">
        <v>21</v>
      </c>
      <c r="D65" s="55">
        <v>0</v>
      </c>
      <c r="E65" s="55">
        <v>0</v>
      </c>
      <c r="F65" s="55">
        <v>1</v>
      </c>
      <c r="G65" s="55">
        <v>1</v>
      </c>
      <c r="H65" s="55">
        <v>4</v>
      </c>
      <c r="I65" s="63">
        <v>0</v>
      </c>
      <c r="J65" s="55">
        <v>0</v>
      </c>
      <c r="K65" s="55">
        <v>0</v>
      </c>
      <c r="L65" s="55">
        <v>1</v>
      </c>
      <c r="M65" s="55">
        <v>0</v>
      </c>
      <c r="N65" s="55">
        <v>0</v>
      </c>
      <c r="O65" s="55">
        <v>0</v>
      </c>
      <c r="P65" s="55">
        <v>0</v>
      </c>
      <c r="Q65" s="56">
        <v>19</v>
      </c>
    </row>
    <row r="66" spans="2:17">
      <c r="B66" s="54">
        <v>40787</v>
      </c>
      <c r="C66" s="55">
        <v>14</v>
      </c>
      <c r="D66" s="55">
        <v>0</v>
      </c>
      <c r="E66" s="55">
        <v>0</v>
      </c>
      <c r="F66" s="55">
        <v>1</v>
      </c>
      <c r="G66" s="55">
        <v>1</v>
      </c>
      <c r="H66" s="55">
        <v>4</v>
      </c>
      <c r="I66" s="63">
        <v>0</v>
      </c>
      <c r="J66" s="55">
        <v>0</v>
      </c>
      <c r="K66" s="55">
        <v>0</v>
      </c>
      <c r="L66" s="55">
        <v>0</v>
      </c>
      <c r="M66" s="55">
        <v>1</v>
      </c>
      <c r="N66" s="55">
        <v>0</v>
      </c>
      <c r="O66" s="55">
        <v>0</v>
      </c>
      <c r="P66" s="55">
        <v>0</v>
      </c>
      <c r="Q66" s="56">
        <v>16</v>
      </c>
    </row>
    <row r="67" spans="2:17">
      <c r="B67" s="54">
        <v>40788</v>
      </c>
      <c r="C67" s="55">
        <v>6</v>
      </c>
      <c r="D67" s="55">
        <v>0</v>
      </c>
      <c r="E67" s="55">
        <v>0</v>
      </c>
      <c r="F67" s="55">
        <v>1</v>
      </c>
      <c r="G67" s="55">
        <v>1</v>
      </c>
      <c r="H67" s="55">
        <v>4</v>
      </c>
      <c r="I67" s="63">
        <v>0</v>
      </c>
      <c r="J67" s="55">
        <v>0</v>
      </c>
      <c r="K67" s="55">
        <v>0</v>
      </c>
      <c r="L67" s="55">
        <v>0</v>
      </c>
      <c r="M67" s="55">
        <v>0</v>
      </c>
      <c r="N67" s="55">
        <v>1</v>
      </c>
      <c r="O67" s="55">
        <v>0</v>
      </c>
      <c r="P67" s="55">
        <v>0</v>
      </c>
      <c r="Q67" s="56">
        <v>13</v>
      </c>
    </row>
    <row r="68" spans="2:17">
      <c r="B68" s="54">
        <v>40789</v>
      </c>
      <c r="C68" s="55">
        <v>14</v>
      </c>
      <c r="D68" s="55">
        <v>0</v>
      </c>
      <c r="E68" s="55">
        <v>0</v>
      </c>
      <c r="F68" s="55">
        <v>2</v>
      </c>
      <c r="G68" s="55">
        <v>1</v>
      </c>
      <c r="H68" s="55">
        <v>6</v>
      </c>
      <c r="I68" s="63">
        <v>0</v>
      </c>
      <c r="J68" s="55">
        <v>0</v>
      </c>
      <c r="K68" s="55">
        <v>0</v>
      </c>
      <c r="L68" s="55">
        <v>0</v>
      </c>
      <c r="M68" s="55">
        <v>0</v>
      </c>
      <c r="N68" s="55">
        <v>0</v>
      </c>
      <c r="O68" s="55">
        <v>1</v>
      </c>
      <c r="P68" s="55">
        <v>0</v>
      </c>
      <c r="Q68" s="56">
        <v>15</v>
      </c>
    </row>
    <row r="69" spans="2:17">
      <c r="B69" s="54">
        <v>40790</v>
      </c>
      <c r="C69" s="55">
        <v>11</v>
      </c>
      <c r="D69" s="55">
        <v>0</v>
      </c>
      <c r="E69" s="55">
        <v>0</v>
      </c>
      <c r="F69" s="55">
        <v>1</v>
      </c>
      <c r="G69" s="55">
        <v>1</v>
      </c>
      <c r="H69" s="55">
        <v>4</v>
      </c>
      <c r="I69" s="63">
        <v>0</v>
      </c>
      <c r="J69" s="55">
        <v>0</v>
      </c>
      <c r="K69" s="55">
        <v>0</v>
      </c>
      <c r="L69" s="55">
        <v>0</v>
      </c>
      <c r="M69" s="55">
        <v>0</v>
      </c>
      <c r="N69" s="55">
        <v>0</v>
      </c>
      <c r="O69" s="55">
        <v>0</v>
      </c>
      <c r="P69" s="55">
        <v>0</v>
      </c>
      <c r="Q69" s="56">
        <v>21</v>
      </c>
    </row>
    <row r="70" spans="2:17">
      <c r="B70" s="54">
        <v>40791</v>
      </c>
      <c r="C70" s="55">
        <v>9</v>
      </c>
      <c r="D70" s="55">
        <v>0</v>
      </c>
      <c r="E70" s="55">
        <v>0</v>
      </c>
      <c r="F70" s="55">
        <v>0</v>
      </c>
      <c r="G70" s="55">
        <v>0</v>
      </c>
      <c r="H70" s="55">
        <v>1</v>
      </c>
      <c r="I70" s="63">
        <v>0</v>
      </c>
      <c r="J70" s="55">
        <v>1</v>
      </c>
      <c r="K70" s="55">
        <v>0</v>
      </c>
      <c r="L70" s="55">
        <v>0</v>
      </c>
      <c r="M70" s="55">
        <v>0</v>
      </c>
      <c r="N70" s="55">
        <v>0</v>
      </c>
      <c r="O70" s="55">
        <v>0</v>
      </c>
      <c r="P70" s="55">
        <v>0</v>
      </c>
      <c r="Q70" s="56">
        <v>11</v>
      </c>
    </row>
    <row r="71" spans="2:17">
      <c r="B71" s="54">
        <v>40792</v>
      </c>
      <c r="C71" s="55">
        <v>10</v>
      </c>
      <c r="D71" s="55">
        <v>0</v>
      </c>
      <c r="E71" s="55">
        <v>0</v>
      </c>
      <c r="F71" s="55">
        <v>0</v>
      </c>
      <c r="G71" s="55">
        <v>0</v>
      </c>
      <c r="H71" s="55">
        <v>1</v>
      </c>
      <c r="I71" s="63">
        <v>0</v>
      </c>
      <c r="J71" s="55">
        <v>0</v>
      </c>
      <c r="K71" s="55">
        <v>1</v>
      </c>
      <c r="L71" s="55">
        <v>0</v>
      </c>
      <c r="M71" s="55">
        <v>0</v>
      </c>
      <c r="N71" s="55">
        <v>0</v>
      </c>
      <c r="O71" s="55">
        <v>0</v>
      </c>
      <c r="P71" s="55">
        <v>0</v>
      </c>
      <c r="Q71" s="56">
        <v>19</v>
      </c>
    </row>
    <row r="72" spans="2:17">
      <c r="B72" s="54">
        <v>40793</v>
      </c>
      <c r="C72" s="55">
        <v>6</v>
      </c>
      <c r="D72" s="55">
        <v>0</v>
      </c>
      <c r="E72" s="55">
        <v>0</v>
      </c>
      <c r="F72" s="55">
        <v>0</v>
      </c>
      <c r="G72" s="55">
        <v>0</v>
      </c>
      <c r="H72" s="55">
        <v>1</v>
      </c>
      <c r="I72" s="63">
        <v>0</v>
      </c>
      <c r="J72" s="55">
        <v>0</v>
      </c>
      <c r="K72" s="55">
        <v>0</v>
      </c>
      <c r="L72" s="55">
        <v>1</v>
      </c>
      <c r="M72" s="55">
        <v>0</v>
      </c>
      <c r="N72" s="55">
        <v>0</v>
      </c>
      <c r="O72" s="55">
        <v>0</v>
      </c>
      <c r="P72" s="55">
        <v>0</v>
      </c>
      <c r="Q72" s="56">
        <v>9</v>
      </c>
    </row>
    <row r="73" spans="2:17">
      <c r="B73" s="54">
        <v>40794</v>
      </c>
      <c r="C73" s="55">
        <v>10</v>
      </c>
      <c r="D73" s="55">
        <v>0</v>
      </c>
      <c r="E73" s="55">
        <v>0</v>
      </c>
      <c r="F73" s="55">
        <v>0</v>
      </c>
      <c r="G73" s="55">
        <v>0</v>
      </c>
      <c r="H73" s="55">
        <v>1</v>
      </c>
      <c r="I73" s="63">
        <v>0</v>
      </c>
      <c r="J73" s="55">
        <v>0</v>
      </c>
      <c r="K73" s="55">
        <v>0</v>
      </c>
      <c r="L73" s="55">
        <v>0</v>
      </c>
      <c r="M73" s="55">
        <v>1</v>
      </c>
      <c r="N73" s="55">
        <v>0</v>
      </c>
      <c r="O73" s="55">
        <v>0</v>
      </c>
      <c r="P73" s="55">
        <v>0</v>
      </c>
      <c r="Q73" s="56">
        <v>4</v>
      </c>
    </row>
    <row r="74" spans="2:17">
      <c r="B74" s="54">
        <v>40795</v>
      </c>
      <c r="C74" s="55">
        <v>7</v>
      </c>
      <c r="D74" s="55">
        <v>0</v>
      </c>
      <c r="E74" s="55">
        <v>0</v>
      </c>
      <c r="F74" s="55">
        <v>0</v>
      </c>
      <c r="G74" s="55">
        <v>0</v>
      </c>
      <c r="H74" s="55">
        <v>1</v>
      </c>
      <c r="I74" s="63">
        <v>0</v>
      </c>
      <c r="J74" s="55">
        <v>0</v>
      </c>
      <c r="K74" s="55">
        <v>0</v>
      </c>
      <c r="L74" s="55">
        <v>0</v>
      </c>
      <c r="M74" s="55">
        <v>0</v>
      </c>
      <c r="N74" s="55">
        <v>1</v>
      </c>
      <c r="O74" s="55">
        <v>0</v>
      </c>
      <c r="P74" s="55">
        <v>0</v>
      </c>
      <c r="Q74" s="56">
        <v>9</v>
      </c>
    </row>
    <row r="75" spans="2:17">
      <c r="B75" s="54">
        <v>40796</v>
      </c>
      <c r="C75" s="55">
        <v>15</v>
      </c>
      <c r="D75" s="55">
        <v>0</v>
      </c>
      <c r="E75" s="55">
        <v>0</v>
      </c>
      <c r="F75" s="55">
        <v>1</v>
      </c>
      <c r="G75" s="55">
        <v>1</v>
      </c>
      <c r="H75" s="55">
        <v>4</v>
      </c>
      <c r="I75" s="63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5">
        <v>1</v>
      </c>
      <c r="P75" s="55">
        <v>0</v>
      </c>
      <c r="Q75" s="56">
        <v>13</v>
      </c>
    </row>
    <row r="76" spans="2:17">
      <c r="B76" s="54">
        <v>40797</v>
      </c>
      <c r="C76" s="55">
        <v>13</v>
      </c>
      <c r="D76" s="55">
        <v>0</v>
      </c>
      <c r="E76" s="55">
        <v>0</v>
      </c>
      <c r="F76" s="55">
        <v>1</v>
      </c>
      <c r="G76" s="55">
        <v>0</v>
      </c>
      <c r="H76" s="55">
        <v>2</v>
      </c>
      <c r="I76" s="63">
        <v>0</v>
      </c>
      <c r="J76" s="55">
        <v>0</v>
      </c>
      <c r="K76" s="55">
        <v>0</v>
      </c>
      <c r="L76" s="55">
        <v>0</v>
      </c>
      <c r="M76" s="55">
        <v>0</v>
      </c>
      <c r="N76" s="55">
        <v>0</v>
      </c>
      <c r="O76" s="55">
        <v>0</v>
      </c>
      <c r="P76" s="55">
        <v>0</v>
      </c>
      <c r="Q76" s="56">
        <v>12</v>
      </c>
    </row>
    <row r="77" spans="2:17">
      <c r="B77" s="54">
        <v>40798</v>
      </c>
      <c r="C77" s="55">
        <v>14</v>
      </c>
      <c r="D77" s="55">
        <v>0</v>
      </c>
      <c r="E77" s="55">
        <v>0</v>
      </c>
      <c r="F77" s="55">
        <v>0</v>
      </c>
      <c r="G77" s="55">
        <v>0</v>
      </c>
      <c r="H77" s="55">
        <v>1</v>
      </c>
      <c r="I77" s="63">
        <v>0</v>
      </c>
      <c r="J77" s="55">
        <v>1</v>
      </c>
      <c r="K77" s="55">
        <v>0</v>
      </c>
      <c r="L77" s="55">
        <v>0</v>
      </c>
      <c r="M77" s="55">
        <v>0</v>
      </c>
      <c r="N77" s="55">
        <v>0</v>
      </c>
      <c r="O77" s="55">
        <v>0</v>
      </c>
      <c r="P77" s="55">
        <v>0</v>
      </c>
      <c r="Q77" s="56">
        <v>11</v>
      </c>
    </row>
    <row r="78" spans="2:17">
      <c r="B78" s="54">
        <v>40799</v>
      </c>
      <c r="C78" s="55">
        <v>16</v>
      </c>
      <c r="D78" s="55">
        <v>0</v>
      </c>
      <c r="E78" s="55">
        <v>0</v>
      </c>
      <c r="F78" s="55">
        <v>0</v>
      </c>
      <c r="G78" s="55">
        <v>0</v>
      </c>
      <c r="H78" s="55">
        <v>1</v>
      </c>
      <c r="I78" s="63">
        <v>0</v>
      </c>
      <c r="J78" s="55">
        <v>0</v>
      </c>
      <c r="K78" s="55">
        <v>1</v>
      </c>
      <c r="L78" s="55">
        <v>0</v>
      </c>
      <c r="M78" s="55">
        <v>0</v>
      </c>
      <c r="N78" s="55">
        <v>0</v>
      </c>
      <c r="O78" s="55">
        <v>0</v>
      </c>
      <c r="P78" s="55">
        <v>0</v>
      </c>
      <c r="Q78" s="56">
        <v>10</v>
      </c>
    </row>
    <row r="79" spans="2:17">
      <c r="B79" s="54">
        <v>40800</v>
      </c>
      <c r="C79" s="55">
        <v>10</v>
      </c>
      <c r="D79" s="55">
        <v>0</v>
      </c>
      <c r="E79" s="55">
        <v>0</v>
      </c>
      <c r="F79" s="55">
        <v>0</v>
      </c>
      <c r="G79" s="55">
        <v>0</v>
      </c>
      <c r="H79" s="55">
        <v>1</v>
      </c>
      <c r="I79" s="63">
        <v>0</v>
      </c>
      <c r="J79" s="55">
        <v>0</v>
      </c>
      <c r="K79" s="55">
        <v>0</v>
      </c>
      <c r="L79" s="55">
        <v>1</v>
      </c>
      <c r="M79" s="55">
        <v>0</v>
      </c>
      <c r="N79" s="55">
        <v>0</v>
      </c>
      <c r="O79" s="55">
        <v>0</v>
      </c>
      <c r="P79" s="55">
        <v>0</v>
      </c>
      <c r="Q79" s="56">
        <v>14</v>
      </c>
    </row>
    <row r="80" spans="2:17">
      <c r="B80" s="54">
        <v>40801</v>
      </c>
      <c r="C80" s="55">
        <v>11</v>
      </c>
      <c r="D80" s="55">
        <v>0</v>
      </c>
      <c r="E80" s="55">
        <v>0</v>
      </c>
      <c r="F80" s="55">
        <v>0</v>
      </c>
      <c r="G80" s="55">
        <v>0</v>
      </c>
      <c r="H80" s="55">
        <v>1</v>
      </c>
      <c r="I80" s="63">
        <v>0</v>
      </c>
      <c r="J80" s="55">
        <v>0</v>
      </c>
      <c r="K80" s="55">
        <v>0</v>
      </c>
      <c r="L80" s="55">
        <v>0</v>
      </c>
      <c r="M80" s="55">
        <v>1</v>
      </c>
      <c r="N80" s="55">
        <v>0</v>
      </c>
      <c r="O80" s="55">
        <v>0</v>
      </c>
      <c r="P80" s="55">
        <v>0</v>
      </c>
      <c r="Q80" s="56">
        <v>7</v>
      </c>
    </row>
    <row r="81" spans="2:17">
      <c r="B81" s="54">
        <v>40802</v>
      </c>
      <c r="C81" s="55">
        <v>14</v>
      </c>
      <c r="D81" s="55">
        <v>0</v>
      </c>
      <c r="E81" s="55">
        <v>0</v>
      </c>
      <c r="F81" s="55">
        <v>0</v>
      </c>
      <c r="G81" s="55">
        <v>0</v>
      </c>
      <c r="H81" s="55">
        <v>1</v>
      </c>
      <c r="I81" s="63">
        <v>0</v>
      </c>
      <c r="J81" s="55">
        <v>0</v>
      </c>
      <c r="K81" s="55">
        <v>0</v>
      </c>
      <c r="L81" s="55">
        <v>0</v>
      </c>
      <c r="M81" s="55">
        <v>0</v>
      </c>
      <c r="N81" s="55">
        <v>1</v>
      </c>
      <c r="O81" s="55">
        <v>0</v>
      </c>
      <c r="P81" s="55">
        <v>0</v>
      </c>
      <c r="Q81" s="56">
        <v>19</v>
      </c>
    </row>
    <row r="82" spans="2:17">
      <c r="B82" s="54">
        <v>40803</v>
      </c>
      <c r="C82" s="55">
        <v>21</v>
      </c>
      <c r="D82" s="55">
        <v>0</v>
      </c>
      <c r="E82" s="55">
        <v>0</v>
      </c>
      <c r="F82" s="55">
        <v>2</v>
      </c>
      <c r="G82" s="55">
        <v>1</v>
      </c>
      <c r="H82" s="55">
        <v>6</v>
      </c>
      <c r="I82" s="63">
        <v>0</v>
      </c>
      <c r="J82" s="55">
        <v>0</v>
      </c>
      <c r="K82" s="55">
        <v>0</v>
      </c>
      <c r="L82" s="55">
        <v>0</v>
      </c>
      <c r="M82" s="55">
        <v>0</v>
      </c>
      <c r="N82" s="55">
        <v>0</v>
      </c>
      <c r="O82" s="55">
        <v>1</v>
      </c>
      <c r="P82" s="55">
        <v>0</v>
      </c>
      <c r="Q82" s="56">
        <v>19</v>
      </c>
    </row>
    <row r="83" spans="2:17">
      <c r="B83" s="54">
        <v>40804</v>
      </c>
      <c r="C83" s="55">
        <v>19</v>
      </c>
      <c r="D83" s="55">
        <v>0</v>
      </c>
      <c r="E83" s="55">
        <v>0</v>
      </c>
      <c r="F83" s="55">
        <v>2</v>
      </c>
      <c r="G83" s="55">
        <v>2</v>
      </c>
      <c r="H83" s="55">
        <v>9</v>
      </c>
      <c r="I83" s="63">
        <v>0</v>
      </c>
      <c r="J83" s="55">
        <v>0</v>
      </c>
      <c r="K83" s="55">
        <v>0</v>
      </c>
      <c r="L83" s="55">
        <v>0</v>
      </c>
      <c r="M83" s="55">
        <v>0</v>
      </c>
      <c r="N83" s="55">
        <v>0</v>
      </c>
      <c r="O83" s="55">
        <v>0</v>
      </c>
      <c r="P83" s="55">
        <v>0</v>
      </c>
      <c r="Q83" s="56">
        <v>13</v>
      </c>
    </row>
    <row r="84" spans="2:17">
      <c r="B84" s="54">
        <v>40805</v>
      </c>
      <c r="C84" s="55">
        <v>18</v>
      </c>
      <c r="D84" s="55">
        <v>0</v>
      </c>
      <c r="E84" s="55">
        <v>0</v>
      </c>
      <c r="F84" s="55">
        <v>1</v>
      </c>
      <c r="G84" s="55">
        <v>1</v>
      </c>
      <c r="H84" s="55">
        <v>4</v>
      </c>
      <c r="I84" s="63">
        <v>1</v>
      </c>
      <c r="J84" s="55">
        <v>1</v>
      </c>
      <c r="K84" s="55">
        <v>0</v>
      </c>
      <c r="L84" s="55">
        <v>0</v>
      </c>
      <c r="M84" s="55">
        <v>0</v>
      </c>
      <c r="N84" s="55">
        <v>0</v>
      </c>
      <c r="O84" s="55">
        <v>0</v>
      </c>
      <c r="P84" s="55">
        <v>0</v>
      </c>
      <c r="Q84" s="56">
        <v>16</v>
      </c>
    </row>
    <row r="85" spans="2:17">
      <c r="B85" s="54">
        <v>40806</v>
      </c>
      <c r="C85" s="55">
        <v>21</v>
      </c>
      <c r="D85" s="55">
        <v>0</v>
      </c>
      <c r="E85" s="55">
        <v>0</v>
      </c>
      <c r="F85" s="55">
        <v>0</v>
      </c>
      <c r="G85" s="55">
        <v>0</v>
      </c>
      <c r="H85" s="55">
        <v>1</v>
      </c>
      <c r="I85" s="63">
        <v>0</v>
      </c>
      <c r="J85" s="55">
        <v>0</v>
      </c>
      <c r="K85" s="55">
        <v>1</v>
      </c>
      <c r="L85" s="55">
        <v>0</v>
      </c>
      <c r="M85" s="55">
        <v>0</v>
      </c>
      <c r="N85" s="55">
        <v>0</v>
      </c>
      <c r="O85" s="55">
        <v>0</v>
      </c>
      <c r="P85" s="55">
        <v>0</v>
      </c>
      <c r="Q85" s="56">
        <v>18</v>
      </c>
    </row>
    <row r="86" spans="2:17">
      <c r="B86" s="54">
        <v>40807</v>
      </c>
      <c r="C86" s="55">
        <v>12</v>
      </c>
      <c r="D86" s="55">
        <v>0</v>
      </c>
      <c r="E86" s="55">
        <v>0</v>
      </c>
      <c r="F86" s="55">
        <v>0</v>
      </c>
      <c r="G86" s="55">
        <v>0</v>
      </c>
      <c r="H86" s="55">
        <v>1</v>
      </c>
      <c r="I86" s="63">
        <v>0</v>
      </c>
      <c r="J86" s="55">
        <v>0</v>
      </c>
      <c r="K86" s="55">
        <v>0</v>
      </c>
      <c r="L86" s="55">
        <v>1</v>
      </c>
      <c r="M86" s="55">
        <v>0</v>
      </c>
      <c r="N86" s="55">
        <v>0</v>
      </c>
      <c r="O86" s="55">
        <v>0</v>
      </c>
      <c r="P86" s="55">
        <v>0</v>
      </c>
      <c r="Q86" s="56">
        <v>12</v>
      </c>
    </row>
    <row r="87" spans="2:17">
      <c r="B87" s="54">
        <v>40808</v>
      </c>
      <c r="C87" s="55">
        <v>24</v>
      </c>
      <c r="D87" s="55">
        <v>0</v>
      </c>
      <c r="E87" s="55">
        <v>0</v>
      </c>
      <c r="F87" s="55">
        <v>0</v>
      </c>
      <c r="G87" s="55">
        <v>0</v>
      </c>
      <c r="H87" s="55">
        <v>1</v>
      </c>
      <c r="I87" s="63">
        <v>0</v>
      </c>
      <c r="J87" s="55">
        <v>0</v>
      </c>
      <c r="K87" s="55">
        <v>0</v>
      </c>
      <c r="L87" s="55">
        <v>0</v>
      </c>
      <c r="M87" s="55">
        <v>1</v>
      </c>
      <c r="N87" s="55">
        <v>0</v>
      </c>
      <c r="O87" s="55">
        <v>0</v>
      </c>
      <c r="P87" s="55">
        <v>0</v>
      </c>
      <c r="Q87" s="56">
        <v>32</v>
      </c>
    </row>
    <row r="88" spans="2:17">
      <c r="B88" s="54">
        <v>40809</v>
      </c>
      <c r="C88" s="55">
        <v>36</v>
      </c>
      <c r="D88" s="55">
        <v>0</v>
      </c>
      <c r="E88" s="55">
        <v>0</v>
      </c>
      <c r="F88" s="55">
        <v>1</v>
      </c>
      <c r="G88" s="55">
        <v>1</v>
      </c>
      <c r="H88" s="55">
        <v>4</v>
      </c>
      <c r="I88" s="63">
        <v>1</v>
      </c>
      <c r="J88" s="55">
        <v>0</v>
      </c>
      <c r="K88" s="55">
        <v>0</v>
      </c>
      <c r="L88" s="55">
        <v>0</v>
      </c>
      <c r="M88" s="55">
        <v>0</v>
      </c>
      <c r="N88" s="55">
        <v>1</v>
      </c>
      <c r="O88" s="55">
        <v>0</v>
      </c>
      <c r="P88" s="55">
        <v>0</v>
      </c>
      <c r="Q88" s="56">
        <v>30</v>
      </c>
    </row>
    <row r="89" spans="2:17">
      <c r="B89" s="54">
        <v>40810</v>
      </c>
      <c r="C89" s="55">
        <v>47</v>
      </c>
      <c r="D89" s="55">
        <v>0</v>
      </c>
      <c r="E89" s="55">
        <v>0</v>
      </c>
      <c r="F89" s="55">
        <v>2</v>
      </c>
      <c r="G89" s="55">
        <v>2</v>
      </c>
      <c r="H89" s="55">
        <v>9</v>
      </c>
      <c r="I89" s="63">
        <v>0</v>
      </c>
      <c r="J89" s="55">
        <v>0</v>
      </c>
      <c r="K89" s="55">
        <v>0</v>
      </c>
      <c r="L89" s="55">
        <v>0</v>
      </c>
      <c r="M89" s="55">
        <v>0</v>
      </c>
      <c r="N89" s="55">
        <v>0</v>
      </c>
      <c r="O89" s="55">
        <v>1</v>
      </c>
      <c r="P89" s="55">
        <v>0</v>
      </c>
      <c r="Q89" s="56">
        <v>24</v>
      </c>
    </row>
    <row r="90" spans="2:17">
      <c r="B90" s="54">
        <v>40811</v>
      </c>
      <c r="C90" s="55">
        <v>26</v>
      </c>
      <c r="D90" s="55">
        <v>0</v>
      </c>
      <c r="E90" s="55">
        <v>0</v>
      </c>
      <c r="F90" s="55">
        <v>2</v>
      </c>
      <c r="G90" s="55">
        <v>2</v>
      </c>
      <c r="H90" s="55">
        <v>9</v>
      </c>
      <c r="I90" s="63">
        <v>0</v>
      </c>
      <c r="J90" s="55">
        <v>0</v>
      </c>
      <c r="K90" s="55">
        <v>0</v>
      </c>
      <c r="L90" s="55">
        <v>0</v>
      </c>
      <c r="M90" s="55">
        <v>0</v>
      </c>
      <c r="N90" s="55">
        <v>0</v>
      </c>
      <c r="O90" s="55">
        <v>0</v>
      </c>
      <c r="P90" s="55">
        <v>0</v>
      </c>
      <c r="Q90" s="56">
        <v>26</v>
      </c>
    </row>
    <row r="91" spans="2:17">
      <c r="B91" s="54">
        <v>40812</v>
      </c>
      <c r="C91" s="55">
        <v>21</v>
      </c>
      <c r="D91" s="55">
        <v>0</v>
      </c>
      <c r="E91" s="55">
        <v>0</v>
      </c>
      <c r="F91" s="55">
        <v>1</v>
      </c>
      <c r="G91" s="55">
        <v>1</v>
      </c>
      <c r="H91" s="55">
        <v>4</v>
      </c>
      <c r="I91" s="63">
        <v>0</v>
      </c>
      <c r="J91" s="55">
        <v>1</v>
      </c>
      <c r="K91" s="55">
        <v>0</v>
      </c>
      <c r="L91" s="55">
        <v>0</v>
      </c>
      <c r="M91" s="55">
        <v>0</v>
      </c>
      <c r="N91" s="55">
        <v>0</v>
      </c>
      <c r="O91" s="55">
        <v>0</v>
      </c>
      <c r="P91" s="55">
        <v>0</v>
      </c>
      <c r="Q91" s="56">
        <v>17</v>
      </c>
    </row>
    <row r="92" spans="2:17">
      <c r="B92" s="54">
        <v>40813</v>
      </c>
      <c r="C92" s="55">
        <v>19</v>
      </c>
      <c r="D92" s="55">
        <v>0</v>
      </c>
      <c r="E92" s="55">
        <v>0</v>
      </c>
      <c r="F92" s="55">
        <v>1</v>
      </c>
      <c r="G92" s="55">
        <v>1</v>
      </c>
      <c r="H92" s="55">
        <v>4</v>
      </c>
      <c r="I92" s="63">
        <v>0</v>
      </c>
      <c r="J92" s="55">
        <v>0</v>
      </c>
      <c r="K92" s="55">
        <v>1</v>
      </c>
      <c r="L92" s="55">
        <v>0</v>
      </c>
      <c r="M92" s="55">
        <v>0</v>
      </c>
      <c r="N92" s="55">
        <v>0</v>
      </c>
      <c r="O92" s="55">
        <v>0</v>
      </c>
      <c r="P92" s="55">
        <v>0</v>
      </c>
      <c r="Q92" s="56">
        <v>23</v>
      </c>
    </row>
    <row r="93" spans="2:17">
      <c r="B93" s="54">
        <v>40814</v>
      </c>
      <c r="C93" s="55">
        <v>24</v>
      </c>
      <c r="D93" s="55">
        <v>0</v>
      </c>
      <c r="E93" s="55">
        <v>0</v>
      </c>
      <c r="F93" s="55">
        <v>1</v>
      </c>
      <c r="G93" s="55">
        <v>1</v>
      </c>
      <c r="H93" s="55">
        <v>4</v>
      </c>
      <c r="I93" s="63">
        <v>0</v>
      </c>
      <c r="J93" s="55">
        <v>0</v>
      </c>
      <c r="K93" s="55">
        <v>0</v>
      </c>
      <c r="L93" s="55">
        <v>1</v>
      </c>
      <c r="M93" s="55">
        <v>0</v>
      </c>
      <c r="N93" s="55">
        <v>0</v>
      </c>
      <c r="O93" s="55">
        <v>0</v>
      </c>
      <c r="P93" s="55">
        <v>0</v>
      </c>
      <c r="Q93" s="56">
        <v>15</v>
      </c>
    </row>
    <row r="94" spans="2:17">
      <c r="B94" s="54">
        <v>40815</v>
      </c>
      <c r="C94" s="55">
        <v>26</v>
      </c>
      <c r="D94" s="55">
        <v>0</v>
      </c>
      <c r="E94" s="55">
        <v>0</v>
      </c>
      <c r="F94" s="55">
        <v>1</v>
      </c>
      <c r="G94" s="55">
        <v>1</v>
      </c>
      <c r="H94" s="55">
        <v>4</v>
      </c>
      <c r="I94" s="63">
        <v>0</v>
      </c>
      <c r="J94" s="55">
        <v>0</v>
      </c>
      <c r="K94" s="55">
        <v>0</v>
      </c>
      <c r="L94" s="55">
        <v>0</v>
      </c>
      <c r="M94" s="55">
        <v>1</v>
      </c>
      <c r="N94" s="55">
        <v>0</v>
      </c>
      <c r="O94" s="55">
        <v>0</v>
      </c>
      <c r="P94" s="55">
        <v>0</v>
      </c>
      <c r="Q94" s="56">
        <v>27</v>
      </c>
    </row>
    <row r="95" spans="2:17">
      <c r="B95" s="54">
        <v>40816</v>
      </c>
      <c r="C95" s="55">
        <v>29</v>
      </c>
      <c r="D95" s="55">
        <v>0</v>
      </c>
      <c r="E95" s="55">
        <v>0</v>
      </c>
      <c r="F95" s="55">
        <v>1</v>
      </c>
      <c r="G95" s="55">
        <v>1</v>
      </c>
      <c r="H95" s="55">
        <v>4</v>
      </c>
      <c r="I95" s="63">
        <v>0</v>
      </c>
      <c r="J95" s="55">
        <v>0</v>
      </c>
      <c r="K95" s="55">
        <v>0</v>
      </c>
      <c r="L95" s="55">
        <v>0</v>
      </c>
      <c r="M95" s="55">
        <v>0</v>
      </c>
      <c r="N95" s="55">
        <v>1</v>
      </c>
      <c r="O95" s="55">
        <v>0</v>
      </c>
      <c r="P95" s="55">
        <v>0</v>
      </c>
      <c r="Q95" s="56">
        <v>24</v>
      </c>
    </row>
    <row r="96" spans="2:17">
      <c r="B96" s="54">
        <v>40817</v>
      </c>
      <c r="C96" s="55">
        <v>26</v>
      </c>
      <c r="D96" s="55">
        <v>0</v>
      </c>
      <c r="E96" s="55">
        <v>0</v>
      </c>
      <c r="F96" s="55">
        <v>2</v>
      </c>
      <c r="G96" s="55">
        <v>1</v>
      </c>
      <c r="H96" s="55">
        <v>6</v>
      </c>
      <c r="I96" s="63">
        <v>0</v>
      </c>
      <c r="J96" s="55">
        <v>0</v>
      </c>
      <c r="K96" s="55">
        <v>0</v>
      </c>
      <c r="L96" s="55">
        <v>0</v>
      </c>
      <c r="M96" s="55">
        <v>0</v>
      </c>
      <c r="N96" s="55">
        <v>0</v>
      </c>
      <c r="O96" s="55">
        <v>1</v>
      </c>
      <c r="P96" s="55">
        <v>0</v>
      </c>
      <c r="Q96" s="56">
        <v>18</v>
      </c>
    </row>
    <row r="97" spans="2:17">
      <c r="B97" s="54">
        <v>40818</v>
      </c>
      <c r="C97" s="55">
        <v>27</v>
      </c>
      <c r="D97" s="55">
        <v>0</v>
      </c>
      <c r="E97" s="55">
        <v>0</v>
      </c>
      <c r="F97" s="55">
        <v>1</v>
      </c>
      <c r="G97" s="55">
        <v>1</v>
      </c>
      <c r="H97" s="55">
        <v>4</v>
      </c>
      <c r="I97" s="63">
        <v>0</v>
      </c>
      <c r="J97" s="55">
        <v>0</v>
      </c>
      <c r="K97" s="55">
        <v>0</v>
      </c>
      <c r="L97" s="55">
        <v>0</v>
      </c>
      <c r="M97" s="55">
        <v>0</v>
      </c>
      <c r="N97" s="55">
        <v>0</v>
      </c>
      <c r="O97" s="55">
        <v>0</v>
      </c>
      <c r="P97" s="55">
        <v>0</v>
      </c>
      <c r="Q97" s="56">
        <v>16</v>
      </c>
    </row>
    <row r="98" spans="2:17">
      <c r="B98" s="54">
        <v>40819</v>
      </c>
      <c r="C98" s="55">
        <v>20</v>
      </c>
      <c r="D98" s="55">
        <v>0</v>
      </c>
      <c r="E98" s="55">
        <v>0</v>
      </c>
      <c r="F98" s="55">
        <v>1</v>
      </c>
      <c r="G98" s="55">
        <v>-1</v>
      </c>
      <c r="H98" s="55">
        <v>0</v>
      </c>
      <c r="I98" s="63">
        <v>0</v>
      </c>
      <c r="J98" s="55">
        <v>1</v>
      </c>
      <c r="K98" s="55">
        <v>0</v>
      </c>
      <c r="L98" s="55">
        <v>0</v>
      </c>
      <c r="M98" s="55">
        <v>0</v>
      </c>
      <c r="N98" s="55">
        <v>0</v>
      </c>
      <c r="O98" s="55">
        <v>0</v>
      </c>
      <c r="P98" s="55">
        <v>0</v>
      </c>
      <c r="Q98" s="56">
        <v>10</v>
      </c>
    </row>
    <row r="99" spans="2:17">
      <c r="B99" s="54">
        <v>40820</v>
      </c>
      <c r="C99" s="55">
        <v>14</v>
      </c>
      <c r="D99" s="55">
        <v>0</v>
      </c>
      <c r="E99" s="55">
        <v>0</v>
      </c>
      <c r="F99" s="55">
        <v>0</v>
      </c>
      <c r="G99" s="55">
        <v>0</v>
      </c>
      <c r="H99" s="55">
        <v>1</v>
      </c>
      <c r="I99" s="63">
        <v>0</v>
      </c>
      <c r="J99" s="55">
        <v>0</v>
      </c>
      <c r="K99" s="55">
        <v>1</v>
      </c>
      <c r="L99" s="55">
        <v>0</v>
      </c>
      <c r="M99" s="55">
        <v>0</v>
      </c>
      <c r="N99" s="55">
        <v>0</v>
      </c>
      <c r="O99" s="55">
        <v>0</v>
      </c>
      <c r="P99" s="55">
        <v>0</v>
      </c>
      <c r="Q99" s="56">
        <v>13</v>
      </c>
    </row>
    <row r="100" spans="2:17">
      <c r="B100" s="54">
        <v>40821</v>
      </c>
      <c r="C100" s="55">
        <v>16</v>
      </c>
      <c r="D100" s="55">
        <v>0</v>
      </c>
      <c r="E100" s="55">
        <v>0</v>
      </c>
      <c r="F100" s="55">
        <v>0</v>
      </c>
      <c r="G100" s="55">
        <v>0</v>
      </c>
      <c r="H100" s="55">
        <v>1</v>
      </c>
      <c r="I100" s="63">
        <v>0</v>
      </c>
      <c r="J100" s="55">
        <v>0</v>
      </c>
      <c r="K100" s="55">
        <v>0</v>
      </c>
      <c r="L100" s="55">
        <v>1</v>
      </c>
      <c r="M100" s="55">
        <v>0</v>
      </c>
      <c r="N100" s="55">
        <v>0</v>
      </c>
      <c r="O100" s="55">
        <v>0</v>
      </c>
      <c r="P100" s="55">
        <v>0</v>
      </c>
      <c r="Q100" s="56">
        <v>3</v>
      </c>
    </row>
    <row r="101" spans="2:17">
      <c r="B101" s="54">
        <v>40822</v>
      </c>
      <c r="C101" s="55">
        <v>15</v>
      </c>
      <c r="D101" s="55">
        <v>0</v>
      </c>
      <c r="E101" s="55">
        <v>0</v>
      </c>
      <c r="F101" s="55">
        <v>0</v>
      </c>
      <c r="G101" s="55">
        <v>0</v>
      </c>
      <c r="H101" s="55">
        <v>1</v>
      </c>
      <c r="I101" s="63">
        <v>0</v>
      </c>
      <c r="J101" s="55">
        <v>0</v>
      </c>
      <c r="K101" s="55">
        <v>0</v>
      </c>
      <c r="L101" s="55">
        <v>0</v>
      </c>
      <c r="M101" s="55">
        <v>1</v>
      </c>
      <c r="N101" s="55">
        <v>0</v>
      </c>
      <c r="O101" s="55">
        <v>0</v>
      </c>
      <c r="P101" s="55">
        <v>0</v>
      </c>
      <c r="Q101" s="56">
        <v>7</v>
      </c>
    </row>
    <row r="102" spans="2:17">
      <c r="B102" s="54">
        <v>40823</v>
      </c>
      <c r="C102" s="55">
        <v>15</v>
      </c>
      <c r="D102" s="55">
        <v>0</v>
      </c>
      <c r="E102" s="55">
        <v>0</v>
      </c>
      <c r="F102" s="55">
        <v>0</v>
      </c>
      <c r="G102" s="55">
        <v>0</v>
      </c>
      <c r="H102" s="55">
        <v>1</v>
      </c>
      <c r="I102" s="63">
        <v>0</v>
      </c>
      <c r="J102" s="55">
        <v>0</v>
      </c>
      <c r="K102" s="55">
        <v>0</v>
      </c>
      <c r="L102" s="55">
        <v>0</v>
      </c>
      <c r="M102" s="55">
        <v>0</v>
      </c>
      <c r="N102" s="55">
        <v>1</v>
      </c>
      <c r="O102" s="55">
        <v>0</v>
      </c>
      <c r="P102" s="55">
        <v>0</v>
      </c>
      <c r="Q102" s="56">
        <v>11</v>
      </c>
    </row>
    <row r="103" spans="2:17">
      <c r="B103" s="54">
        <v>40824</v>
      </c>
      <c r="C103" s="55">
        <v>21</v>
      </c>
      <c r="D103" s="55">
        <v>0</v>
      </c>
      <c r="E103" s="55">
        <v>0</v>
      </c>
      <c r="F103" s="55">
        <v>2</v>
      </c>
      <c r="G103" s="55">
        <v>1</v>
      </c>
      <c r="H103" s="55">
        <v>6</v>
      </c>
      <c r="I103" s="63">
        <v>0</v>
      </c>
      <c r="J103" s="55">
        <v>0</v>
      </c>
      <c r="K103" s="55">
        <v>0</v>
      </c>
      <c r="L103" s="55">
        <v>0</v>
      </c>
      <c r="M103" s="55">
        <v>0</v>
      </c>
      <c r="N103" s="55">
        <v>0</v>
      </c>
      <c r="O103" s="55">
        <v>1</v>
      </c>
      <c r="P103" s="55">
        <v>0</v>
      </c>
      <c r="Q103" s="56">
        <v>17</v>
      </c>
    </row>
    <row r="104" spans="2:17">
      <c r="B104" s="54">
        <v>40825</v>
      </c>
      <c r="C104" s="55">
        <v>21</v>
      </c>
      <c r="D104" s="55">
        <v>0</v>
      </c>
      <c r="E104" s="55">
        <v>0</v>
      </c>
      <c r="F104" s="55">
        <v>2</v>
      </c>
      <c r="G104" s="55">
        <v>1</v>
      </c>
      <c r="H104" s="55">
        <v>6</v>
      </c>
      <c r="I104" s="63">
        <v>0</v>
      </c>
      <c r="J104" s="55">
        <v>0</v>
      </c>
      <c r="K104" s="55">
        <v>0</v>
      </c>
      <c r="L104" s="55">
        <v>0</v>
      </c>
      <c r="M104" s="55">
        <v>0</v>
      </c>
      <c r="N104" s="55">
        <v>0</v>
      </c>
      <c r="O104" s="55">
        <v>0</v>
      </c>
      <c r="P104" s="55">
        <v>0</v>
      </c>
      <c r="Q104" s="56">
        <v>18</v>
      </c>
    </row>
    <row r="105" spans="2:17">
      <c r="B105" s="54">
        <v>40826</v>
      </c>
      <c r="C105" s="55">
        <v>17</v>
      </c>
      <c r="D105" s="55">
        <v>0</v>
      </c>
      <c r="E105" s="55">
        <v>0</v>
      </c>
      <c r="F105" s="55">
        <v>1</v>
      </c>
      <c r="G105" s="55">
        <v>0</v>
      </c>
      <c r="H105" s="55">
        <v>2</v>
      </c>
      <c r="I105" s="63">
        <v>1</v>
      </c>
      <c r="J105" s="55">
        <v>1</v>
      </c>
      <c r="K105" s="55">
        <v>0</v>
      </c>
      <c r="L105" s="55">
        <v>0</v>
      </c>
      <c r="M105" s="55">
        <v>0</v>
      </c>
      <c r="N105" s="55">
        <v>0</v>
      </c>
      <c r="O105" s="55">
        <v>0</v>
      </c>
      <c r="P105" s="55">
        <v>0</v>
      </c>
      <c r="Q105" s="56">
        <v>7</v>
      </c>
    </row>
    <row r="106" spans="2:17">
      <c r="B106" s="54">
        <v>40827</v>
      </c>
      <c r="C106" s="55">
        <v>9</v>
      </c>
      <c r="D106" s="55">
        <v>0</v>
      </c>
      <c r="E106" s="55">
        <v>0</v>
      </c>
      <c r="F106" s="55">
        <v>0</v>
      </c>
      <c r="G106" s="55">
        <v>0</v>
      </c>
      <c r="H106" s="55">
        <v>1</v>
      </c>
      <c r="I106" s="63">
        <v>0</v>
      </c>
      <c r="J106" s="55">
        <v>0</v>
      </c>
      <c r="K106" s="55">
        <v>1</v>
      </c>
      <c r="L106" s="55">
        <v>0</v>
      </c>
      <c r="M106" s="55">
        <v>0</v>
      </c>
      <c r="N106" s="55">
        <v>0</v>
      </c>
      <c r="O106" s="55">
        <v>0</v>
      </c>
      <c r="P106" s="55">
        <v>0</v>
      </c>
      <c r="Q106" s="56">
        <v>8</v>
      </c>
    </row>
    <row r="107" spans="2:17">
      <c r="B107" s="54">
        <v>40828</v>
      </c>
      <c r="C107" s="55">
        <v>10</v>
      </c>
      <c r="D107" s="55">
        <v>0</v>
      </c>
      <c r="E107" s="55">
        <v>0</v>
      </c>
      <c r="F107" s="55">
        <v>0</v>
      </c>
      <c r="G107" s="55">
        <v>0</v>
      </c>
      <c r="H107" s="55">
        <v>1</v>
      </c>
      <c r="I107" s="63">
        <v>0</v>
      </c>
      <c r="J107" s="55">
        <v>0</v>
      </c>
      <c r="K107" s="55">
        <v>0</v>
      </c>
      <c r="L107" s="55">
        <v>1</v>
      </c>
      <c r="M107" s="55">
        <v>0</v>
      </c>
      <c r="N107" s="55">
        <v>0</v>
      </c>
      <c r="O107" s="55">
        <v>0</v>
      </c>
      <c r="P107" s="55">
        <v>0</v>
      </c>
      <c r="Q107" s="56">
        <v>8</v>
      </c>
    </row>
    <row r="108" spans="2:17">
      <c r="B108" s="54">
        <v>40829</v>
      </c>
      <c r="C108" s="55">
        <v>14</v>
      </c>
      <c r="D108" s="55">
        <v>0</v>
      </c>
      <c r="E108" s="55">
        <v>0</v>
      </c>
      <c r="F108" s="55">
        <v>0</v>
      </c>
      <c r="G108" s="55">
        <v>0</v>
      </c>
      <c r="H108" s="55">
        <v>1</v>
      </c>
      <c r="I108" s="63">
        <v>0</v>
      </c>
      <c r="J108" s="55">
        <v>0</v>
      </c>
      <c r="K108" s="55">
        <v>0</v>
      </c>
      <c r="L108" s="55">
        <v>0</v>
      </c>
      <c r="M108" s="55">
        <v>1</v>
      </c>
      <c r="N108" s="55">
        <v>0</v>
      </c>
      <c r="O108" s="55">
        <v>0</v>
      </c>
      <c r="P108" s="55">
        <v>0</v>
      </c>
      <c r="Q108" s="56">
        <v>13</v>
      </c>
    </row>
    <row r="109" spans="2:17">
      <c r="B109" s="54">
        <v>40830</v>
      </c>
      <c r="C109" s="55">
        <v>14</v>
      </c>
      <c r="D109" s="55">
        <v>0</v>
      </c>
      <c r="E109" s="55">
        <v>0</v>
      </c>
      <c r="F109" s="55">
        <v>0</v>
      </c>
      <c r="G109" s="55">
        <v>0</v>
      </c>
      <c r="H109" s="55">
        <v>1</v>
      </c>
      <c r="I109" s="63">
        <v>0</v>
      </c>
      <c r="J109" s="55">
        <v>0</v>
      </c>
      <c r="K109" s="55">
        <v>0</v>
      </c>
      <c r="L109" s="55">
        <v>0</v>
      </c>
      <c r="M109" s="55">
        <v>0</v>
      </c>
      <c r="N109" s="55">
        <v>1</v>
      </c>
      <c r="O109" s="55">
        <v>0</v>
      </c>
      <c r="P109" s="55">
        <v>0</v>
      </c>
      <c r="Q109" s="56">
        <v>9</v>
      </c>
    </row>
    <row r="110" spans="2:17">
      <c r="B110" s="54">
        <v>40831</v>
      </c>
      <c r="C110" s="55">
        <v>22</v>
      </c>
      <c r="D110" s="55">
        <v>0</v>
      </c>
      <c r="E110" s="55">
        <v>0</v>
      </c>
      <c r="F110" s="55">
        <v>1</v>
      </c>
      <c r="G110" s="55">
        <v>1</v>
      </c>
      <c r="H110" s="55">
        <v>4</v>
      </c>
      <c r="I110" s="63">
        <v>0</v>
      </c>
      <c r="J110" s="55">
        <v>0</v>
      </c>
      <c r="K110" s="55">
        <v>0</v>
      </c>
      <c r="L110" s="55">
        <v>0</v>
      </c>
      <c r="M110" s="55">
        <v>0</v>
      </c>
      <c r="N110" s="55">
        <v>0</v>
      </c>
      <c r="O110" s="55">
        <v>1</v>
      </c>
      <c r="P110" s="55">
        <v>0</v>
      </c>
      <c r="Q110" s="56">
        <v>17</v>
      </c>
    </row>
    <row r="111" spans="2:17">
      <c r="B111" s="54">
        <v>40832</v>
      </c>
      <c r="C111" s="55">
        <v>24</v>
      </c>
      <c r="D111" s="55">
        <v>0</v>
      </c>
      <c r="E111" s="55">
        <v>0</v>
      </c>
      <c r="F111" s="55">
        <v>1</v>
      </c>
      <c r="G111" s="55">
        <v>0</v>
      </c>
      <c r="H111" s="55">
        <v>2</v>
      </c>
      <c r="I111" s="63">
        <v>0</v>
      </c>
      <c r="J111" s="55">
        <v>0</v>
      </c>
      <c r="K111" s="55">
        <v>0</v>
      </c>
      <c r="L111" s="55">
        <v>0</v>
      </c>
      <c r="M111" s="55">
        <v>0</v>
      </c>
      <c r="N111" s="55">
        <v>0</v>
      </c>
      <c r="O111" s="55">
        <v>0</v>
      </c>
      <c r="P111" s="55">
        <v>0</v>
      </c>
      <c r="Q111" s="56">
        <v>12</v>
      </c>
    </row>
    <row r="112" spans="2:17">
      <c r="B112" s="54">
        <v>40833</v>
      </c>
      <c r="C112" s="55">
        <v>18</v>
      </c>
      <c r="D112" s="55">
        <v>0</v>
      </c>
      <c r="E112" s="55">
        <v>0</v>
      </c>
      <c r="F112" s="55">
        <v>0</v>
      </c>
      <c r="G112" s="55">
        <v>0</v>
      </c>
      <c r="H112" s="55">
        <v>1</v>
      </c>
      <c r="I112" s="63">
        <v>0</v>
      </c>
      <c r="J112" s="55">
        <v>1</v>
      </c>
      <c r="K112" s="55">
        <v>0</v>
      </c>
      <c r="L112" s="55">
        <v>0</v>
      </c>
      <c r="M112" s="55">
        <v>0</v>
      </c>
      <c r="N112" s="55">
        <v>0</v>
      </c>
      <c r="O112" s="55">
        <v>0</v>
      </c>
      <c r="P112" s="55">
        <v>0</v>
      </c>
      <c r="Q112" s="56">
        <v>11</v>
      </c>
    </row>
    <row r="113" spans="2:17">
      <c r="B113" s="54">
        <v>40834</v>
      </c>
      <c r="C113" s="55">
        <v>13</v>
      </c>
      <c r="D113" s="55">
        <v>0</v>
      </c>
      <c r="E113" s="55">
        <v>0</v>
      </c>
      <c r="F113" s="55">
        <v>0</v>
      </c>
      <c r="G113" s="55">
        <v>0</v>
      </c>
      <c r="H113" s="55">
        <v>1</v>
      </c>
      <c r="I113" s="63">
        <v>0</v>
      </c>
      <c r="J113" s="55">
        <v>0</v>
      </c>
      <c r="K113" s="55">
        <v>1</v>
      </c>
      <c r="L113" s="55">
        <v>0</v>
      </c>
      <c r="M113" s="55">
        <v>0</v>
      </c>
      <c r="N113" s="55">
        <v>0</v>
      </c>
      <c r="O113" s="55">
        <v>0</v>
      </c>
      <c r="P113" s="55">
        <v>0</v>
      </c>
      <c r="Q113" s="56">
        <v>6</v>
      </c>
    </row>
    <row r="114" spans="2:17">
      <c r="B114" s="54">
        <v>40835</v>
      </c>
      <c r="C114" s="55">
        <v>7</v>
      </c>
      <c r="D114" s="55">
        <v>0</v>
      </c>
      <c r="E114" s="55">
        <v>0</v>
      </c>
      <c r="F114" s="55">
        <v>0</v>
      </c>
      <c r="G114" s="55">
        <v>0</v>
      </c>
      <c r="H114" s="55">
        <v>1</v>
      </c>
      <c r="I114" s="63">
        <v>0</v>
      </c>
      <c r="J114" s="55">
        <v>0</v>
      </c>
      <c r="K114" s="55">
        <v>0</v>
      </c>
      <c r="L114" s="55">
        <v>1</v>
      </c>
      <c r="M114" s="55">
        <v>0</v>
      </c>
      <c r="N114" s="55">
        <v>0</v>
      </c>
      <c r="O114" s="55">
        <v>0</v>
      </c>
      <c r="P114" s="55">
        <v>0</v>
      </c>
      <c r="Q114" s="56">
        <v>12</v>
      </c>
    </row>
    <row r="115" spans="2:17">
      <c r="B115" s="54">
        <v>40836</v>
      </c>
      <c r="C115" s="55">
        <v>13</v>
      </c>
      <c r="D115" s="55">
        <v>0</v>
      </c>
      <c r="E115" s="55">
        <v>0</v>
      </c>
      <c r="F115" s="55">
        <v>0</v>
      </c>
      <c r="G115" s="55">
        <v>0</v>
      </c>
      <c r="H115" s="55">
        <v>1</v>
      </c>
      <c r="I115" s="63">
        <v>0</v>
      </c>
      <c r="J115" s="55">
        <v>0</v>
      </c>
      <c r="K115" s="55">
        <v>0</v>
      </c>
      <c r="L115" s="55">
        <v>0</v>
      </c>
      <c r="M115" s="55">
        <v>1</v>
      </c>
      <c r="N115" s="55">
        <v>0</v>
      </c>
      <c r="O115" s="55">
        <v>0</v>
      </c>
      <c r="P115" s="55">
        <v>0</v>
      </c>
      <c r="Q115" s="56">
        <v>3</v>
      </c>
    </row>
    <row r="116" spans="2:17">
      <c r="B116" s="54">
        <v>40837</v>
      </c>
      <c r="C116" s="55">
        <v>18</v>
      </c>
      <c r="D116" s="55">
        <v>0</v>
      </c>
      <c r="E116" s="55">
        <v>0</v>
      </c>
      <c r="F116" s="55">
        <v>0</v>
      </c>
      <c r="G116" s="55">
        <v>0</v>
      </c>
      <c r="H116" s="55">
        <v>1</v>
      </c>
      <c r="I116" s="63">
        <v>0</v>
      </c>
      <c r="J116" s="55">
        <v>0</v>
      </c>
      <c r="K116" s="55">
        <v>0</v>
      </c>
      <c r="L116" s="55">
        <v>0</v>
      </c>
      <c r="M116" s="55">
        <v>0</v>
      </c>
      <c r="N116" s="55">
        <v>1</v>
      </c>
      <c r="O116" s="55">
        <v>0</v>
      </c>
      <c r="P116" s="55">
        <v>0</v>
      </c>
      <c r="Q116" s="56">
        <v>7</v>
      </c>
    </row>
    <row r="117" spans="2:17">
      <c r="B117" s="54">
        <v>40838</v>
      </c>
      <c r="C117" s="55">
        <v>17</v>
      </c>
      <c r="D117" s="55">
        <v>0</v>
      </c>
      <c r="E117" s="55">
        <v>0</v>
      </c>
      <c r="F117" s="55">
        <v>1</v>
      </c>
      <c r="G117" s="55">
        <v>1</v>
      </c>
      <c r="H117" s="55">
        <v>4</v>
      </c>
      <c r="I117" s="63">
        <v>0</v>
      </c>
      <c r="J117" s="55">
        <v>0</v>
      </c>
      <c r="K117" s="55">
        <v>0</v>
      </c>
      <c r="L117" s="55">
        <v>0</v>
      </c>
      <c r="M117" s="55">
        <v>0</v>
      </c>
      <c r="N117" s="55">
        <v>0</v>
      </c>
      <c r="O117" s="55">
        <v>1</v>
      </c>
      <c r="P117" s="55">
        <v>0</v>
      </c>
      <c r="Q117" s="56">
        <v>21</v>
      </c>
    </row>
    <row r="118" spans="2:17">
      <c r="B118" s="54">
        <v>40839</v>
      </c>
      <c r="C118" s="55">
        <v>21</v>
      </c>
      <c r="D118" s="55">
        <v>0</v>
      </c>
      <c r="E118" s="55">
        <v>0</v>
      </c>
      <c r="F118" s="55">
        <v>1</v>
      </c>
      <c r="G118" s="55">
        <v>1</v>
      </c>
      <c r="H118" s="55">
        <v>4</v>
      </c>
      <c r="I118" s="63">
        <v>0</v>
      </c>
      <c r="J118" s="55">
        <v>0</v>
      </c>
      <c r="K118" s="55">
        <v>0</v>
      </c>
      <c r="L118" s="55">
        <v>0</v>
      </c>
      <c r="M118" s="55">
        <v>0</v>
      </c>
      <c r="N118" s="55">
        <v>0</v>
      </c>
      <c r="O118" s="55">
        <v>0</v>
      </c>
      <c r="P118" s="55">
        <v>0</v>
      </c>
      <c r="Q118" s="56">
        <v>20</v>
      </c>
    </row>
    <row r="119" spans="2:17">
      <c r="B119" s="54">
        <v>40840</v>
      </c>
      <c r="C119" s="55">
        <v>14</v>
      </c>
      <c r="D119" s="55">
        <v>0</v>
      </c>
      <c r="E119" s="55">
        <v>0</v>
      </c>
      <c r="F119" s="55">
        <v>0</v>
      </c>
      <c r="G119" s="55">
        <v>0</v>
      </c>
      <c r="H119" s="55">
        <v>1</v>
      </c>
      <c r="I119" s="63">
        <v>0</v>
      </c>
      <c r="J119" s="55">
        <v>1</v>
      </c>
      <c r="K119" s="55">
        <v>0</v>
      </c>
      <c r="L119" s="55">
        <v>0</v>
      </c>
      <c r="M119" s="55">
        <v>0</v>
      </c>
      <c r="N119" s="55">
        <v>0</v>
      </c>
      <c r="O119" s="55">
        <v>0</v>
      </c>
      <c r="P119" s="55">
        <v>0</v>
      </c>
      <c r="Q119" s="56">
        <v>13</v>
      </c>
    </row>
    <row r="120" spans="2:17">
      <c r="B120" s="54">
        <v>40841</v>
      </c>
      <c r="C120" s="55">
        <v>17</v>
      </c>
      <c r="D120" s="55">
        <v>0</v>
      </c>
      <c r="E120" s="55">
        <v>0</v>
      </c>
      <c r="F120" s="55">
        <v>0</v>
      </c>
      <c r="G120" s="55">
        <v>0</v>
      </c>
      <c r="H120" s="55">
        <v>1</v>
      </c>
      <c r="I120" s="63">
        <v>0</v>
      </c>
      <c r="J120" s="55">
        <v>0</v>
      </c>
      <c r="K120" s="55">
        <v>1</v>
      </c>
      <c r="L120" s="55">
        <v>0</v>
      </c>
      <c r="M120" s="55">
        <v>0</v>
      </c>
      <c r="N120" s="55">
        <v>0</v>
      </c>
      <c r="O120" s="55">
        <v>0</v>
      </c>
      <c r="P120" s="55">
        <v>0</v>
      </c>
      <c r="Q120" s="56">
        <v>12</v>
      </c>
    </row>
    <row r="121" spans="2:17">
      <c r="B121" s="54">
        <v>40842</v>
      </c>
      <c r="C121" s="55">
        <v>23</v>
      </c>
      <c r="D121" s="55">
        <v>0</v>
      </c>
      <c r="E121" s="55">
        <v>0</v>
      </c>
      <c r="F121" s="55">
        <v>0</v>
      </c>
      <c r="G121" s="55">
        <v>0</v>
      </c>
      <c r="H121" s="55">
        <v>1</v>
      </c>
      <c r="I121" s="63">
        <v>0</v>
      </c>
      <c r="J121" s="55">
        <v>0</v>
      </c>
      <c r="K121" s="55">
        <v>0</v>
      </c>
      <c r="L121" s="55">
        <v>1</v>
      </c>
      <c r="M121" s="55">
        <v>0</v>
      </c>
      <c r="N121" s="55">
        <v>0</v>
      </c>
      <c r="O121" s="55">
        <v>0</v>
      </c>
      <c r="P121" s="55">
        <v>0</v>
      </c>
      <c r="Q121" s="56">
        <v>13</v>
      </c>
    </row>
    <row r="122" spans="2:17">
      <c r="B122" s="54">
        <v>40843</v>
      </c>
      <c r="C122" s="55">
        <v>24</v>
      </c>
      <c r="D122" s="55">
        <v>0</v>
      </c>
      <c r="E122" s="55">
        <v>0</v>
      </c>
      <c r="F122" s="55">
        <v>0</v>
      </c>
      <c r="G122" s="55">
        <v>0</v>
      </c>
      <c r="H122" s="55">
        <v>1</v>
      </c>
      <c r="I122" s="63">
        <v>0</v>
      </c>
      <c r="J122" s="55">
        <v>0</v>
      </c>
      <c r="K122" s="55">
        <v>0</v>
      </c>
      <c r="L122" s="55">
        <v>0</v>
      </c>
      <c r="M122" s="55">
        <v>1</v>
      </c>
      <c r="N122" s="55">
        <v>0</v>
      </c>
      <c r="O122" s="55">
        <v>0</v>
      </c>
      <c r="P122" s="55">
        <v>0</v>
      </c>
      <c r="Q122" s="56">
        <v>18</v>
      </c>
    </row>
    <row r="123" spans="2:17">
      <c r="B123" s="54">
        <v>40844</v>
      </c>
      <c r="C123" s="55">
        <v>25</v>
      </c>
      <c r="D123" s="55">
        <v>0</v>
      </c>
      <c r="E123" s="55">
        <v>0</v>
      </c>
      <c r="F123" s="55">
        <v>1</v>
      </c>
      <c r="G123" s="55">
        <v>1</v>
      </c>
      <c r="H123" s="55">
        <v>4</v>
      </c>
      <c r="I123" s="63">
        <v>0</v>
      </c>
      <c r="J123" s="55">
        <v>0</v>
      </c>
      <c r="K123" s="55">
        <v>0</v>
      </c>
      <c r="L123" s="55">
        <v>0</v>
      </c>
      <c r="M123" s="55">
        <v>0</v>
      </c>
      <c r="N123" s="55">
        <v>1</v>
      </c>
      <c r="O123" s="55">
        <v>0</v>
      </c>
      <c r="P123" s="55">
        <v>0</v>
      </c>
      <c r="Q123" s="56">
        <v>26</v>
      </c>
    </row>
    <row r="124" spans="2:17">
      <c r="B124" s="54">
        <v>40845</v>
      </c>
      <c r="C124" s="55">
        <v>35</v>
      </c>
      <c r="D124" s="55">
        <v>0</v>
      </c>
      <c r="E124" s="55">
        <v>0</v>
      </c>
      <c r="F124" s="55">
        <v>2</v>
      </c>
      <c r="G124" s="55">
        <v>2</v>
      </c>
      <c r="H124" s="55">
        <v>9</v>
      </c>
      <c r="I124" s="63">
        <v>0</v>
      </c>
      <c r="J124" s="55">
        <v>0</v>
      </c>
      <c r="K124" s="55">
        <v>0</v>
      </c>
      <c r="L124" s="55">
        <v>0</v>
      </c>
      <c r="M124" s="55">
        <v>0</v>
      </c>
      <c r="N124" s="55">
        <v>0</v>
      </c>
      <c r="O124" s="55">
        <v>1</v>
      </c>
      <c r="P124" s="55">
        <v>0</v>
      </c>
      <c r="Q124" s="56">
        <v>29</v>
      </c>
    </row>
    <row r="125" spans="2:17">
      <c r="B125" s="54">
        <v>40846</v>
      </c>
      <c r="C125" s="55">
        <v>22</v>
      </c>
      <c r="D125" s="55">
        <v>0</v>
      </c>
      <c r="E125" s="55">
        <v>0</v>
      </c>
      <c r="F125" s="55">
        <v>2</v>
      </c>
      <c r="G125" s="55">
        <v>1</v>
      </c>
      <c r="H125" s="55">
        <v>6</v>
      </c>
      <c r="I125" s="63">
        <v>0</v>
      </c>
      <c r="J125" s="55">
        <v>0</v>
      </c>
      <c r="K125" s="55">
        <v>0</v>
      </c>
      <c r="L125" s="55">
        <v>0</v>
      </c>
      <c r="M125" s="55">
        <v>0</v>
      </c>
      <c r="N125" s="55">
        <v>0</v>
      </c>
      <c r="O125" s="55">
        <v>0</v>
      </c>
      <c r="P125" s="55">
        <v>0</v>
      </c>
      <c r="Q125" s="56">
        <v>23</v>
      </c>
    </row>
    <row r="126" spans="2:17">
      <c r="B126" s="54">
        <v>40847</v>
      </c>
      <c r="C126" s="55">
        <v>27</v>
      </c>
      <c r="D126" s="55">
        <v>0</v>
      </c>
      <c r="E126" s="55">
        <v>0</v>
      </c>
      <c r="F126" s="55">
        <v>1</v>
      </c>
      <c r="G126" s="55">
        <v>1</v>
      </c>
      <c r="H126" s="55">
        <v>4</v>
      </c>
      <c r="I126" s="63">
        <v>0</v>
      </c>
      <c r="J126" s="55">
        <v>1</v>
      </c>
      <c r="K126" s="55">
        <v>0</v>
      </c>
      <c r="L126" s="55">
        <v>0</v>
      </c>
      <c r="M126" s="55">
        <v>0</v>
      </c>
      <c r="N126" s="55">
        <v>0</v>
      </c>
      <c r="O126" s="55">
        <v>0</v>
      </c>
      <c r="P126" s="55">
        <v>0</v>
      </c>
      <c r="Q126" s="56">
        <v>16</v>
      </c>
    </row>
    <row r="127" spans="2:17">
      <c r="B127" s="54">
        <v>40848</v>
      </c>
      <c r="C127" s="55">
        <v>21</v>
      </c>
      <c r="D127" s="55">
        <v>0</v>
      </c>
      <c r="E127" s="55">
        <v>0</v>
      </c>
      <c r="F127" s="55">
        <v>1</v>
      </c>
      <c r="G127" s="55">
        <v>1</v>
      </c>
      <c r="H127" s="55">
        <v>4</v>
      </c>
      <c r="I127" s="63">
        <v>0</v>
      </c>
      <c r="J127" s="55">
        <v>0</v>
      </c>
      <c r="K127" s="55">
        <v>1</v>
      </c>
      <c r="L127" s="55">
        <v>0</v>
      </c>
      <c r="M127" s="55">
        <v>0</v>
      </c>
      <c r="N127" s="55">
        <v>0</v>
      </c>
      <c r="O127" s="55">
        <v>0</v>
      </c>
      <c r="P127" s="55">
        <v>0</v>
      </c>
      <c r="Q127" s="56">
        <v>12</v>
      </c>
    </row>
    <row r="128" spans="2:17">
      <c r="B128" s="54">
        <v>40849</v>
      </c>
      <c r="C128" s="55">
        <v>21</v>
      </c>
      <c r="D128" s="55">
        <v>0</v>
      </c>
      <c r="E128" s="55">
        <v>0</v>
      </c>
      <c r="F128" s="55">
        <v>1</v>
      </c>
      <c r="G128" s="55">
        <v>0</v>
      </c>
      <c r="H128" s="55">
        <v>2</v>
      </c>
      <c r="I128" s="63">
        <v>0</v>
      </c>
      <c r="J128" s="55">
        <v>0</v>
      </c>
      <c r="K128" s="55">
        <v>0</v>
      </c>
      <c r="L128" s="55">
        <v>1</v>
      </c>
      <c r="M128" s="55">
        <v>0</v>
      </c>
      <c r="N128" s="55">
        <v>0</v>
      </c>
      <c r="O128" s="55">
        <v>0</v>
      </c>
      <c r="P128" s="55">
        <v>0</v>
      </c>
      <c r="Q128" s="56">
        <v>15</v>
      </c>
    </row>
    <row r="129" spans="2:17">
      <c r="B129" s="54">
        <v>40850</v>
      </c>
      <c r="C129" s="55">
        <v>22</v>
      </c>
      <c r="D129" s="55">
        <v>0</v>
      </c>
      <c r="E129" s="55">
        <v>0</v>
      </c>
      <c r="F129" s="55">
        <v>2</v>
      </c>
      <c r="G129" s="55">
        <v>1</v>
      </c>
      <c r="H129" s="55">
        <v>6</v>
      </c>
      <c r="I129" s="63">
        <v>1</v>
      </c>
      <c r="J129" s="55">
        <v>0</v>
      </c>
      <c r="K129" s="55">
        <v>0</v>
      </c>
      <c r="L129" s="55">
        <v>0</v>
      </c>
      <c r="M129" s="55">
        <v>1</v>
      </c>
      <c r="N129" s="55">
        <v>0</v>
      </c>
      <c r="O129" s="55">
        <v>0</v>
      </c>
      <c r="P129" s="55">
        <v>0</v>
      </c>
      <c r="Q129" s="56">
        <v>11</v>
      </c>
    </row>
    <row r="130" spans="2:17">
      <c r="B130" s="54">
        <v>40851</v>
      </c>
      <c r="C130" s="55">
        <v>22</v>
      </c>
      <c r="D130" s="55">
        <v>0</v>
      </c>
      <c r="E130" s="55">
        <v>0</v>
      </c>
      <c r="F130" s="55">
        <v>1</v>
      </c>
      <c r="G130" s="55">
        <v>1</v>
      </c>
      <c r="H130" s="55">
        <v>4</v>
      </c>
      <c r="I130" s="63">
        <v>0</v>
      </c>
      <c r="J130" s="55">
        <v>0</v>
      </c>
      <c r="K130" s="55">
        <v>0</v>
      </c>
      <c r="L130" s="55">
        <v>0</v>
      </c>
      <c r="M130" s="55">
        <v>0</v>
      </c>
      <c r="N130" s="55">
        <v>1</v>
      </c>
      <c r="O130" s="55">
        <v>0</v>
      </c>
      <c r="P130" s="55">
        <v>0</v>
      </c>
      <c r="Q130" s="56">
        <v>13</v>
      </c>
    </row>
    <row r="131" spans="2:17">
      <c r="B131" s="54">
        <v>40852</v>
      </c>
      <c r="C131" s="55">
        <v>28</v>
      </c>
      <c r="D131" s="55">
        <v>0</v>
      </c>
      <c r="E131" s="55">
        <v>0</v>
      </c>
      <c r="F131" s="55">
        <v>1</v>
      </c>
      <c r="G131" s="55">
        <v>0</v>
      </c>
      <c r="H131" s="55">
        <v>2</v>
      </c>
      <c r="I131" s="63">
        <v>0</v>
      </c>
      <c r="J131" s="55">
        <v>0</v>
      </c>
      <c r="K131" s="55">
        <v>0</v>
      </c>
      <c r="L131" s="55">
        <v>0</v>
      </c>
      <c r="M131" s="55">
        <v>0</v>
      </c>
      <c r="N131" s="55">
        <v>0</v>
      </c>
      <c r="O131" s="55">
        <v>1</v>
      </c>
      <c r="P131" s="55">
        <v>0</v>
      </c>
      <c r="Q131" s="56">
        <v>17</v>
      </c>
    </row>
    <row r="132" spans="2:17">
      <c r="B132" s="54">
        <v>40853</v>
      </c>
      <c r="C132" s="55">
        <v>10</v>
      </c>
      <c r="D132" s="55">
        <v>0</v>
      </c>
      <c r="E132" s="55">
        <v>0</v>
      </c>
      <c r="F132" s="55">
        <v>1</v>
      </c>
      <c r="G132" s="55">
        <v>0</v>
      </c>
      <c r="H132" s="55">
        <v>2</v>
      </c>
      <c r="I132" s="63">
        <v>0</v>
      </c>
      <c r="J132" s="55">
        <v>0</v>
      </c>
      <c r="K132" s="55">
        <v>0</v>
      </c>
      <c r="L132" s="55">
        <v>0</v>
      </c>
      <c r="M132" s="55">
        <v>0</v>
      </c>
      <c r="N132" s="55">
        <v>0</v>
      </c>
      <c r="O132" s="55">
        <v>0</v>
      </c>
      <c r="P132" s="55">
        <v>0</v>
      </c>
      <c r="Q132" s="56">
        <v>13</v>
      </c>
    </row>
    <row r="133" spans="2:17">
      <c r="B133" s="54">
        <v>40854</v>
      </c>
      <c r="C133" s="55">
        <v>14</v>
      </c>
      <c r="D133" s="55">
        <v>0</v>
      </c>
      <c r="E133" s="55">
        <v>0</v>
      </c>
      <c r="F133" s="55">
        <v>0</v>
      </c>
      <c r="G133" s="55">
        <v>0</v>
      </c>
      <c r="H133" s="55">
        <v>1</v>
      </c>
      <c r="I133" s="63">
        <v>0</v>
      </c>
      <c r="J133" s="55">
        <v>1</v>
      </c>
      <c r="K133" s="55">
        <v>0</v>
      </c>
      <c r="L133" s="55">
        <v>0</v>
      </c>
      <c r="M133" s="55">
        <v>0</v>
      </c>
      <c r="N133" s="55">
        <v>0</v>
      </c>
      <c r="O133" s="55">
        <v>0</v>
      </c>
      <c r="P133" s="55">
        <v>0</v>
      </c>
      <c r="Q133" s="56">
        <v>8</v>
      </c>
    </row>
    <row r="134" spans="2:17">
      <c r="B134" s="54">
        <v>40855</v>
      </c>
      <c r="C134" s="55">
        <v>17</v>
      </c>
      <c r="D134" s="55">
        <v>0</v>
      </c>
      <c r="E134" s="55">
        <v>0</v>
      </c>
      <c r="F134" s="55">
        <v>0</v>
      </c>
      <c r="G134" s="55">
        <v>0</v>
      </c>
      <c r="H134" s="55">
        <v>1</v>
      </c>
      <c r="I134" s="63">
        <v>0</v>
      </c>
      <c r="J134" s="55">
        <v>0</v>
      </c>
      <c r="K134" s="55">
        <v>1</v>
      </c>
      <c r="L134" s="55">
        <v>0</v>
      </c>
      <c r="M134" s="55">
        <v>0</v>
      </c>
      <c r="N134" s="55">
        <v>0</v>
      </c>
      <c r="O134" s="55">
        <v>0</v>
      </c>
      <c r="P134" s="55">
        <v>0</v>
      </c>
      <c r="Q134" s="56">
        <v>7</v>
      </c>
    </row>
    <row r="135" spans="2:17">
      <c r="B135" s="54">
        <v>40856</v>
      </c>
      <c r="C135" s="55">
        <v>11</v>
      </c>
      <c r="D135" s="55">
        <v>0</v>
      </c>
      <c r="E135" s="55">
        <v>0</v>
      </c>
      <c r="F135" s="55">
        <v>0</v>
      </c>
      <c r="G135" s="55">
        <v>0</v>
      </c>
      <c r="H135" s="55">
        <v>1</v>
      </c>
      <c r="I135" s="63">
        <v>0</v>
      </c>
      <c r="J135" s="55">
        <v>0</v>
      </c>
      <c r="K135" s="55">
        <v>0</v>
      </c>
      <c r="L135" s="55">
        <v>1</v>
      </c>
      <c r="M135" s="55">
        <v>0</v>
      </c>
      <c r="N135" s="55">
        <v>0</v>
      </c>
      <c r="O135" s="55">
        <v>0</v>
      </c>
      <c r="P135" s="55">
        <v>0</v>
      </c>
      <c r="Q135" s="56">
        <v>11</v>
      </c>
    </row>
    <row r="136" spans="2:17">
      <c r="B136" s="54">
        <v>40857</v>
      </c>
      <c r="C136" s="55">
        <v>12</v>
      </c>
      <c r="D136" s="55">
        <v>0</v>
      </c>
      <c r="E136" s="55">
        <v>0</v>
      </c>
      <c r="F136" s="55">
        <v>0</v>
      </c>
      <c r="G136" s="55">
        <v>0</v>
      </c>
      <c r="H136" s="55">
        <v>1</v>
      </c>
      <c r="I136" s="63">
        <v>0</v>
      </c>
      <c r="J136" s="55">
        <v>0</v>
      </c>
      <c r="K136" s="55">
        <v>0</v>
      </c>
      <c r="L136" s="55">
        <v>0</v>
      </c>
      <c r="M136" s="55">
        <v>1</v>
      </c>
      <c r="N136" s="55">
        <v>0</v>
      </c>
      <c r="O136" s="55">
        <v>0</v>
      </c>
      <c r="P136" s="55">
        <v>0</v>
      </c>
      <c r="Q136" s="56">
        <v>11</v>
      </c>
    </row>
    <row r="137" spans="2:17">
      <c r="B137" s="54">
        <v>40858</v>
      </c>
      <c r="C137" s="55">
        <v>25</v>
      </c>
      <c r="D137" s="55">
        <v>0</v>
      </c>
      <c r="E137" s="55">
        <v>0</v>
      </c>
      <c r="F137" s="55">
        <v>0</v>
      </c>
      <c r="G137" s="55">
        <v>0</v>
      </c>
      <c r="H137" s="55">
        <v>1</v>
      </c>
      <c r="I137" s="63">
        <v>0</v>
      </c>
      <c r="J137" s="55">
        <v>0</v>
      </c>
      <c r="K137" s="55">
        <v>0</v>
      </c>
      <c r="L137" s="55">
        <v>0</v>
      </c>
      <c r="M137" s="55">
        <v>0</v>
      </c>
      <c r="N137" s="55">
        <v>1</v>
      </c>
      <c r="O137" s="55">
        <v>0</v>
      </c>
      <c r="P137" s="55">
        <v>0</v>
      </c>
      <c r="Q137" s="56">
        <v>15</v>
      </c>
    </row>
    <row r="138" spans="2:17">
      <c r="B138" s="54">
        <v>40859</v>
      </c>
      <c r="C138" s="55">
        <v>27</v>
      </c>
      <c r="D138" s="55">
        <v>0</v>
      </c>
      <c r="E138" s="55">
        <v>0</v>
      </c>
      <c r="F138" s="55">
        <v>1</v>
      </c>
      <c r="G138" s="55">
        <v>1</v>
      </c>
      <c r="H138" s="55">
        <v>4</v>
      </c>
      <c r="I138" s="63">
        <v>0</v>
      </c>
      <c r="J138" s="55">
        <v>0</v>
      </c>
      <c r="K138" s="55">
        <v>0</v>
      </c>
      <c r="L138" s="55">
        <v>0</v>
      </c>
      <c r="M138" s="55">
        <v>0</v>
      </c>
      <c r="N138" s="55">
        <v>0</v>
      </c>
      <c r="O138" s="55">
        <v>1</v>
      </c>
      <c r="P138" s="55">
        <v>0</v>
      </c>
      <c r="Q138" s="56">
        <v>16</v>
      </c>
    </row>
    <row r="139" spans="2:17">
      <c r="B139" s="54">
        <v>40860</v>
      </c>
      <c r="C139" s="55">
        <v>21</v>
      </c>
      <c r="D139" s="55">
        <v>0</v>
      </c>
      <c r="E139" s="55">
        <v>0</v>
      </c>
      <c r="F139" s="55">
        <v>0</v>
      </c>
      <c r="G139" s="55">
        <v>0</v>
      </c>
      <c r="H139" s="55">
        <v>1</v>
      </c>
      <c r="I139" s="63">
        <v>0</v>
      </c>
      <c r="J139" s="55">
        <v>0</v>
      </c>
      <c r="K139" s="55">
        <v>0</v>
      </c>
      <c r="L139" s="55">
        <v>0</v>
      </c>
      <c r="M139" s="55">
        <v>0</v>
      </c>
      <c r="N139" s="55">
        <v>0</v>
      </c>
      <c r="O139" s="55">
        <v>0</v>
      </c>
      <c r="P139" s="55">
        <v>0</v>
      </c>
      <c r="Q139" s="56">
        <v>19</v>
      </c>
    </row>
    <row r="140" spans="2:17">
      <c r="B140" s="54">
        <v>40861</v>
      </c>
      <c r="C140" s="55">
        <v>13</v>
      </c>
      <c r="D140" s="55">
        <v>0</v>
      </c>
      <c r="E140" s="55">
        <v>0</v>
      </c>
      <c r="F140" s="55">
        <v>0</v>
      </c>
      <c r="G140" s="55">
        <v>0</v>
      </c>
      <c r="H140" s="55">
        <v>1</v>
      </c>
      <c r="I140" s="63">
        <v>0</v>
      </c>
      <c r="J140" s="55">
        <v>1</v>
      </c>
      <c r="K140" s="55">
        <v>0</v>
      </c>
      <c r="L140" s="55">
        <v>0</v>
      </c>
      <c r="M140" s="55">
        <v>0</v>
      </c>
      <c r="N140" s="55">
        <v>0</v>
      </c>
      <c r="O140" s="55">
        <v>0</v>
      </c>
      <c r="P140" s="55">
        <v>0</v>
      </c>
      <c r="Q140" s="56">
        <v>21</v>
      </c>
    </row>
    <row r="141" spans="2:17">
      <c r="B141" s="54">
        <v>40862</v>
      </c>
      <c r="C141" s="55">
        <v>11</v>
      </c>
      <c r="D141" s="55">
        <v>0</v>
      </c>
      <c r="E141" s="55">
        <v>0</v>
      </c>
      <c r="F141" s="55">
        <v>0</v>
      </c>
      <c r="G141" s="55">
        <v>0</v>
      </c>
      <c r="H141" s="55">
        <v>1</v>
      </c>
      <c r="I141" s="63">
        <v>0</v>
      </c>
      <c r="J141" s="55">
        <v>0</v>
      </c>
      <c r="K141" s="55">
        <v>1</v>
      </c>
      <c r="L141" s="55">
        <v>0</v>
      </c>
      <c r="M141" s="55">
        <v>0</v>
      </c>
      <c r="N141" s="55">
        <v>0</v>
      </c>
      <c r="O141" s="55">
        <v>0</v>
      </c>
      <c r="P141" s="55">
        <v>0</v>
      </c>
      <c r="Q141" s="56">
        <v>14</v>
      </c>
    </row>
    <row r="142" spans="2:17">
      <c r="B142" s="54">
        <v>40863</v>
      </c>
      <c r="C142" s="55">
        <v>19</v>
      </c>
      <c r="D142" s="55">
        <v>0</v>
      </c>
      <c r="E142" s="55">
        <v>0</v>
      </c>
      <c r="F142" s="55">
        <v>0</v>
      </c>
      <c r="G142" s="55">
        <v>0</v>
      </c>
      <c r="H142" s="55">
        <v>1</v>
      </c>
      <c r="I142" s="63">
        <v>0</v>
      </c>
      <c r="J142" s="55">
        <v>0</v>
      </c>
      <c r="K142" s="55">
        <v>0</v>
      </c>
      <c r="L142" s="55">
        <v>1</v>
      </c>
      <c r="M142" s="55">
        <v>0</v>
      </c>
      <c r="N142" s="55">
        <v>0</v>
      </c>
      <c r="O142" s="55">
        <v>0</v>
      </c>
      <c r="P142" s="55">
        <v>0</v>
      </c>
      <c r="Q142" s="56">
        <v>11</v>
      </c>
    </row>
    <row r="143" spans="2:17">
      <c r="B143" s="54">
        <v>40864</v>
      </c>
      <c r="C143" s="55">
        <v>11</v>
      </c>
      <c r="D143" s="55">
        <v>0</v>
      </c>
      <c r="E143" s="55">
        <v>0</v>
      </c>
      <c r="F143" s="55">
        <v>0</v>
      </c>
      <c r="G143" s="55">
        <v>0</v>
      </c>
      <c r="H143" s="55">
        <v>1</v>
      </c>
      <c r="I143" s="63">
        <v>0</v>
      </c>
      <c r="J143" s="55">
        <v>0</v>
      </c>
      <c r="K143" s="55">
        <v>0</v>
      </c>
      <c r="L143" s="55">
        <v>0</v>
      </c>
      <c r="M143" s="55">
        <v>1</v>
      </c>
      <c r="N143" s="55">
        <v>0</v>
      </c>
      <c r="O143" s="55">
        <v>0</v>
      </c>
      <c r="P143" s="55">
        <v>0</v>
      </c>
      <c r="Q143" s="56">
        <v>9</v>
      </c>
    </row>
    <row r="144" spans="2:17">
      <c r="B144" s="54">
        <v>40865</v>
      </c>
      <c r="C144" s="55">
        <v>11</v>
      </c>
      <c r="D144" s="55">
        <v>0</v>
      </c>
      <c r="E144" s="55">
        <v>0</v>
      </c>
      <c r="F144" s="55">
        <v>0</v>
      </c>
      <c r="G144" s="55">
        <v>0</v>
      </c>
      <c r="H144" s="55">
        <v>1</v>
      </c>
      <c r="I144" s="63">
        <v>0</v>
      </c>
      <c r="J144" s="55">
        <v>0</v>
      </c>
      <c r="K144" s="55">
        <v>0</v>
      </c>
      <c r="L144" s="55">
        <v>0</v>
      </c>
      <c r="M144" s="55">
        <v>0</v>
      </c>
      <c r="N144" s="55">
        <v>1</v>
      </c>
      <c r="O144" s="55">
        <v>0</v>
      </c>
      <c r="P144" s="55">
        <v>0</v>
      </c>
      <c r="Q144" s="56">
        <v>25</v>
      </c>
    </row>
    <row r="145" spans="2:17">
      <c r="B145" s="54">
        <v>40866</v>
      </c>
      <c r="C145" s="55">
        <v>15</v>
      </c>
      <c r="D145" s="55">
        <v>0</v>
      </c>
      <c r="E145" s="55">
        <v>0</v>
      </c>
      <c r="F145" s="55">
        <v>1</v>
      </c>
      <c r="G145" s="55">
        <v>1</v>
      </c>
      <c r="H145" s="55">
        <v>4</v>
      </c>
      <c r="I145" s="63">
        <v>0</v>
      </c>
      <c r="J145" s="55">
        <v>0</v>
      </c>
      <c r="K145" s="55">
        <v>0</v>
      </c>
      <c r="L145" s="55">
        <v>0</v>
      </c>
      <c r="M145" s="55">
        <v>0</v>
      </c>
      <c r="N145" s="55">
        <v>0</v>
      </c>
      <c r="O145" s="55">
        <v>1</v>
      </c>
      <c r="P145" s="55">
        <v>0</v>
      </c>
      <c r="Q145" s="56">
        <v>24</v>
      </c>
    </row>
    <row r="146" spans="2:17">
      <c r="B146" s="54">
        <v>40867</v>
      </c>
      <c r="C146" s="55">
        <v>29</v>
      </c>
      <c r="D146" s="55">
        <v>0</v>
      </c>
      <c r="E146" s="55">
        <v>0</v>
      </c>
      <c r="F146" s="55">
        <v>1</v>
      </c>
      <c r="G146" s="55">
        <v>0</v>
      </c>
      <c r="H146" s="55">
        <v>2</v>
      </c>
      <c r="I146" s="63">
        <v>0</v>
      </c>
      <c r="J146" s="55">
        <v>0</v>
      </c>
      <c r="K146" s="55">
        <v>0</v>
      </c>
      <c r="L146" s="55">
        <v>0</v>
      </c>
      <c r="M146" s="55">
        <v>0</v>
      </c>
      <c r="N146" s="55">
        <v>0</v>
      </c>
      <c r="O146" s="55">
        <v>0</v>
      </c>
      <c r="P146" s="55">
        <v>0</v>
      </c>
      <c r="Q146" s="56">
        <v>22</v>
      </c>
    </row>
    <row r="147" spans="2:17">
      <c r="B147" s="54">
        <v>40868</v>
      </c>
      <c r="C147" s="55">
        <v>18</v>
      </c>
      <c r="D147" s="55">
        <v>0</v>
      </c>
      <c r="E147" s="55">
        <v>0</v>
      </c>
      <c r="F147" s="55">
        <v>0</v>
      </c>
      <c r="G147" s="55">
        <v>0</v>
      </c>
      <c r="H147" s="55">
        <v>1</v>
      </c>
      <c r="I147" s="63">
        <v>0</v>
      </c>
      <c r="J147" s="55">
        <v>1</v>
      </c>
      <c r="K147" s="55">
        <v>0</v>
      </c>
      <c r="L147" s="55">
        <v>0</v>
      </c>
      <c r="M147" s="55">
        <v>0</v>
      </c>
      <c r="N147" s="55">
        <v>0</v>
      </c>
      <c r="O147" s="55">
        <v>0</v>
      </c>
      <c r="P147" s="55">
        <v>0</v>
      </c>
      <c r="Q147" s="56">
        <v>22</v>
      </c>
    </row>
    <row r="148" spans="2:17">
      <c r="B148" s="54">
        <v>40869</v>
      </c>
      <c r="C148" s="55">
        <v>14</v>
      </c>
      <c r="D148" s="55">
        <v>0</v>
      </c>
      <c r="E148" s="55">
        <v>0</v>
      </c>
      <c r="F148" s="55">
        <v>0</v>
      </c>
      <c r="G148" s="55">
        <v>0</v>
      </c>
      <c r="H148" s="55">
        <v>1</v>
      </c>
      <c r="I148" s="63">
        <v>0</v>
      </c>
      <c r="J148" s="55">
        <v>0</v>
      </c>
      <c r="K148" s="55">
        <v>1</v>
      </c>
      <c r="L148" s="55">
        <v>0</v>
      </c>
      <c r="M148" s="55">
        <v>0</v>
      </c>
      <c r="N148" s="55">
        <v>0</v>
      </c>
      <c r="O148" s="55">
        <v>0</v>
      </c>
      <c r="P148" s="55">
        <v>0</v>
      </c>
      <c r="Q148" s="56">
        <v>16</v>
      </c>
    </row>
    <row r="149" spans="2:17">
      <c r="B149" s="54">
        <v>40870</v>
      </c>
      <c r="C149" s="55">
        <v>12</v>
      </c>
      <c r="D149" s="55">
        <v>0</v>
      </c>
      <c r="E149" s="55">
        <v>0</v>
      </c>
      <c r="F149" s="55">
        <v>0</v>
      </c>
      <c r="G149" s="55">
        <v>0</v>
      </c>
      <c r="H149" s="55">
        <v>1</v>
      </c>
      <c r="I149" s="63">
        <v>1</v>
      </c>
      <c r="J149" s="55">
        <v>0</v>
      </c>
      <c r="K149" s="55">
        <v>0</v>
      </c>
      <c r="L149" s="55">
        <v>1</v>
      </c>
      <c r="M149" s="55">
        <v>0</v>
      </c>
      <c r="N149" s="55">
        <v>0</v>
      </c>
      <c r="O149" s="55">
        <v>0</v>
      </c>
      <c r="P149" s="55">
        <v>0</v>
      </c>
      <c r="Q149" s="56">
        <v>14</v>
      </c>
    </row>
    <row r="150" spans="2:17">
      <c r="B150" s="54">
        <v>40871</v>
      </c>
      <c r="C150" s="55">
        <v>21</v>
      </c>
      <c r="D150" s="55">
        <v>0</v>
      </c>
      <c r="E150" s="55">
        <v>0</v>
      </c>
      <c r="F150" s="55">
        <v>0</v>
      </c>
      <c r="G150" s="55">
        <v>0</v>
      </c>
      <c r="H150" s="55">
        <v>1</v>
      </c>
      <c r="I150" s="63">
        <v>0</v>
      </c>
      <c r="J150" s="55">
        <v>0</v>
      </c>
      <c r="K150" s="55">
        <v>0</v>
      </c>
      <c r="L150" s="55">
        <v>0</v>
      </c>
      <c r="M150" s="55">
        <v>1</v>
      </c>
      <c r="N150" s="55">
        <v>0</v>
      </c>
      <c r="O150" s="55">
        <v>0</v>
      </c>
      <c r="P150" s="55">
        <v>0</v>
      </c>
      <c r="Q150" s="56">
        <v>18</v>
      </c>
    </row>
    <row r="151" spans="2:17">
      <c r="B151" s="54">
        <v>40872</v>
      </c>
      <c r="C151" s="55">
        <v>30</v>
      </c>
      <c r="D151" s="55">
        <v>0</v>
      </c>
      <c r="E151" s="55">
        <v>0</v>
      </c>
      <c r="F151" s="55">
        <v>1</v>
      </c>
      <c r="G151" s="55">
        <v>1</v>
      </c>
      <c r="H151" s="55">
        <v>4</v>
      </c>
      <c r="I151" s="63">
        <v>0</v>
      </c>
      <c r="J151" s="55">
        <v>0</v>
      </c>
      <c r="K151" s="55">
        <v>0</v>
      </c>
      <c r="L151" s="55">
        <v>0</v>
      </c>
      <c r="M151" s="55">
        <v>0</v>
      </c>
      <c r="N151" s="55">
        <v>1</v>
      </c>
      <c r="O151" s="55">
        <v>0</v>
      </c>
      <c r="P151" s="55">
        <v>0</v>
      </c>
      <c r="Q151" s="56">
        <v>22</v>
      </c>
    </row>
    <row r="152" spans="2:17">
      <c r="B152" s="54">
        <v>40873</v>
      </c>
      <c r="C152" s="55">
        <v>31</v>
      </c>
      <c r="D152" s="55">
        <v>0</v>
      </c>
      <c r="E152" s="55">
        <v>0</v>
      </c>
      <c r="F152" s="55">
        <v>2</v>
      </c>
      <c r="G152" s="55">
        <v>1</v>
      </c>
      <c r="H152" s="55">
        <v>6</v>
      </c>
      <c r="I152" s="63">
        <v>0</v>
      </c>
      <c r="J152" s="55">
        <v>0</v>
      </c>
      <c r="K152" s="55">
        <v>0</v>
      </c>
      <c r="L152" s="55">
        <v>0</v>
      </c>
      <c r="M152" s="55">
        <v>0</v>
      </c>
      <c r="N152" s="55">
        <v>0</v>
      </c>
      <c r="O152" s="55">
        <v>1</v>
      </c>
      <c r="P152" s="55">
        <v>0</v>
      </c>
      <c r="Q152" s="56">
        <v>26</v>
      </c>
    </row>
    <row r="153" spans="2:17">
      <c r="B153" s="54">
        <v>40874</v>
      </c>
      <c r="C153" s="55">
        <v>32</v>
      </c>
      <c r="D153" s="55">
        <v>0</v>
      </c>
      <c r="E153" s="55">
        <v>0</v>
      </c>
      <c r="F153" s="55">
        <v>1</v>
      </c>
      <c r="G153" s="55">
        <v>1</v>
      </c>
      <c r="H153" s="55">
        <v>4</v>
      </c>
      <c r="I153" s="63">
        <v>0</v>
      </c>
      <c r="J153" s="55">
        <v>0</v>
      </c>
      <c r="K153" s="55">
        <v>0</v>
      </c>
      <c r="L153" s="55">
        <v>0</v>
      </c>
      <c r="M153" s="55">
        <v>0</v>
      </c>
      <c r="N153" s="55">
        <v>0</v>
      </c>
      <c r="O153" s="55">
        <v>0</v>
      </c>
      <c r="P153" s="55">
        <v>0</v>
      </c>
      <c r="Q153" s="56">
        <v>22</v>
      </c>
    </row>
    <row r="154" spans="2:17">
      <c r="B154" s="54">
        <v>40875</v>
      </c>
      <c r="C154" s="55">
        <v>27</v>
      </c>
      <c r="D154" s="55">
        <v>0</v>
      </c>
      <c r="E154" s="55">
        <v>0</v>
      </c>
      <c r="F154" s="55">
        <v>0</v>
      </c>
      <c r="G154" s="55">
        <v>0</v>
      </c>
      <c r="H154" s="55">
        <v>1</v>
      </c>
      <c r="I154" s="63">
        <v>0</v>
      </c>
      <c r="J154" s="55">
        <v>1</v>
      </c>
      <c r="K154" s="55">
        <v>0</v>
      </c>
      <c r="L154" s="55">
        <v>0</v>
      </c>
      <c r="M154" s="55">
        <v>0</v>
      </c>
      <c r="N154" s="55">
        <v>0</v>
      </c>
      <c r="O154" s="55">
        <v>0</v>
      </c>
      <c r="P154" s="55">
        <v>0</v>
      </c>
      <c r="Q154" s="56">
        <v>22</v>
      </c>
    </row>
    <row r="155" spans="2:17">
      <c r="B155" s="54">
        <v>40876</v>
      </c>
      <c r="C155" s="55">
        <v>20</v>
      </c>
      <c r="D155" s="55">
        <v>0</v>
      </c>
      <c r="E155" s="55">
        <v>0</v>
      </c>
      <c r="F155" s="55">
        <v>0</v>
      </c>
      <c r="G155" s="55">
        <v>0</v>
      </c>
      <c r="H155" s="55">
        <v>1</v>
      </c>
      <c r="I155" s="63">
        <v>0</v>
      </c>
      <c r="J155" s="55">
        <v>0</v>
      </c>
      <c r="K155" s="55">
        <v>1</v>
      </c>
      <c r="L155" s="55">
        <v>0</v>
      </c>
      <c r="M155" s="55">
        <v>0</v>
      </c>
      <c r="N155" s="55">
        <v>0</v>
      </c>
      <c r="O155" s="55">
        <v>0</v>
      </c>
      <c r="P155" s="55">
        <v>0</v>
      </c>
      <c r="Q155" s="56">
        <v>21</v>
      </c>
    </row>
    <row r="156" spans="2:17">
      <c r="B156" s="54">
        <v>40877</v>
      </c>
      <c r="C156" s="55">
        <v>20</v>
      </c>
      <c r="D156" s="55">
        <v>0</v>
      </c>
      <c r="E156" s="55">
        <v>0</v>
      </c>
      <c r="F156" s="55">
        <v>1</v>
      </c>
      <c r="G156" s="55">
        <v>1</v>
      </c>
      <c r="H156" s="55">
        <v>4</v>
      </c>
      <c r="I156" s="63">
        <v>0</v>
      </c>
      <c r="J156" s="55">
        <v>0</v>
      </c>
      <c r="K156" s="55">
        <v>0</v>
      </c>
      <c r="L156" s="55">
        <v>1</v>
      </c>
      <c r="M156" s="55">
        <v>0</v>
      </c>
      <c r="N156" s="55">
        <v>0</v>
      </c>
      <c r="O156" s="55">
        <v>0</v>
      </c>
      <c r="P156" s="55">
        <v>0</v>
      </c>
      <c r="Q156" s="56">
        <v>23</v>
      </c>
    </row>
    <row r="157" spans="2:17">
      <c r="B157" s="54">
        <v>40878</v>
      </c>
      <c r="C157" s="55">
        <v>15</v>
      </c>
      <c r="D157" s="55">
        <v>0</v>
      </c>
      <c r="E157" s="55">
        <v>0</v>
      </c>
      <c r="F157" s="55">
        <v>1</v>
      </c>
      <c r="G157" s="55">
        <v>1</v>
      </c>
      <c r="H157" s="55">
        <v>4</v>
      </c>
      <c r="I157" s="63">
        <v>0</v>
      </c>
      <c r="J157" s="55">
        <v>0</v>
      </c>
      <c r="K157" s="55">
        <v>0</v>
      </c>
      <c r="L157" s="55">
        <v>0</v>
      </c>
      <c r="M157" s="55">
        <v>1</v>
      </c>
      <c r="N157" s="55">
        <v>0</v>
      </c>
      <c r="O157" s="55">
        <v>0</v>
      </c>
      <c r="P157" s="55">
        <v>0</v>
      </c>
      <c r="Q157" s="56">
        <v>14</v>
      </c>
    </row>
    <row r="158" spans="2:17">
      <c r="B158" s="54">
        <v>40879</v>
      </c>
      <c r="C158" s="55">
        <v>17</v>
      </c>
      <c r="D158" s="55">
        <v>0</v>
      </c>
      <c r="E158" s="55">
        <v>0</v>
      </c>
      <c r="F158" s="55">
        <v>1</v>
      </c>
      <c r="G158" s="55">
        <v>1</v>
      </c>
      <c r="H158" s="55">
        <v>4</v>
      </c>
      <c r="I158" s="63">
        <v>0</v>
      </c>
      <c r="J158" s="55">
        <v>0</v>
      </c>
      <c r="K158" s="55">
        <v>0</v>
      </c>
      <c r="L158" s="55">
        <v>0</v>
      </c>
      <c r="M158" s="55">
        <v>0</v>
      </c>
      <c r="N158" s="55">
        <v>1</v>
      </c>
      <c r="O158" s="55">
        <v>0</v>
      </c>
      <c r="P158" s="55">
        <v>0</v>
      </c>
      <c r="Q158" s="56">
        <v>18</v>
      </c>
    </row>
    <row r="159" spans="2:17">
      <c r="B159" s="54">
        <v>40880</v>
      </c>
      <c r="C159" s="55">
        <v>32</v>
      </c>
      <c r="D159" s="55">
        <v>0</v>
      </c>
      <c r="E159" s="55">
        <v>0</v>
      </c>
      <c r="F159" s="55">
        <v>2</v>
      </c>
      <c r="G159" s="55">
        <v>1</v>
      </c>
      <c r="H159" s="55">
        <v>6</v>
      </c>
      <c r="I159" s="63">
        <v>0</v>
      </c>
      <c r="J159" s="55">
        <v>0</v>
      </c>
      <c r="K159" s="55">
        <v>0</v>
      </c>
      <c r="L159" s="55">
        <v>0</v>
      </c>
      <c r="M159" s="55">
        <v>0</v>
      </c>
      <c r="N159" s="55">
        <v>0</v>
      </c>
      <c r="O159" s="55">
        <v>1</v>
      </c>
      <c r="P159" s="55">
        <v>0</v>
      </c>
      <c r="Q159" s="56">
        <v>27</v>
      </c>
    </row>
    <row r="160" spans="2:17">
      <c r="B160" s="54">
        <v>40881</v>
      </c>
      <c r="C160" s="55">
        <v>17</v>
      </c>
      <c r="D160" s="55">
        <v>0</v>
      </c>
      <c r="E160" s="55">
        <v>0</v>
      </c>
      <c r="F160" s="55">
        <v>1</v>
      </c>
      <c r="G160" s="55">
        <v>1</v>
      </c>
      <c r="H160" s="55">
        <v>4</v>
      </c>
      <c r="I160" s="63">
        <v>0</v>
      </c>
      <c r="J160" s="55">
        <v>0</v>
      </c>
      <c r="K160" s="55">
        <v>0</v>
      </c>
      <c r="L160" s="55">
        <v>0</v>
      </c>
      <c r="M160" s="55">
        <v>0</v>
      </c>
      <c r="N160" s="55">
        <v>0</v>
      </c>
      <c r="O160" s="55">
        <v>0</v>
      </c>
      <c r="P160" s="55">
        <v>0</v>
      </c>
      <c r="Q160" s="56">
        <v>16</v>
      </c>
    </row>
    <row r="161" spans="2:17">
      <c r="B161" s="54">
        <v>40882</v>
      </c>
      <c r="C161" s="55">
        <v>11</v>
      </c>
      <c r="D161" s="55">
        <v>0</v>
      </c>
      <c r="E161" s="55">
        <v>0</v>
      </c>
      <c r="F161" s="55">
        <v>0</v>
      </c>
      <c r="G161" s="55">
        <v>0</v>
      </c>
      <c r="H161" s="55">
        <v>1</v>
      </c>
      <c r="I161" s="63">
        <v>0</v>
      </c>
      <c r="J161" s="55">
        <v>1</v>
      </c>
      <c r="K161" s="55">
        <v>0</v>
      </c>
      <c r="L161" s="55">
        <v>0</v>
      </c>
      <c r="M161" s="55">
        <v>0</v>
      </c>
      <c r="N161" s="55">
        <v>0</v>
      </c>
      <c r="O161" s="55">
        <v>0</v>
      </c>
      <c r="P161" s="55">
        <v>0</v>
      </c>
      <c r="Q161" s="56">
        <v>17</v>
      </c>
    </row>
    <row r="162" spans="2:17">
      <c r="B162" s="54">
        <v>40883</v>
      </c>
      <c r="C162" s="55">
        <v>12</v>
      </c>
      <c r="D162" s="55">
        <v>0</v>
      </c>
      <c r="E162" s="55">
        <v>0</v>
      </c>
      <c r="F162" s="55">
        <v>0</v>
      </c>
      <c r="G162" s="55">
        <v>0</v>
      </c>
      <c r="H162" s="55">
        <v>1</v>
      </c>
      <c r="I162" s="63">
        <v>0</v>
      </c>
      <c r="J162" s="55">
        <v>0</v>
      </c>
      <c r="K162" s="55">
        <v>1</v>
      </c>
      <c r="L162" s="55">
        <v>0</v>
      </c>
      <c r="M162" s="55">
        <v>0</v>
      </c>
      <c r="N162" s="55">
        <v>0</v>
      </c>
      <c r="O162" s="55">
        <v>0</v>
      </c>
      <c r="P162" s="55">
        <v>0</v>
      </c>
      <c r="Q162" s="56">
        <v>12</v>
      </c>
    </row>
    <row r="163" spans="2:17">
      <c r="B163" s="54">
        <v>40884</v>
      </c>
      <c r="C163" s="55">
        <v>13</v>
      </c>
      <c r="D163" s="55">
        <v>0</v>
      </c>
      <c r="E163" s="55">
        <v>0</v>
      </c>
      <c r="F163" s="55">
        <v>0</v>
      </c>
      <c r="G163" s="55">
        <v>0</v>
      </c>
      <c r="H163" s="55">
        <v>1</v>
      </c>
      <c r="I163" s="63">
        <v>0</v>
      </c>
      <c r="J163" s="55">
        <v>0</v>
      </c>
      <c r="K163" s="55">
        <v>0</v>
      </c>
      <c r="L163" s="55">
        <v>1</v>
      </c>
      <c r="M163" s="55">
        <v>0</v>
      </c>
      <c r="N163" s="55">
        <v>0</v>
      </c>
      <c r="O163" s="55">
        <v>0</v>
      </c>
      <c r="P163" s="55">
        <v>0</v>
      </c>
      <c r="Q163" s="56">
        <v>13</v>
      </c>
    </row>
    <row r="164" spans="2:17">
      <c r="B164" s="54">
        <v>40885</v>
      </c>
      <c r="C164" s="55">
        <v>8</v>
      </c>
      <c r="D164" s="55">
        <v>0</v>
      </c>
      <c r="E164" s="55">
        <v>0</v>
      </c>
      <c r="F164" s="55">
        <v>0</v>
      </c>
      <c r="G164" s="55">
        <v>0</v>
      </c>
      <c r="H164" s="55">
        <v>1</v>
      </c>
      <c r="I164" s="63">
        <v>0</v>
      </c>
      <c r="J164" s="55">
        <v>0</v>
      </c>
      <c r="K164" s="55">
        <v>0</v>
      </c>
      <c r="L164" s="55">
        <v>0</v>
      </c>
      <c r="M164" s="55">
        <v>1</v>
      </c>
      <c r="N164" s="55">
        <v>0</v>
      </c>
      <c r="O164" s="55">
        <v>0</v>
      </c>
      <c r="P164" s="55">
        <v>0</v>
      </c>
      <c r="Q164" s="56">
        <v>12</v>
      </c>
    </row>
    <row r="165" spans="2:17">
      <c r="B165" s="54">
        <v>40886</v>
      </c>
      <c r="C165" s="55">
        <v>14</v>
      </c>
      <c r="D165" s="55">
        <v>0</v>
      </c>
      <c r="E165" s="55">
        <v>0</v>
      </c>
      <c r="F165" s="55">
        <v>0</v>
      </c>
      <c r="G165" s="55">
        <v>0</v>
      </c>
      <c r="H165" s="55">
        <v>1</v>
      </c>
      <c r="I165" s="63">
        <v>0</v>
      </c>
      <c r="J165" s="55">
        <v>0</v>
      </c>
      <c r="K165" s="55">
        <v>0</v>
      </c>
      <c r="L165" s="55">
        <v>0</v>
      </c>
      <c r="M165" s="55">
        <v>0</v>
      </c>
      <c r="N165" s="55">
        <v>1</v>
      </c>
      <c r="O165" s="55">
        <v>0</v>
      </c>
      <c r="P165" s="55">
        <v>0</v>
      </c>
      <c r="Q165" s="56">
        <v>19</v>
      </c>
    </row>
    <row r="166" spans="2:17">
      <c r="B166" s="54">
        <v>40887</v>
      </c>
      <c r="C166" s="55">
        <v>31</v>
      </c>
      <c r="D166" s="55">
        <v>0</v>
      </c>
      <c r="E166" s="55">
        <v>0</v>
      </c>
      <c r="F166" s="55">
        <v>1</v>
      </c>
      <c r="G166" s="55">
        <v>1</v>
      </c>
      <c r="H166" s="55">
        <v>4</v>
      </c>
      <c r="I166" s="63">
        <v>0</v>
      </c>
      <c r="J166" s="55">
        <v>0</v>
      </c>
      <c r="K166" s="55">
        <v>0</v>
      </c>
      <c r="L166" s="55">
        <v>0</v>
      </c>
      <c r="M166" s="55">
        <v>0</v>
      </c>
      <c r="N166" s="55">
        <v>0</v>
      </c>
      <c r="O166" s="55">
        <v>1</v>
      </c>
      <c r="P166" s="55">
        <v>0</v>
      </c>
      <c r="Q166" s="56">
        <v>14</v>
      </c>
    </row>
    <row r="167" spans="2:17">
      <c r="B167" s="54">
        <v>40888</v>
      </c>
      <c r="C167" s="55">
        <v>22</v>
      </c>
      <c r="D167" s="55">
        <v>0</v>
      </c>
      <c r="E167" s="55">
        <v>0</v>
      </c>
      <c r="F167" s="55">
        <v>1</v>
      </c>
      <c r="G167" s="55">
        <v>1</v>
      </c>
      <c r="H167" s="55">
        <v>4</v>
      </c>
      <c r="I167" s="63">
        <v>0</v>
      </c>
      <c r="J167" s="55">
        <v>0</v>
      </c>
      <c r="K167" s="55">
        <v>0</v>
      </c>
      <c r="L167" s="55">
        <v>0</v>
      </c>
      <c r="M167" s="55">
        <v>0</v>
      </c>
      <c r="N167" s="55">
        <v>0</v>
      </c>
      <c r="O167" s="55">
        <v>0</v>
      </c>
      <c r="P167" s="55">
        <v>0</v>
      </c>
      <c r="Q167" s="56">
        <v>23</v>
      </c>
    </row>
    <row r="168" spans="2:17">
      <c r="B168" s="54">
        <v>40889</v>
      </c>
      <c r="C168" s="55">
        <v>19</v>
      </c>
      <c r="D168" s="55">
        <v>0</v>
      </c>
      <c r="E168" s="55">
        <v>0</v>
      </c>
      <c r="F168" s="55">
        <v>0</v>
      </c>
      <c r="G168" s="55">
        <v>0</v>
      </c>
      <c r="H168" s="55">
        <v>1</v>
      </c>
      <c r="I168" s="63">
        <v>0</v>
      </c>
      <c r="J168" s="55">
        <v>1</v>
      </c>
      <c r="K168" s="55">
        <v>0</v>
      </c>
      <c r="L168" s="55">
        <v>0</v>
      </c>
      <c r="M168" s="55">
        <v>0</v>
      </c>
      <c r="N168" s="55">
        <v>0</v>
      </c>
      <c r="O168" s="55">
        <v>0</v>
      </c>
      <c r="P168" s="55">
        <v>0</v>
      </c>
      <c r="Q168" s="56">
        <v>16</v>
      </c>
    </row>
    <row r="169" spans="2:17">
      <c r="B169" s="54">
        <v>40890</v>
      </c>
      <c r="C169" s="55">
        <v>14</v>
      </c>
      <c r="D169" s="55">
        <v>0</v>
      </c>
      <c r="E169" s="55">
        <v>0</v>
      </c>
      <c r="F169" s="55">
        <v>0</v>
      </c>
      <c r="G169" s="55">
        <v>0</v>
      </c>
      <c r="H169" s="55">
        <v>1</v>
      </c>
      <c r="I169" s="63">
        <v>0</v>
      </c>
      <c r="J169" s="55">
        <v>0</v>
      </c>
      <c r="K169" s="55">
        <v>1</v>
      </c>
      <c r="L169" s="55">
        <v>0</v>
      </c>
      <c r="M169" s="55">
        <v>0</v>
      </c>
      <c r="N169" s="55">
        <v>0</v>
      </c>
      <c r="O169" s="55">
        <v>0</v>
      </c>
      <c r="P169" s="55">
        <v>0</v>
      </c>
      <c r="Q169" s="56">
        <v>13</v>
      </c>
    </row>
    <row r="170" spans="2:17">
      <c r="B170" s="54">
        <v>40891</v>
      </c>
      <c r="C170" s="55">
        <v>15</v>
      </c>
      <c r="D170" s="55">
        <v>0</v>
      </c>
      <c r="E170" s="55">
        <v>0</v>
      </c>
      <c r="F170" s="55">
        <v>0</v>
      </c>
      <c r="G170" s="55">
        <v>0</v>
      </c>
      <c r="H170" s="55">
        <v>1</v>
      </c>
      <c r="I170" s="63">
        <v>0</v>
      </c>
      <c r="J170" s="55">
        <v>0</v>
      </c>
      <c r="K170" s="55">
        <v>0</v>
      </c>
      <c r="L170" s="55">
        <v>1</v>
      </c>
      <c r="M170" s="55">
        <v>0</v>
      </c>
      <c r="N170" s="55">
        <v>0</v>
      </c>
      <c r="O170" s="55">
        <v>0</v>
      </c>
      <c r="P170" s="55">
        <v>0</v>
      </c>
      <c r="Q170" s="56">
        <v>21</v>
      </c>
    </row>
    <row r="171" spans="2:17">
      <c r="B171" s="54">
        <v>40892</v>
      </c>
      <c r="C171" s="55">
        <v>17</v>
      </c>
      <c r="D171" s="55">
        <v>0</v>
      </c>
      <c r="E171" s="55">
        <v>0</v>
      </c>
      <c r="F171" s="55">
        <v>0</v>
      </c>
      <c r="G171" s="55">
        <v>0</v>
      </c>
      <c r="H171" s="55">
        <v>1</v>
      </c>
      <c r="I171" s="63">
        <v>0</v>
      </c>
      <c r="J171" s="55">
        <v>0</v>
      </c>
      <c r="K171" s="55">
        <v>0</v>
      </c>
      <c r="L171" s="55">
        <v>0</v>
      </c>
      <c r="M171" s="55">
        <v>1</v>
      </c>
      <c r="N171" s="55">
        <v>0</v>
      </c>
      <c r="O171" s="55">
        <v>0</v>
      </c>
      <c r="P171" s="55">
        <v>0</v>
      </c>
      <c r="Q171" s="56">
        <v>17</v>
      </c>
    </row>
    <row r="172" spans="2:17">
      <c r="B172" s="54">
        <v>40893</v>
      </c>
      <c r="C172" s="55">
        <v>25</v>
      </c>
      <c r="D172" s="55">
        <v>0</v>
      </c>
      <c r="E172" s="55">
        <v>0</v>
      </c>
      <c r="F172" s="55">
        <v>0</v>
      </c>
      <c r="G172" s="55">
        <v>0</v>
      </c>
      <c r="H172" s="55">
        <v>1</v>
      </c>
      <c r="I172" s="63">
        <v>0</v>
      </c>
      <c r="J172" s="55">
        <v>0</v>
      </c>
      <c r="K172" s="55">
        <v>0</v>
      </c>
      <c r="L172" s="55">
        <v>0</v>
      </c>
      <c r="M172" s="55">
        <v>0</v>
      </c>
      <c r="N172" s="55">
        <v>1</v>
      </c>
      <c r="O172" s="55">
        <v>0</v>
      </c>
      <c r="P172" s="55">
        <v>0</v>
      </c>
      <c r="Q172" s="56">
        <v>21</v>
      </c>
    </row>
    <row r="173" spans="2:17">
      <c r="B173" s="54">
        <v>40894</v>
      </c>
      <c r="C173" s="55">
        <v>35</v>
      </c>
      <c r="D173" s="55">
        <v>0</v>
      </c>
      <c r="E173" s="55">
        <v>0</v>
      </c>
      <c r="F173" s="55">
        <v>1</v>
      </c>
      <c r="G173" s="55">
        <v>1</v>
      </c>
      <c r="H173" s="55">
        <v>4</v>
      </c>
      <c r="I173" s="63">
        <v>0</v>
      </c>
      <c r="J173" s="55">
        <v>0</v>
      </c>
      <c r="K173" s="55">
        <v>0</v>
      </c>
      <c r="L173" s="55">
        <v>0</v>
      </c>
      <c r="M173" s="55">
        <v>0</v>
      </c>
      <c r="N173" s="55">
        <v>0</v>
      </c>
      <c r="O173" s="55">
        <v>1</v>
      </c>
      <c r="P173" s="55">
        <v>0</v>
      </c>
      <c r="Q173" s="56">
        <v>23</v>
      </c>
    </row>
    <row r="174" spans="2:17">
      <c r="B174" s="54">
        <v>40895</v>
      </c>
      <c r="C174" s="55">
        <v>30</v>
      </c>
      <c r="D174" s="55">
        <v>0</v>
      </c>
      <c r="E174" s="55">
        <v>0</v>
      </c>
      <c r="F174" s="55">
        <v>1</v>
      </c>
      <c r="G174" s="55">
        <v>1</v>
      </c>
      <c r="H174" s="55">
        <v>4</v>
      </c>
      <c r="I174" s="63">
        <v>0</v>
      </c>
      <c r="J174" s="55">
        <v>0</v>
      </c>
      <c r="K174" s="55">
        <v>0</v>
      </c>
      <c r="L174" s="55">
        <v>0</v>
      </c>
      <c r="M174" s="55">
        <v>0</v>
      </c>
      <c r="N174" s="55">
        <v>0</v>
      </c>
      <c r="O174" s="55">
        <v>0</v>
      </c>
      <c r="P174" s="55">
        <v>0</v>
      </c>
      <c r="Q174" s="56">
        <v>27</v>
      </c>
    </row>
    <row r="175" spans="2:17">
      <c r="B175" s="54">
        <v>40896</v>
      </c>
      <c r="C175" s="55">
        <v>30</v>
      </c>
      <c r="D175" s="55">
        <v>0</v>
      </c>
      <c r="E175" s="55">
        <v>0</v>
      </c>
      <c r="F175" s="55">
        <v>1</v>
      </c>
      <c r="G175" s="55">
        <v>0</v>
      </c>
      <c r="H175" s="55">
        <v>2</v>
      </c>
      <c r="I175" s="63">
        <v>0</v>
      </c>
      <c r="J175" s="55">
        <v>1</v>
      </c>
      <c r="K175" s="55">
        <v>0</v>
      </c>
      <c r="L175" s="55">
        <v>0</v>
      </c>
      <c r="M175" s="55">
        <v>0</v>
      </c>
      <c r="N175" s="55">
        <v>0</v>
      </c>
      <c r="O175" s="55">
        <v>0</v>
      </c>
      <c r="P175" s="55">
        <v>0</v>
      </c>
      <c r="Q175" s="56">
        <v>23</v>
      </c>
    </row>
    <row r="176" spans="2:17">
      <c r="B176" s="54">
        <v>40897</v>
      </c>
      <c r="C176" s="55">
        <v>30</v>
      </c>
      <c r="D176" s="55">
        <v>0</v>
      </c>
      <c r="E176" s="55">
        <v>0</v>
      </c>
      <c r="F176" s="55">
        <v>0</v>
      </c>
      <c r="G176" s="55">
        <v>0</v>
      </c>
      <c r="H176" s="55">
        <v>1</v>
      </c>
      <c r="I176" s="63">
        <v>0</v>
      </c>
      <c r="J176" s="55">
        <v>0</v>
      </c>
      <c r="K176" s="55">
        <v>1</v>
      </c>
      <c r="L176" s="55">
        <v>0</v>
      </c>
      <c r="M176" s="55">
        <v>0</v>
      </c>
      <c r="N176" s="55">
        <v>0</v>
      </c>
      <c r="O176" s="55">
        <v>0</v>
      </c>
      <c r="P176" s="55">
        <v>0</v>
      </c>
      <c r="Q176" s="56">
        <v>22</v>
      </c>
    </row>
    <row r="177" spans="2:17">
      <c r="B177" s="54">
        <v>40898</v>
      </c>
      <c r="C177" s="55">
        <v>28</v>
      </c>
      <c r="D177" s="55">
        <v>0</v>
      </c>
      <c r="E177" s="55">
        <v>0</v>
      </c>
      <c r="F177" s="55">
        <v>0</v>
      </c>
      <c r="G177" s="55">
        <v>0</v>
      </c>
      <c r="H177" s="55">
        <v>1</v>
      </c>
      <c r="I177" s="63">
        <v>0</v>
      </c>
      <c r="J177" s="55">
        <v>0</v>
      </c>
      <c r="K177" s="55">
        <v>0</v>
      </c>
      <c r="L177" s="55">
        <v>1</v>
      </c>
      <c r="M177" s="55">
        <v>0</v>
      </c>
      <c r="N177" s="55">
        <v>0</v>
      </c>
      <c r="O177" s="55">
        <v>0</v>
      </c>
      <c r="P177" s="55">
        <v>0</v>
      </c>
      <c r="Q177" s="56">
        <v>21</v>
      </c>
    </row>
    <row r="178" spans="2:17">
      <c r="B178" s="54">
        <v>40899</v>
      </c>
      <c r="C178" s="55">
        <v>32</v>
      </c>
      <c r="D178" s="55">
        <v>0</v>
      </c>
      <c r="E178" s="55">
        <v>0</v>
      </c>
      <c r="F178" s="55">
        <v>1</v>
      </c>
      <c r="G178" s="55">
        <v>1</v>
      </c>
      <c r="H178" s="55">
        <v>4</v>
      </c>
      <c r="I178" s="63">
        <v>0</v>
      </c>
      <c r="J178" s="55">
        <v>0</v>
      </c>
      <c r="K178" s="55">
        <v>0</v>
      </c>
      <c r="L178" s="55">
        <v>0</v>
      </c>
      <c r="M178" s="55">
        <v>1</v>
      </c>
      <c r="N178" s="55">
        <v>0</v>
      </c>
      <c r="O178" s="55">
        <v>0</v>
      </c>
      <c r="P178" s="55">
        <v>0</v>
      </c>
      <c r="Q178" s="56">
        <v>18</v>
      </c>
    </row>
    <row r="179" spans="2:17">
      <c r="B179" s="54">
        <v>40900</v>
      </c>
      <c r="C179" s="55">
        <v>36</v>
      </c>
      <c r="D179" s="55">
        <v>0</v>
      </c>
      <c r="E179" s="55">
        <v>0</v>
      </c>
      <c r="F179" s="55">
        <v>2</v>
      </c>
      <c r="G179" s="55">
        <v>1</v>
      </c>
      <c r="H179" s="55">
        <v>6</v>
      </c>
      <c r="I179" s="63">
        <v>1</v>
      </c>
      <c r="J179" s="55">
        <v>0</v>
      </c>
      <c r="K179" s="55">
        <v>0</v>
      </c>
      <c r="L179" s="55">
        <v>0</v>
      </c>
      <c r="M179" s="55">
        <v>0</v>
      </c>
      <c r="N179" s="55">
        <v>1</v>
      </c>
      <c r="O179" s="55">
        <v>0</v>
      </c>
      <c r="P179" s="55">
        <v>0</v>
      </c>
      <c r="Q179" s="56">
        <v>29</v>
      </c>
    </row>
    <row r="180" spans="2:17">
      <c r="B180" s="54">
        <v>40901</v>
      </c>
      <c r="C180" s="55">
        <v>30</v>
      </c>
      <c r="D180" s="55">
        <v>0</v>
      </c>
      <c r="E180" s="55">
        <v>0</v>
      </c>
      <c r="F180" s="55">
        <v>2</v>
      </c>
      <c r="G180" s="55">
        <v>2</v>
      </c>
      <c r="H180" s="55">
        <v>9</v>
      </c>
      <c r="I180" s="63">
        <v>0</v>
      </c>
      <c r="J180" s="55">
        <v>0</v>
      </c>
      <c r="K180" s="55">
        <v>0</v>
      </c>
      <c r="L180" s="55">
        <v>0</v>
      </c>
      <c r="M180" s="55">
        <v>0</v>
      </c>
      <c r="N180" s="55">
        <v>0</v>
      </c>
      <c r="O180" s="55">
        <v>1</v>
      </c>
      <c r="P180" s="55">
        <v>0</v>
      </c>
      <c r="Q180" s="56">
        <v>28</v>
      </c>
    </row>
    <row r="181" spans="2:17">
      <c r="B181" s="54">
        <v>40902</v>
      </c>
      <c r="C181" s="55">
        <v>22</v>
      </c>
      <c r="D181" s="55">
        <v>0</v>
      </c>
      <c r="E181" s="55">
        <v>0</v>
      </c>
      <c r="F181" s="55">
        <v>1</v>
      </c>
      <c r="G181" s="55">
        <v>1</v>
      </c>
      <c r="H181" s="55">
        <v>4</v>
      </c>
      <c r="I181" s="63">
        <v>0</v>
      </c>
      <c r="J181" s="55">
        <v>0</v>
      </c>
      <c r="K181" s="55">
        <v>0</v>
      </c>
      <c r="L181" s="55">
        <v>0</v>
      </c>
      <c r="M181" s="55">
        <v>0</v>
      </c>
      <c r="N181" s="55">
        <v>0</v>
      </c>
      <c r="O181" s="55">
        <v>0</v>
      </c>
      <c r="P181" s="55">
        <v>0</v>
      </c>
      <c r="Q181" s="56">
        <v>26</v>
      </c>
    </row>
    <row r="182" spans="2:17">
      <c r="B182" s="54">
        <v>40903</v>
      </c>
      <c r="C182" s="55">
        <v>31</v>
      </c>
      <c r="D182" s="55">
        <v>0</v>
      </c>
      <c r="E182" s="55">
        <v>0</v>
      </c>
      <c r="F182" s="55">
        <v>1</v>
      </c>
      <c r="G182" s="55">
        <v>0</v>
      </c>
      <c r="H182" s="55">
        <v>2</v>
      </c>
      <c r="I182" s="63">
        <v>0</v>
      </c>
      <c r="J182" s="55">
        <v>1</v>
      </c>
      <c r="K182" s="55">
        <v>0</v>
      </c>
      <c r="L182" s="55">
        <v>0</v>
      </c>
      <c r="M182" s="55">
        <v>0</v>
      </c>
      <c r="N182" s="55">
        <v>0</v>
      </c>
      <c r="O182" s="55">
        <v>0</v>
      </c>
      <c r="P182" s="55">
        <v>0</v>
      </c>
      <c r="Q182" s="56">
        <v>26</v>
      </c>
    </row>
    <row r="183" spans="2:17">
      <c r="B183" s="54">
        <v>40904</v>
      </c>
      <c r="C183" s="55">
        <v>30</v>
      </c>
      <c r="D183" s="55">
        <v>0</v>
      </c>
      <c r="E183" s="55">
        <v>0</v>
      </c>
      <c r="F183" s="55">
        <v>1</v>
      </c>
      <c r="G183" s="55">
        <v>0</v>
      </c>
      <c r="H183" s="55">
        <v>2</v>
      </c>
      <c r="I183" s="63">
        <v>0</v>
      </c>
      <c r="J183" s="55">
        <v>0</v>
      </c>
      <c r="K183" s="55">
        <v>1</v>
      </c>
      <c r="L183" s="55">
        <v>0</v>
      </c>
      <c r="M183" s="55">
        <v>0</v>
      </c>
      <c r="N183" s="55">
        <v>0</v>
      </c>
      <c r="O183" s="55">
        <v>0</v>
      </c>
      <c r="P183" s="55">
        <v>0</v>
      </c>
      <c r="Q183" s="56">
        <v>18</v>
      </c>
    </row>
    <row r="184" spans="2:17">
      <c r="B184" s="54">
        <v>40905</v>
      </c>
      <c r="C184" s="55">
        <v>23</v>
      </c>
      <c r="D184" s="55">
        <v>0</v>
      </c>
      <c r="E184" s="55">
        <v>0</v>
      </c>
      <c r="F184" s="55">
        <v>1</v>
      </c>
      <c r="G184" s="55">
        <v>0</v>
      </c>
      <c r="H184" s="55">
        <v>2</v>
      </c>
      <c r="I184" s="63">
        <v>0</v>
      </c>
      <c r="J184" s="55">
        <v>0</v>
      </c>
      <c r="K184" s="55">
        <v>0</v>
      </c>
      <c r="L184" s="55">
        <v>1</v>
      </c>
      <c r="M184" s="55">
        <v>0</v>
      </c>
      <c r="N184" s="55">
        <v>0</v>
      </c>
      <c r="O184" s="55">
        <v>0</v>
      </c>
      <c r="P184" s="55">
        <v>0</v>
      </c>
      <c r="Q184" s="56">
        <v>23</v>
      </c>
    </row>
    <row r="185" spans="2:17">
      <c r="B185" s="54">
        <v>40906</v>
      </c>
      <c r="C185" s="55">
        <v>26</v>
      </c>
      <c r="D185" s="55">
        <v>0</v>
      </c>
      <c r="E185" s="55">
        <v>0</v>
      </c>
      <c r="F185" s="55">
        <v>1</v>
      </c>
      <c r="G185" s="55">
        <v>0</v>
      </c>
      <c r="H185" s="55">
        <v>2</v>
      </c>
      <c r="I185" s="63">
        <v>0</v>
      </c>
      <c r="J185" s="55">
        <v>0</v>
      </c>
      <c r="K185" s="55">
        <v>0</v>
      </c>
      <c r="L185" s="55">
        <v>0</v>
      </c>
      <c r="M185" s="55">
        <v>1</v>
      </c>
      <c r="N185" s="55">
        <v>0</v>
      </c>
      <c r="O185" s="55">
        <v>0</v>
      </c>
      <c r="P185" s="55">
        <v>0</v>
      </c>
      <c r="Q185" s="56">
        <v>15</v>
      </c>
    </row>
    <row r="186" spans="2:17">
      <c r="B186" s="54">
        <v>40907</v>
      </c>
      <c r="C186" s="55">
        <v>15</v>
      </c>
      <c r="D186" s="55">
        <v>0</v>
      </c>
      <c r="E186" s="55">
        <v>0</v>
      </c>
      <c r="F186" s="55">
        <v>1</v>
      </c>
      <c r="G186" s="55">
        <v>3</v>
      </c>
      <c r="H186" s="55">
        <v>8</v>
      </c>
      <c r="I186" s="63">
        <v>0</v>
      </c>
      <c r="J186" s="55">
        <v>0</v>
      </c>
      <c r="K186" s="55">
        <v>0</v>
      </c>
      <c r="L186" s="55">
        <v>0</v>
      </c>
      <c r="M186" s="55">
        <v>0</v>
      </c>
      <c r="N186" s="55">
        <v>1</v>
      </c>
      <c r="O186" s="55">
        <v>0</v>
      </c>
      <c r="P186" s="55">
        <v>0</v>
      </c>
      <c r="Q186" s="56">
        <v>0</v>
      </c>
    </row>
    <row r="187" spans="2:17">
      <c r="B187" s="54">
        <v>40908</v>
      </c>
      <c r="C187" s="55">
        <v>0</v>
      </c>
      <c r="D187" s="55">
        <v>0</v>
      </c>
      <c r="E187" s="55">
        <v>1</v>
      </c>
      <c r="F187" s="55">
        <v>-1</v>
      </c>
      <c r="G187" s="55">
        <v>-1</v>
      </c>
      <c r="H187" s="55">
        <v>0</v>
      </c>
      <c r="I187" s="63">
        <v>0</v>
      </c>
      <c r="J187" s="55">
        <v>0</v>
      </c>
      <c r="K187" s="55">
        <v>0</v>
      </c>
      <c r="L187" s="55">
        <v>0</v>
      </c>
      <c r="M187" s="55">
        <v>0</v>
      </c>
      <c r="N187" s="55">
        <v>0</v>
      </c>
      <c r="O187" s="55">
        <v>1</v>
      </c>
      <c r="P187" s="55">
        <v>0</v>
      </c>
      <c r="Q187" s="56">
        <v>0</v>
      </c>
    </row>
    <row r="188" spans="2:17">
      <c r="B188" s="54">
        <v>40909</v>
      </c>
      <c r="C188" s="55">
        <v>0</v>
      </c>
      <c r="D188" s="55">
        <v>0</v>
      </c>
      <c r="E188" s="55">
        <v>1</v>
      </c>
      <c r="F188" s="55">
        <v>-1</v>
      </c>
      <c r="G188" s="55">
        <v>-1</v>
      </c>
      <c r="H188" s="55">
        <v>0</v>
      </c>
      <c r="I188" s="63">
        <v>0</v>
      </c>
      <c r="J188" s="55">
        <v>0</v>
      </c>
      <c r="K188" s="55">
        <v>0</v>
      </c>
      <c r="L188" s="55">
        <v>0</v>
      </c>
      <c r="M188" s="55">
        <v>0</v>
      </c>
      <c r="N188" s="55">
        <v>0</v>
      </c>
      <c r="O188" s="55">
        <v>0</v>
      </c>
      <c r="P188" s="55">
        <v>0</v>
      </c>
      <c r="Q188" s="56">
        <v>0</v>
      </c>
    </row>
    <row r="189" spans="2:17">
      <c r="B189" s="54">
        <v>40910</v>
      </c>
      <c r="C189" s="55">
        <v>0</v>
      </c>
      <c r="D189" s="55">
        <v>0</v>
      </c>
      <c r="E189" s="55">
        <v>1</v>
      </c>
      <c r="F189" s="55">
        <v>-1</v>
      </c>
      <c r="G189" s="55">
        <v>-1</v>
      </c>
      <c r="H189" s="55">
        <v>0</v>
      </c>
      <c r="I189" s="63">
        <v>0</v>
      </c>
      <c r="J189" s="55">
        <v>1</v>
      </c>
      <c r="K189" s="55">
        <v>0</v>
      </c>
      <c r="L189" s="55">
        <v>0</v>
      </c>
      <c r="M189" s="55">
        <v>0</v>
      </c>
      <c r="N189" s="55">
        <v>0</v>
      </c>
      <c r="O189" s="55">
        <v>0</v>
      </c>
      <c r="P189" s="55">
        <v>0</v>
      </c>
      <c r="Q189" s="56">
        <v>0</v>
      </c>
    </row>
    <row r="190" spans="2:17">
      <c r="B190" s="54">
        <v>40911</v>
      </c>
      <c r="C190" s="55">
        <v>0</v>
      </c>
      <c r="D190" s="55">
        <v>0</v>
      </c>
      <c r="E190" s="55">
        <v>1</v>
      </c>
      <c r="F190" s="55">
        <v>-1</v>
      </c>
      <c r="G190" s="55">
        <v>-1</v>
      </c>
      <c r="H190" s="55">
        <v>0</v>
      </c>
      <c r="I190" s="63">
        <v>0</v>
      </c>
      <c r="J190" s="55">
        <v>0</v>
      </c>
      <c r="K190" s="55">
        <v>1</v>
      </c>
      <c r="L190" s="55">
        <v>0</v>
      </c>
      <c r="M190" s="55">
        <v>0</v>
      </c>
      <c r="N190" s="55">
        <v>0</v>
      </c>
      <c r="O190" s="55">
        <v>0</v>
      </c>
      <c r="P190" s="55">
        <v>0</v>
      </c>
      <c r="Q190" s="56">
        <v>16</v>
      </c>
    </row>
    <row r="191" spans="2:17">
      <c r="B191" s="54">
        <v>40912</v>
      </c>
      <c r="C191" s="55">
        <v>12</v>
      </c>
      <c r="D191" s="55">
        <v>0</v>
      </c>
      <c r="E191" s="55">
        <v>0</v>
      </c>
      <c r="F191" s="55">
        <v>0</v>
      </c>
      <c r="G191" s="55">
        <v>0</v>
      </c>
      <c r="H191" s="55">
        <v>1</v>
      </c>
      <c r="I191" s="63">
        <v>0</v>
      </c>
      <c r="J191" s="55">
        <v>0</v>
      </c>
      <c r="K191" s="55">
        <v>0</v>
      </c>
      <c r="L191" s="55">
        <v>1</v>
      </c>
      <c r="M191" s="55">
        <v>0</v>
      </c>
      <c r="N191" s="55">
        <v>0</v>
      </c>
      <c r="O191" s="55">
        <v>0</v>
      </c>
      <c r="P191" s="55">
        <v>0</v>
      </c>
      <c r="Q191" s="56">
        <v>16</v>
      </c>
    </row>
    <row r="192" spans="2:17">
      <c r="B192" s="54">
        <v>40913</v>
      </c>
      <c r="C192" s="55">
        <v>9</v>
      </c>
      <c r="D192" s="55">
        <v>0</v>
      </c>
      <c r="E192" s="55">
        <v>0</v>
      </c>
      <c r="F192" s="55">
        <v>0</v>
      </c>
      <c r="G192" s="55">
        <v>0</v>
      </c>
      <c r="H192" s="55">
        <v>1</v>
      </c>
      <c r="I192" s="63">
        <v>0</v>
      </c>
      <c r="J192" s="55">
        <v>0</v>
      </c>
      <c r="K192" s="55">
        <v>0</v>
      </c>
      <c r="L192" s="55">
        <v>0</v>
      </c>
      <c r="M192" s="55">
        <v>1</v>
      </c>
      <c r="N192" s="55">
        <v>0</v>
      </c>
      <c r="O192" s="55">
        <v>0</v>
      </c>
      <c r="P192" s="55">
        <v>0</v>
      </c>
      <c r="Q192" s="56">
        <v>13</v>
      </c>
    </row>
    <row r="193" spans="2:17">
      <c r="B193" s="54">
        <v>40914</v>
      </c>
      <c r="C193" s="55">
        <v>8</v>
      </c>
      <c r="D193" s="55">
        <v>0</v>
      </c>
      <c r="E193" s="55">
        <v>0</v>
      </c>
      <c r="F193" s="55">
        <v>0</v>
      </c>
      <c r="G193" s="55">
        <v>0</v>
      </c>
      <c r="H193" s="55">
        <v>1</v>
      </c>
      <c r="I193" s="63">
        <v>0</v>
      </c>
      <c r="J193" s="55">
        <v>0</v>
      </c>
      <c r="K193" s="55">
        <v>0</v>
      </c>
      <c r="L193" s="55">
        <v>0</v>
      </c>
      <c r="M193" s="55">
        <v>0</v>
      </c>
      <c r="N193" s="55">
        <v>1</v>
      </c>
      <c r="O193" s="55">
        <v>0</v>
      </c>
      <c r="P193" s="55">
        <v>0</v>
      </c>
      <c r="Q193" s="56">
        <v>14</v>
      </c>
    </row>
    <row r="194" spans="2:17">
      <c r="B194" s="54">
        <v>40915</v>
      </c>
      <c r="C194" s="55">
        <v>29</v>
      </c>
      <c r="D194" s="55">
        <v>0</v>
      </c>
      <c r="E194" s="55">
        <v>0</v>
      </c>
      <c r="F194" s="55">
        <v>0</v>
      </c>
      <c r="G194" s="55">
        <v>0</v>
      </c>
      <c r="H194" s="55">
        <v>1</v>
      </c>
      <c r="I194" s="63">
        <v>0</v>
      </c>
      <c r="J194" s="55">
        <v>0</v>
      </c>
      <c r="K194" s="55">
        <v>0</v>
      </c>
      <c r="L194" s="55">
        <v>0</v>
      </c>
      <c r="M194" s="55">
        <v>0</v>
      </c>
      <c r="N194" s="55">
        <v>0</v>
      </c>
      <c r="O194" s="55">
        <v>1</v>
      </c>
      <c r="P194" s="55">
        <v>0</v>
      </c>
      <c r="Q194" s="56">
        <v>16</v>
      </c>
    </row>
    <row r="195" spans="2:17">
      <c r="B195" s="54">
        <v>40916</v>
      </c>
      <c r="C195" s="55">
        <v>23</v>
      </c>
      <c r="D195" s="55">
        <v>0</v>
      </c>
      <c r="E195" s="55">
        <v>0</v>
      </c>
      <c r="F195" s="55">
        <v>0</v>
      </c>
      <c r="G195" s="55">
        <v>0</v>
      </c>
      <c r="H195" s="55">
        <v>1</v>
      </c>
      <c r="I195" s="63">
        <v>0</v>
      </c>
      <c r="J195" s="55">
        <v>0</v>
      </c>
      <c r="K195" s="55">
        <v>0</v>
      </c>
      <c r="L195" s="55">
        <v>0</v>
      </c>
      <c r="M195" s="55">
        <v>0</v>
      </c>
      <c r="N195" s="55">
        <v>0</v>
      </c>
      <c r="O195" s="55">
        <v>0</v>
      </c>
      <c r="P195" s="55">
        <v>0</v>
      </c>
      <c r="Q195" s="56">
        <v>16</v>
      </c>
    </row>
    <row r="196" spans="2:17">
      <c r="B196" s="54">
        <v>40917</v>
      </c>
      <c r="C196" s="55">
        <v>9</v>
      </c>
      <c r="D196" s="55">
        <v>0</v>
      </c>
      <c r="E196" s="55">
        <v>0</v>
      </c>
      <c r="F196" s="55">
        <v>0</v>
      </c>
      <c r="G196" s="55">
        <v>0</v>
      </c>
      <c r="H196" s="55">
        <v>1</v>
      </c>
      <c r="I196" s="63">
        <v>1</v>
      </c>
      <c r="J196" s="55">
        <v>1</v>
      </c>
      <c r="K196" s="55">
        <v>0</v>
      </c>
      <c r="L196" s="55">
        <v>0</v>
      </c>
      <c r="M196" s="55">
        <v>0</v>
      </c>
      <c r="N196" s="55">
        <v>0</v>
      </c>
      <c r="O196" s="55">
        <v>0</v>
      </c>
      <c r="P196" s="55">
        <v>0</v>
      </c>
      <c r="Q196" s="56">
        <v>14</v>
      </c>
    </row>
    <row r="197" spans="2:17">
      <c r="B197" s="54">
        <v>40918</v>
      </c>
      <c r="C197" s="55">
        <v>10</v>
      </c>
      <c r="D197" s="55">
        <v>0</v>
      </c>
      <c r="E197" s="55">
        <v>0</v>
      </c>
      <c r="F197" s="55">
        <v>0</v>
      </c>
      <c r="G197" s="55">
        <v>0</v>
      </c>
      <c r="H197" s="55">
        <v>1</v>
      </c>
      <c r="I197" s="63">
        <v>0</v>
      </c>
      <c r="J197" s="55">
        <v>0</v>
      </c>
      <c r="K197" s="55">
        <v>1</v>
      </c>
      <c r="L197" s="55">
        <v>0</v>
      </c>
      <c r="M197" s="55">
        <v>0</v>
      </c>
      <c r="N197" s="55">
        <v>0</v>
      </c>
      <c r="O197" s="55">
        <v>0</v>
      </c>
      <c r="P197" s="55">
        <v>0</v>
      </c>
      <c r="Q197" s="56">
        <v>13</v>
      </c>
    </row>
    <row r="198" spans="2:17">
      <c r="B198" s="54">
        <v>40919</v>
      </c>
      <c r="C198" s="55">
        <v>10</v>
      </c>
      <c r="D198" s="55">
        <v>0</v>
      </c>
      <c r="E198" s="55">
        <v>0</v>
      </c>
      <c r="F198" s="55">
        <v>0</v>
      </c>
      <c r="G198" s="55">
        <v>0</v>
      </c>
      <c r="H198" s="55">
        <v>1</v>
      </c>
      <c r="I198" s="63">
        <v>0</v>
      </c>
      <c r="J198" s="55">
        <v>0</v>
      </c>
      <c r="K198" s="55">
        <v>0</v>
      </c>
      <c r="L198" s="55">
        <v>1</v>
      </c>
      <c r="M198" s="55">
        <v>0</v>
      </c>
      <c r="N198" s="55">
        <v>0</v>
      </c>
      <c r="O198" s="55">
        <v>0</v>
      </c>
      <c r="P198" s="55">
        <v>0</v>
      </c>
      <c r="Q198" s="56">
        <v>5</v>
      </c>
    </row>
    <row r="199" spans="2:17">
      <c r="B199" s="54">
        <v>40920</v>
      </c>
      <c r="C199" s="55">
        <v>7</v>
      </c>
      <c r="D199" s="55">
        <v>0</v>
      </c>
      <c r="E199" s="55">
        <v>0</v>
      </c>
      <c r="F199" s="55">
        <v>0</v>
      </c>
      <c r="G199" s="55">
        <v>0</v>
      </c>
      <c r="H199" s="55">
        <v>1</v>
      </c>
      <c r="I199" s="63">
        <v>0</v>
      </c>
      <c r="J199" s="55">
        <v>0</v>
      </c>
      <c r="K199" s="55">
        <v>0</v>
      </c>
      <c r="L199" s="55">
        <v>0</v>
      </c>
      <c r="M199" s="55">
        <v>1</v>
      </c>
      <c r="N199" s="55">
        <v>0</v>
      </c>
      <c r="O199" s="55">
        <v>0</v>
      </c>
      <c r="P199" s="55">
        <v>0</v>
      </c>
      <c r="Q199" s="56">
        <v>9</v>
      </c>
    </row>
    <row r="200" spans="2:17">
      <c r="B200" s="54">
        <v>40921</v>
      </c>
      <c r="C200" s="55">
        <v>9</v>
      </c>
      <c r="D200" s="55">
        <v>0</v>
      </c>
      <c r="E200" s="55">
        <v>0</v>
      </c>
      <c r="F200" s="55">
        <v>0</v>
      </c>
      <c r="G200" s="55">
        <v>0</v>
      </c>
      <c r="H200" s="55">
        <v>1</v>
      </c>
      <c r="I200" s="63">
        <v>0</v>
      </c>
      <c r="J200" s="55">
        <v>0</v>
      </c>
      <c r="K200" s="55">
        <v>0</v>
      </c>
      <c r="L200" s="55">
        <v>0</v>
      </c>
      <c r="M200" s="55">
        <v>0</v>
      </c>
      <c r="N200" s="55">
        <v>1</v>
      </c>
      <c r="O200" s="55">
        <v>0</v>
      </c>
      <c r="P200" s="55">
        <v>0</v>
      </c>
      <c r="Q200" s="56">
        <v>14</v>
      </c>
    </row>
    <row r="201" spans="2:17">
      <c r="B201" s="54">
        <v>40922</v>
      </c>
      <c r="C201" s="55">
        <v>24</v>
      </c>
      <c r="D201" s="55">
        <v>0</v>
      </c>
      <c r="E201" s="55">
        <v>0</v>
      </c>
      <c r="F201" s="55">
        <v>0</v>
      </c>
      <c r="G201" s="55">
        <v>1</v>
      </c>
      <c r="H201" s="55">
        <v>2</v>
      </c>
      <c r="I201" s="63">
        <v>0</v>
      </c>
      <c r="J201" s="55">
        <v>0</v>
      </c>
      <c r="K201" s="55">
        <v>0</v>
      </c>
      <c r="L201" s="55">
        <v>0</v>
      </c>
      <c r="M201" s="55">
        <v>0</v>
      </c>
      <c r="N201" s="55">
        <v>0</v>
      </c>
      <c r="O201" s="55">
        <v>1</v>
      </c>
      <c r="P201" s="55">
        <v>0</v>
      </c>
      <c r="Q201" s="56">
        <v>19</v>
      </c>
    </row>
    <row r="202" spans="2:17">
      <c r="B202" s="54">
        <v>40923</v>
      </c>
      <c r="C202" s="55">
        <v>21</v>
      </c>
      <c r="D202" s="55">
        <v>0</v>
      </c>
      <c r="E202" s="55">
        <v>0</v>
      </c>
      <c r="F202" s="55">
        <v>0</v>
      </c>
      <c r="G202" s="55">
        <v>0</v>
      </c>
      <c r="H202" s="55">
        <v>1</v>
      </c>
      <c r="I202" s="63">
        <v>0</v>
      </c>
      <c r="J202" s="55">
        <v>0</v>
      </c>
      <c r="K202" s="55">
        <v>0</v>
      </c>
      <c r="L202" s="55">
        <v>0</v>
      </c>
      <c r="M202" s="55">
        <v>0</v>
      </c>
      <c r="N202" s="55">
        <v>0</v>
      </c>
      <c r="O202" s="55">
        <v>0</v>
      </c>
      <c r="P202" s="55">
        <v>0</v>
      </c>
      <c r="Q202" s="56">
        <v>22</v>
      </c>
    </row>
    <row r="203" spans="2:17">
      <c r="B203" s="54">
        <v>40924</v>
      </c>
      <c r="C203" s="55">
        <v>18</v>
      </c>
      <c r="D203" s="55">
        <v>0</v>
      </c>
      <c r="E203" s="55">
        <v>0</v>
      </c>
      <c r="F203" s="55">
        <v>0</v>
      </c>
      <c r="G203" s="55">
        <v>0</v>
      </c>
      <c r="H203" s="55">
        <v>1</v>
      </c>
      <c r="I203" s="63">
        <v>0</v>
      </c>
      <c r="J203" s="55">
        <v>1</v>
      </c>
      <c r="K203" s="55">
        <v>0</v>
      </c>
      <c r="L203" s="55">
        <v>0</v>
      </c>
      <c r="M203" s="55">
        <v>0</v>
      </c>
      <c r="N203" s="55">
        <v>0</v>
      </c>
      <c r="O203" s="55">
        <v>0</v>
      </c>
      <c r="P203" s="55">
        <v>0</v>
      </c>
      <c r="Q203" s="56">
        <v>12</v>
      </c>
    </row>
    <row r="204" spans="2:17">
      <c r="B204" s="54">
        <v>40925</v>
      </c>
      <c r="C204" s="55">
        <v>18</v>
      </c>
      <c r="D204" s="55">
        <v>0</v>
      </c>
      <c r="E204" s="55">
        <v>0</v>
      </c>
      <c r="F204" s="55">
        <v>0</v>
      </c>
      <c r="G204" s="55">
        <v>0</v>
      </c>
      <c r="H204" s="55">
        <v>1</v>
      </c>
      <c r="I204" s="63">
        <v>0</v>
      </c>
      <c r="J204" s="55">
        <v>0</v>
      </c>
      <c r="K204" s="55">
        <v>1</v>
      </c>
      <c r="L204" s="55">
        <v>0</v>
      </c>
      <c r="M204" s="55">
        <v>0</v>
      </c>
      <c r="N204" s="55">
        <v>0</v>
      </c>
      <c r="O204" s="55">
        <v>0</v>
      </c>
      <c r="P204" s="55">
        <v>0</v>
      </c>
      <c r="Q204" s="56">
        <v>11</v>
      </c>
    </row>
    <row r="205" spans="2:17">
      <c r="B205" s="54">
        <v>40926</v>
      </c>
      <c r="C205" s="55">
        <v>17</v>
      </c>
      <c r="D205" s="55">
        <v>0</v>
      </c>
      <c r="E205" s="55">
        <v>0</v>
      </c>
      <c r="F205" s="55">
        <v>0</v>
      </c>
      <c r="G205" s="55">
        <v>0</v>
      </c>
      <c r="H205" s="55">
        <v>1</v>
      </c>
      <c r="I205" s="63">
        <v>0</v>
      </c>
      <c r="J205" s="55">
        <v>0</v>
      </c>
      <c r="K205" s="55">
        <v>0</v>
      </c>
      <c r="L205" s="55">
        <v>1</v>
      </c>
      <c r="M205" s="55">
        <v>0</v>
      </c>
      <c r="N205" s="55">
        <v>0</v>
      </c>
      <c r="O205" s="55">
        <v>0</v>
      </c>
      <c r="P205" s="55">
        <v>0</v>
      </c>
      <c r="Q205" s="56">
        <v>6</v>
      </c>
    </row>
    <row r="206" spans="2:17">
      <c r="B206" s="54">
        <v>40927</v>
      </c>
      <c r="C206" s="55">
        <v>13</v>
      </c>
      <c r="D206" s="55">
        <v>0</v>
      </c>
      <c r="E206" s="55">
        <v>0</v>
      </c>
      <c r="F206" s="55">
        <v>0</v>
      </c>
      <c r="G206" s="55">
        <v>0</v>
      </c>
      <c r="H206" s="55">
        <v>1</v>
      </c>
      <c r="I206" s="63">
        <v>0</v>
      </c>
      <c r="J206" s="55">
        <v>0</v>
      </c>
      <c r="K206" s="55">
        <v>0</v>
      </c>
      <c r="L206" s="55">
        <v>0</v>
      </c>
      <c r="M206" s="55">
        <v>1</v>
      </c>
      <c r="N206" s="55">
        <v>0</v>
      </c>
      <c r="O206" s="55">
        <v>0</v>
      </c>
      <c r="P206" s="55">
        <v>0</v>
      </c>
      <c r="Q206" s="56">
        <v>7</v>
      </c>
    </row>
    <row r="207" spans="2:17">
      <c r="B207" s="54">
        <v>40928</v>
      </c>
      <c r="C207" s="55">
        <v>18</v>
      </c>
      <c r="D207" s="55">
        <v>0</v>
      </c>
      <c r="E207" s="55">
        <v>0</v>
      </c>
      <c r="F207" s="55">
        <v>0</v>
      </c>
      <c r="G207" s="55">
        <v>0</v>
      </c>
      <c r="H207" s="55">
        <v>1</v>
      </c>
      <c r="I207" s="63">
        <v>0</v>
      </c>
      <c r="J207" s="55">
        <v>0</v>
      </c>
      <c r="K207" s="55">
        <v>0</v>
      </c>
      <c r="L207" s="55">
        <v>0</v>
      </c>
      <c r="M207" s="55">
        <v>0</v>
      </c>
      <c r="N207" s="55">
        <v>1</v>
      </c>
      <c r="O207" s="55">
        <v>0</v>
      </c>
      <c r="P207" s="55">
        <v>0</v>
      </c>
      <c r="Q207" s="56">
        <v>14</v>
      </c>
    </row>
    <row r="208" spans="2:17">
      <c r="B208" s="54">
        <v>40929</v>
      </c>
      <c r="C208" s="55">
        <v>30</v>
      </c>
      <c r="D208" s="55">
        <v>0</v>
      </c>
      <c r="E208" s="55">
        <v>0</v>
      </c>
      <c r="F208" s="55">
        <v>1</v>
      </c>
      <c r="G208" s="55">
        <v>0</v>
      </c>
      <c r="H208" s="55">
        <v>2</v>
      </c>
      <c r="I208" s="63">
        <v>0</v>
      </c>
      <c r="J208" s="55">
        <v>0</v>
      </c>
      <c r="K208" s="55">
        <v>0</v>
      </c>
      <c r="L208" s="55">
        <v>0</v>
      </c>
      <c r="M208" s="55">
        <v>0</v>
      </c>
      <c r="N208" s="55">
        <v>0</v>
      </c>
      <c r="O208" s="55">
        <v>1</v>
      </c>
      <c r="P208" s="55">
        <v>0</v>
      </c>
      <c r="Q208" s="56">
        <v>17</v>
      </c>
    </row>
    <row r="209" spans="2:17">
      <c r="B209" s="54">
        <v>40930</v>
      </c>
      <c r="C209" s="55">
        <v>28</v>
      </c>
      <c r="D209" s="55">
        <v>0</v>
      </c>
      <c r="E209" s="55">
        <v>0</v>
      </c>
      <c r="F209" s="55">
        <v>1</v>
      </c>
      <c r="G209" s="55">
        <v>0</v>
      </c>
      <c r="H209" s="55">
        <v>2</v>
      </c>
      <c r="I209" s="63">
        <v>0</v>
      </c>
      <c r="J209" s="55">
        <v>0</v>
      </c>
      <c r="K209" s="55">
        <v>0</v>
      </c>
      <c r="L209" s="55">
        <v>0</v>
      </c>
      <c r="M209" s="55">
        <v>0</v>
      </c>
      <c r="N209" s="55">
        <v>0</v>
      </c>
      <c r="O209" s="55">
        <v>0</v>
      </c>
      <c r="P209" s="55">
        <v>0</v>
      </c>
      <c r="Q209" s="56">
        <v>18</v>
      </c>
    </row>
    <row r="210" spans="2:17">
      <c r="B210" s="54">
        <v>40931</v>
      </c>
      <c r="C210" s="55">
        <v>18</v>
      </c>
      <c r="D210" s="55">
        <v>0</v>
      </c>
      <c r="E210" s="55">
        <v>0</v>
      </c>
      <c r="F210" s="55">
        <v>0</v>
      </c>
      <c r="G210" s="55">
        <v>0</v>
      </c>
      <c r="H210" s="55">
        <v>1</v>
      </c>
      <c r="I210" s="63">
        <v>0</v>
      </c>
      <c r="J210" s="55">
        <v>1</v>
      </c>
      <c r="K210" s="55">
        <v>0</v>
      </c>
      <c r="L210" s="55">
        <v>0</v>
      </c>
      <c r="M210" s="55">
        <v>0</v>
      </c>
      <c r="N210" s="55">
        <v>0</v>
      </c>
      <c r="O210" s="55">
        <v>0</v>
      </c>
      <c r="P210" s="55">
        <v>0</v>
      </c>
      <c r="Q210" s="56">
        <v>12</v>
      </c>
    </row>
    <row r="211" spans="2:17">
      <c r="B211" s="54">
        <v>40932</v>
      </c>
      <c r="C211" s="55">
        <v>17</v>
      </c>
      <c r="D211" s="55">
        <v>0</v>
      </c>
      <c r="E211" s="55">
        <v>0</v>
      </c>
      <c r="F211" s="55">
        <v>0</v>
      </c>
      <c r="G211" s="55">
        <v>0</v>
      </c>
      <c r="H211" s="55">
        <v>1</v>
      </c>
      <c r="I211" s="63">
        <v>0</v>
      </c>
      <c r="J211" s="55">
        <v>0</v>
      </c>
      <c r="K211" s="55">
        <v>1</v>
      </c>
      <c r="L211" s="55">
        <v>0</v>
      </c>
      <c r="M211" s="55">
        <v>0</v>
      </c>
      <c r="N211" s="55">
        <v>0</v>
      </c>
      <c r="O211" s="55">
        <v>0</v>
      </c>
      <c r="P211" s="55">
        <v>0</v>
      </c>
      <c r="Q211" s="56">
        <v>15</v>
      </c>
    </row>
    <row r="212" spans="2:17">
      <c r="B212" s="54">
        <v>40933</v>
      </c>
      <c r="C212" s="55">
        <v>20</v>
      </c>
      <c r="D212" s="55">
        <v>0</v>
      </c>
      <c r="E212" s="55">
        <v>0</v>
      </c>
      <c r="F212" s="55">
        <v>0</v>
      </c>
      <c r="G212" s="55">
        <v>0</v>
      </c>
      <c r="H212" s="55">
        <v>1</v>
      </c>
      <c r="I212" s="63">
        <v>0</v>
      </c>
      <c r="J212" s="55">
        <v>0</v>
      </c>
      <c r="K212" s="55">
        <v>0</v>
      </c>
      <c r="L212" s="55">
        <v>1</v>
      </c>
      <c r="M212" s="55">
        <v>0</v>
      </c>
      <c r="N212" s="55">
        <v>0</v>
      </c>
      <c r="O212" s="55">
        <v>0</v>
      </c>
      <c r="P212" s="55">
        <v>0</v>
      </c>
      <c r="Q212" s="56">
        <v>13</v>
      </c>
    </row>
    <row r="213" spans="2:17">
      <c r="B213" s="54">
        <v>40934</v>
      </c>
      <c r="C213" s="55">
        <v>16</v>
      </c>
      <c r="D213" s="55">
        <v>0</v>
      </c>
      <c r="E213" s="55">
        <v>0</v>
      </c>
      <c r="F213" s="55">
        <v>0</v>
      </c>
      <c r="G213" s="55">
        <v>0</v>
      </c>
      <c r="H213" s="55">
        <v>1</v>
      </c>
      <c r="I213" s="63">
        <v>0</v>
      </c>
      <c r="J213" s="55">
        <v>0</v>
      </c>
      <c r="K213" s="55">
        <v>0</v>
      </c>
      <c r="L213" s="55">
        <v>0</v>
      </c>
      <c r="M213" s="55">
        <v>1</v>
      </c>
      <c r="N213" s="55">
        <v>0</v>
      </c>
      <c r="O213" s="55">
        <v>0</v>
      </c>
      <c r="P213" s="55">
        <v>0</v>
      </c>
      <c r="Q213" s="56">
        <v>18</v>
      </c>
    </row>
    <row r="214" spans="2:17">
      <c r="B214" s="54">
        <v>40935</v>
      </c>
      <c r="C214" s="55">
        <v>30</v>
      </c>
      <c r="D214" s="55">
        <v>0</v>
      </c>
      <c r="E214" s="55">
        <v>0</v>
      </c>
      <c r="F214" s="55">
        <v>1</v>
      </c>
      <c r="G214" s="55">
        <v>1</v>
      </c>
      <c r="H214" s="55">
        <v>4</v>
      </c>
      <c r="I214" s="63">
        <v>0</v>
      </c>
      <c r="J214" s="55">
        <v>0</v>
      </c>
      <c r="K214" s="55">
        <v>0</v>
      </c>
      <c r="L214" s="55">
        <v>0</v>
      </c>
      <c r="M214" s="55">
        <v>0</v>
      </c>
      <c r="N214" s="55">
        <v>1</v>
      </c>
      <c r="O214" s="55">
        <v>0</v>
      </c>
      <c r="P214" s="55">
        <v>0</v>
      </c>
      <c r="Q214" s="56">
        <v>16</v>
      </c>
    </row>
    <row r="215" spans="2:17">
      <c r="B215" s="54">
        <v>40936</v>
      </c>
      <c r="C215" s="55">
        <v>32</v>
      </c>
      <c r="D215" s="55">
        <v>0</v>
      </c>
      <c r="E215" s="55">
        <v>0</v>
      </c>
      <c r="F215" s="55">
        <v>2</v>
      </c>
      <c r="G215" s="55">
        <v>1</v>
      </c>
      <c r="H215" s="55">
        <v>6</v>
      </c>
      <c r="I215" s="63">
        <v>0</v>
      </c>
      <c r="J215" s="55">
        <v>0</v>
      </c>
      <c r="K215" s="55">
        <v>0</v>
      </c>
      <c r="L215" s="55">
        <v>0</v>
      </c>
      <c r="M215" s="55">
        <v>0</v>
      </c>
      <c r="N215" s="55">
        <v>0</v>
      </c>
      <c r="O215" s="55">
        <v>1</v>
      </c>
      <c r="P215" s="55">
        <v>0</v>
      </c>
      <c r="Q215" s="56">
        <v>23</v>
      </c>
    </row>
    <row r="216" spans="2:17">
      <c r="B216" s="54">
        <v>40937</v>
      </c>
      <c r="C216" s="55">
        <v>26</v>
      </c>
      <c r="D216" s="55">
        <v>0</v>
      </c>
      <c r="E216" s="55">
        <v>0</v>
      </c>
      <c r="F216" s="55">
        <v>2</v>
      </c>
      <c r="G216" s="55">
        <v>1</v>
      </c>
      <c r="H216" s="55">
        <v>6</v>
      </c>
      <c r="I216" s="63">
        <v>0</v>
      </c>
      <c r="J216" s="55">
        <v>0</v>
      </c>
      <c r="K216" s="55">
        <v>0</v>
      </c>
      <c r="L216" s="55">
        <v>0</v>
      </c>
      <c r="M216" s="55">
        <v>0</v>
      </c>
      <c r="N216" s="55">
        <v>0</v>
      </c>
      <c r="O216" s="55">
        <v>0</v>
      </c>
      <c r="P216" s="55">
        <v>0</v>
      </c>
      <c r="Q216" s="56">
        <v>28</v>
      </c>
    </row>
    <row r="217" spans="2:17">
      <c r="B217" s="54">
        <v>40938</v>
      </c>
      <c r="C217" s="55">
        <v>33</v>
      </c>
      <c r="D217" s="55">
        <v>0</v>
      </c>
      <c r="E217" s="55">
        <v>0</v>
      </c>
      <c r="F217" s="55">
        <v>1</v>
      </c>
      <c r="G217" s="55">
        <v>0</v>
      </c>
      <c r="H217" s="55">
        <v>2</v>
      </c>
      <c r="I217" s="63">
        <v>0</v>
      </c>
      <c r="J217" s="55">
        <v>1</v>
      </c>
      <c r="K217" s="55">
        <v>0</v>
      </c>
      <c r="L217" s="55">
        <v>0</v>
      </c>
      <c r="M217" s="55">
        <v>0</v>
      </c>
      <c r="N217" s="55">
        <v>0</v>
      </c>
      <c r="O217" s="55">
        <v>0</v>
      </c>
      <c r="P217" s="55">
        <v>0</v>
      </c>
      <c r="Q217" s="56">
        <v>23</v>
      </c>
    </row>
    <row r="218" spans="2:17">
      <c r="B218" s="54">
        <v>40939</v>
      </c>
      <c r="C218" s="55">
        <v>29</v>
      </c>
      <c r="D218" s="55">
        <v>0</v>
      </c>
      <c r="E218" s="55">
        <v>0</v>
      </c>
      <c r="F218" s="55">
        <v>1</v>
      </c>
      <c r="G218" s="55">
        <v>1</v>
      </c>
      <c r="H218" s="55">
        <v>4</v>
      </c>
      <c r="I218" s="63">
        <v>0</v>
      </c>
      <c r="J218" s="55">
        <v>0</v>
      </c>
      <c r="K218" s="55">
        <v>1</v>
      </c>
      <c r="L218" s="55">
        <v>0</v>
      </c>
      <c r="M218" s="55">
        <v>0</v>
      </c>
      <c r="N218" s="55">
        <v>0</v>
      </c>
      <c r="O218" s="55">
        <v>0</v>
      </c>
      <c r="P218" s="55">
        <v>0</v>
      </c>
      <c r="Q218" s="56">
        <v>22</v>
      </c>
    </row>
    <row r="219" spans="2:17">
      <c r="B219" s="54">
        <v>40940</v>
      </c>
      <c r="C219" s="55">
        <v>27</v>
      </c>
      <c r="D219" s="55">
        <v>0</v>
      </c>
      <c r="E219" s="55">
        <v>0</v>
      </c>
      <c r="F219" s="55">
        <v>1</v>
      </c>
      <c r="G219" s="55">
        <v>1</v>
      </c>
      <c r="H219" s="55">
        <v>4</v>
      </c>
      <c r="I219" s="63">
        <v>0</v>
      </c>
      <c r="J219" s="55">
        <v>0</v>
      </c>
      <c r="K219" s="55">
        <v>0</v>
      </c>
      <c r="L219" s="55">
        <v>1</v>
      </c>
      <c r="M219" s="55">
        <v>0</v>
      </c>
      <c r="N219" s="55">
        <v>0</v>
      </c>
      <c r="O219" s="55">
        <v>0</v>
      </c>
      <c r="P219" s="55">
        <v>0</v>
      </c>
      <c r="Q219" s="56">
        <v>14</v>
      </c>
    </row>
    <row r="220" spans="2:17">
      <c r="B220" s="54">
        <v>40941</v>
      </c>
      <c r="C220" s="55">
        <v>17</v>
      </c>
      <c r="D220" s="55">
        <v>0</v>
      </c>
      <c r="E220" s="55">
        <v>0</v>
      </c>
      <c r="F220" s="55">
        <v>1</v>
      </c>
      <c r="G220" s="55">
        <v>0</v>
      </c>
      <c r="H220" s="55">
        <v>2</v>
      </c>
      <c r="I220" s="63">
        <v>0</v>
      </c>
      <c r="J220" s="55">
        <v>0</v>
      </c>
      <c r="K220" s="55">
        <v>0</v>
      </c>
      <c r="L220" s="55">
        <v>0</v>
      </c>
      <c r="M220" s="55">
        <v>1</v>
      </c>
      <c r="N220" s="55">
        <v>0</v>
      </c>
      <c r="O220" s="55">
        <v>0</v>
      </c>
      <c r="P220" s="55">
        <v>0</v>
      </c>
      <c r="Q220" s="56">
        <v>12</v>
      </c>
    </row>
    <row r="221" spans="2:17">
      <c r="B221" s="54">
        <v>40942</v>
      </c>
      <c r="C221" s="55">
        <v>19</v>
      </c>
      <c r="D221" s="55">
        <v>0</v>
      </c>
      <c r="E221" s="55">
        <v>0</v>
      </c>
      <c r="F221" s="55">
        <v>0</v>
      </c>
      <c r="G221" s="55">
        <v>0</v>
      </c>
      <c r="H221" s="55">
        <v>1</v>
      </c>
      <c r="I221" s="63">
        <v>0</v>
      </c>
      <c r="J221" s="55">
        <v>0</v>
      </c>
      <c r="K221" s="55">
        <v>0</v>
      </c>
      <c r="L221" s="55">
        <v>0</v>
      </c>
      <c r="M221" s="55">
        <v>0</v>
      </c>
      <c r="N221" s="55">
        <v>1</v>
      </c>
      <c r="O221" s="55">
        <v>0</v>
      </c>
      <c r="P221" s="55">
        <v>0</v>
      </c>
      <c r="Q221" s="56">
        <v>16</v>
      </c>
    </row>
    <row r="222" spans="2:17">
      <c r="B222" s="54">
        <v>40943</v>
      </c>
      <c r="C222" s="55">
        <v>33</v>
      </c>
      <c r="D222" s="55">
        <v>0</v>
      </c>
      <c r="E222" s="55">
        <v>0</v>
      </c>
      <c r="F222" s="55">
        <v>2</v>
      </c>
      <c r="G222" s="55">
        <v>1</v>
      </c>
      <c r="H222" s="55">
        <v>6</v>
      </c>
      <c r="I222" s="63">
        <v>0</v>
      </c>
      <c r="J222" s="55">
        <v>0</v>
      </c>
      <c r="K222" s="55">
        <v>0</v>
      </c>
      <c r="L222" s="55">
        <v>0</v>
      </c>
      <c r="M222" s="55">
        <v>0</v>
      </c>
      <c r="N222" s="55">
        <v>0</v>
      </c>
      <c r="O222" s="55">
        <v>1</v>
      </c>
      <c r="P222" s="55">
        <v>0</v>
      </c>
      <c r="Q222" s="56">
        <v>24</v>
      </c>
    </row>
    <row r="223" spans="2:17">
      <c r="B223" s="54">
        <v>40944</v>
      </c>
      <c r="C223" s="55">
        <v>19</v>
      </c>
      <c r="D223" s="55">
        <v>0</v>
      </c>
      <c r="E223" s="55">
        <v>0</v>
      </c>
      <c r="F223" s="55">
        <v>1</v>
      </c>
      <c r="G223" s="55">
        <v>1</v>
      </c>
      <c r="H223" s="55">
        <v>4</v>
      </c>
      <c r="I223" s="63">
        <v>0</v>
      </c>
      <c r="J223" s="55">
        <v>0</v>
      </c>
      <c r="K223" s="55">
        <v>0</v>
      </c>
      <c r="L223" s="55">
        <v>0</v>
      </c>
      <c r="M223" s="55">
        <v>0</v>
      </c>
      <c r="N223" s="55">
        <v>0</v>
      </c>
      <c r="O223" s="55">
        <v>0</v>
      </c>
      <c r="P223" s="55">
        <v>0</v>
      </c>
      <c r="Q223" s="56">
        <v>17</v>
      </c>
    </row>
    <row r="224" spans="2:17">
      <c r="B224" s="54">
        <v>40945</v>
      </c>
      <c r="C224" s="55">
        <v>23</v>
      </c>
      <c r="D224" s="55">
        <v>0</v>
      </c>
      <c r="E224" s="55">
        <v>0</v>
      </c>
      <c r="F224" s="55">
        <v>0</v>
      </c>
      <c r="G224" s="55">
        <v>0</v>
      </c>
      <c r="H224" s="55">
        <v>1</v>
      </c>
      <c r="I224" s="63">
        <v>0</v>
      </c>
      <c r="J224" s="55">
        <v>1</v>
      </c>
      <c r="K224" s="55">
        <v>0</v>
      </c>
      <c r="L224" s="55">
        <v>0</v>
      </c>
      <c r="M224" s="55">
        <v>0</v>
      </c>
      <c r="N224" s="55">
        <v>0</v>
      </c>
      <c r="O224" s="55">
        <v>0</v>
      </c>
      <c r="P224" s="55">
        <v>0</v>
      </c>
      <c r="Q224" s="56">
        <v>15</v>
      </c>
    </row>
    <row r="225" spans="2:17">
      <c r="B225" s="54">
        <v>40946</v>
      </c>
      <c r="C225" s="55">
        <v>18</v>
      </c>
      <c r="D225" s="55">
        <v>0</v>
      </c>
      <c r="E225" s="55">
        <v>0</v>
      </c>
      <c r="F225" s="55">
        <v>0</v>
      </c>
      <c r="G225" s="55">
        <v>0</v>
      </c>
      <c r="H225" s="55">
        <v>1</v>
      </c>
      <c r="I225" s="63">
        <v>0</v>
      </c>
      <c r="J225" s="55">
        <v>0</v>
      </c>
      <c r="K225" s="55">
        <v>1</v>
      </c>
      <c r="L225" s="55">
        <v>0</v>
      </c>
      <c r="M225" s="55">
        <v>0</v>
      </c>
      <c r="N225" s="55">
        <v>0</v>
      </c>
      <c r="O225" s="55">
        <v>0</v>
      </c>
      <c r="P225" s="55">
        <v>0</v>
      </c>
      <c r="Q225" s="56">
        <v>7</v>
      </c>
    </row>
    <row r="226" spans="2:17">
      <c r="B226" s="54">
        <v>40947</v>
      </c>
      <c r="C226" s="55">
        <v>22</v>
      </c>
      <c r="D226" s="55">
        <v>0</v>
      </c>
      <c r="E226" s="55">
        <v>0</v>
      </c>
      <c r="F226" s="55">
        <v>0</v>
      </c>
      <c r="G226" s="55">
        <v>0</v>
      </c>
      <c r="H226" s="55">
        <v>1</v>
      </c>
      <c r="I226" s="63">
        <v>0</v>
      </c>
      <c r="J226" s="55">
        <v>0</v>
      </c>
      <c r="K226" s="55">
        <v>0</v>
      </c>
      <c r="L226" s="55">
        <v>1</v>
      </c>
      <c r="M226" s="55">
        <v>0</v>
      </c>
      <c r="N226" s="55">
        <v>0</v>
      </c>
      <c r="O226" s="55">
        <v>0</v>
      </c>
      <c r="P226" s="55">
        <v>0</v>
      </c>
      <c r="Q226" s="56">
        <v>9</v>
      </c>
    </row>
    <row r="227" spans="2:17">
      <c r="B227" s="54">
        <v>40948</v>
      </c>
      <c r="C227" s="55">
        <v>14</v>
      </c>
      <c r="D227" s="55">
        <v>0</v>
      </c>
      <c r="E227" s="55">
        <v>0</v>
      </c>
      <c r="F227" s="55">
        <v>0</v>
      </c>
      <c r="G227" s="55">
        <v>0</v>
      </c>
      <c r="H227" s="55">
        <v>1</v>
      </c>
      <c r="I227" s="63">
        <v>0</v>
      </c>
      <c r="J227" s="55">
        <v>0</v>
      </c>
      <c r="K227" s="55">
        <v>0</v>
      </c>
      <c r="L227" s="55">
        <v>0</v>
      </c>
      <c r="M227" s="55">
        <v>1</v>
      </c>
      <c r="N227" s="55">
        <v>0</v>
      </c>
      <c r="O227" s="55">
        <v>0</v>
      </c>
      <c r="P227" s="55">
        <v>0</v>
      </c>
      <c r="Q227" s="56">
        <v>21</v>
      </c>
    </row>
    <row r="228" spans="2:17">
      <c r="B228" s="54">
        <v>40949</v>
      </c>
      <c r="C228" s="55">
        <v>25</v>
      </c>
      <c r="D228" s="55">
        <v>0</v>
      </c>
      <c r="E228" s="55">
        <v>0</v>
      </c>
      <c r="F228" s="55">
        <v>0</v>
      </c>
      <c r="G228" s="55">
        <v>0</v>
      </c>
      <c r="H228" s="55">
        <v>1</v>
      </c>
      <c r="I228" s="63">
        <v>0</v>
      </c>
      <c r="J228" s="55">
        <v>0</v>
      </c>
      <c r="K228" s="55">
        <v>0</v>
      </c>
      <c r="L228" s="55">
        <v>0</v>
      </c>
      <c r="M228" s="55">
        <v>0</v>
      </c>
      <c r="N228" s="55">
        <v>1</v>
      </c>
      <c r="O228" s="55">
        <v>0</v>
      </c>
      <c r="P228" s="55">
        <v>0</v>
      </c>
      <c r="Q228" s="56">
        <v>29</v>
      </c>
    </row>
    <row r="229" spans="2:17">
      <c r="B229" s="54">
        <v>40950</v>
      </c>
      <c r="C229" s="55">
        <v>36</v>
      </c>
      <c r="D229" s="55">
        <v>0</v>
      </c>
      <c r="E229" s="55">
        <v>0</v>
      </c>
      <c r="F229" s="55">
        <v>1</v>
      </c>
      <c r="G229" s="55">
        <v>1</v>
      </c>
      <c r="H229" s="55">
        <v>4</v>
      </c>
      <c r="I229" s="63">
        <v>1</v>
      </c>
      <c r="J229" s="55">
        <v>0</v>
      </c>
      <c r="K229" s="55">
        <v>0</v>
      </c>
      <c r="L229" s="55">
        <v>0</v>
      </c>
      <c r="M229" s="55">
        <v>0</v>
      </c>
      <c r="N229" s="55">
        <v>0</v>
      </c>
      <c r="O229" s="55">
        <v>1</v>
      </c>
      <c r="P229" s="55">
        <v>0</v>
      </c>
      <c r="Q229" s="56">
        <v>21</v>
      </c>
    </row>
    <row r="230" spans="2:17">
      <c r="B230" s="54">
        <v>40951</v>
      </c>
      <c r="C230" s="55">
        <v>22</v>
      </c>
      <c r="D230" s="55">
        <v>0</v>
      </c>
      <c r="E230" s="55">
        <v>0</v>
      </c>
      <c r="F230" s="55">
        <v>1</v>
      </c>
      <c r="G230" s="55">
        <v>0</v>
      </c>
      <c r="H230" s="55">
        <v>2</v>
      </c>
      <c r="I230" s="63">
        <v>0</v>
      </c>
      <c r="J230" s="55">
        <v>0</v>
      </c>
      <c r="K230" s="55">
        <v>0</v>
      </c>
      <c r="L230" s="55">
        <v>0</v>
      </c>
      <c r="M230" s="55">
        <v>0</v>
      </c>
      <c r="N230" s="55">
        <v>0</v>
      </c>
      <c r="O230" s="55">
        <v>0</v>
      </c>
      <c r="P230" s="55">
        <v>0</v>
      </c>
      <c r="Q230" s="56">
        <v>25</v>
      </c>
    </row>
    <row r="231" spans="2:17">
      <c r="B231" s="54">
        <v>40952</v>
      </c>
      <c r="C231" s="55">
        <v>23</v>
      </c>
      <c r="D231" s="55">
        <v>0</v>
      </c>
      <c r="E231" s="55">
        <v>0</v>
      </c>
      <c r="F231" s="55">
        <v>0</v>
      </c>
      <c r="G231" s="55">
        <v>0</v>
      </c>
      <c r="H231" s="55">
        <v>1</v>
      </c>
      <c r="I231" s="63">
        <v>0</v>
      </c>
      <c r="J231" s="55">
        <v>1</v>
      </c>
      <c r="K231" s="55">
        <v>0</v>
      </c>
      <c r="L231" s="55">
        <v>0</v>
      </c>
      <c r="M231" s="55">
        <v>0</v>
      </c>
      <c r="N231" s="55">
        <v>0</v>
      </c>
      <c r="O231" s="55">
        <v>0</v>
      </c>
      <c r="P231" s="55">
        <v>0</v>
      </c>
      <c r="Q231" s="56">
        <v>8</v>
      </c>
    </row>
    <row r="232" spans="2:17">
      <c r="B232" s="54">
        <v>40953</v>
      </c>
      <c r="C232" s="55">
        <v>18</v>
      </c>
      <c r="D232" s="55">
        <v>0</v>
      </c>
      <c r="E232" s="55">
        <v>0</v>
      </c>
      <c r="F232" s="55">
        <v>0</v>
      </c>
      <c r="G232" s="55">
        <v>0</v>
      </c>
      <c r="H232" s="55">
        <v>1</v>
      </c>
      <c r="I232" s="63">
        <v>0</v>
      </c>
      <c r="J232" s="55">
        <v>0</v>
      </c>
      <c r="K232" s="55">
        <v>1</v>
      </c>
      <c r="L232" s="55">
        <v>0</v>
      </c>
      <c r="M232" s="55">
        <v>0</v>
      </c>
      <c r="N232" s="55">
        <v>0</v>
      </c>
      <c r="O232" s="55">
        <v>0</v>
      </c>
      <c r="P232" s="55">
        <v>0</v>
      </c>
      <c r="Q232" s="56">
        <v>13</v>
      </c>
    </row>
    <row r="233" spans="2:17">
      <c r="B233" s="54">
        <v>40954</v>
      </c>
      <c r="C233" s="55">
        <v>23</v>
      </c>
      <c r="D233" s="55">
        <v>0</v>
      </c>
      <c r="E233" s="55">
        <v>0</v>
      </c>
      <c r="F233" s="55">
        <v>0</v>
      </c>
      <c r="G233" s="55">
        <v>0</v>
      </c>
      <c r="H233" s="55">
        <v>1</v>
      </c>
      <c r="I233" s="63">
        <v>0</v>
      </c>
      <c r="J233" s="55">
        <v>0</v>
      </c>
      <c r="K233" s="55">
        <v>0</v>
      </c>
      <c r="L233" s="55">
        <v>1</v>
      </c>
      <c r="M233" s="55">
        <v>0</v>
      </c>
      <c r="N233" s="55">
        <v>0</v>
      </c>
      <c r="O233" s="55">
        <v>0</v>
      </c>
      <c r="P233" s="55">
        <v>0</v>
      </c>
      <c r="Q233" s="56">
        <v>10</v>
      </c>
    </row>
    <row r="234" spans="2:17">
      <c r="B234" s="54">
        <v>40955</v>
      </c>
      <c r="C234" s="55">
        <v>22</v>
      </c>
      <c r="D234" s="55">
        <v>0</v>
      </c>
      <c r="E234" s="55">
        <v>0</v>
      </c>
      <c r="F234" s="55">
        <v>0</v>
      </c>
      <c r="G234" s="55">
        <v>0</v>
      </c>
      <c r="H234" s="55">
        <v>1</v>
      </c>
      <c r="I234" s="63">
        <v>0</v>
      </c>
      <c r="J234" s="55">
        <v>0</v>
      </c>
      <c r="K234" s="55">
        <v>0</v>
      </c>
      <c r="L234" s="55">
        <v>0</v>
      </c>
      <c r="M234" s="55">
        <v>1</v>
      </c>
      <c r="N234" s="55">
        <v>0</v>
      </c>
      <c r="O234" s="55">
        <v>0</v>
      </c>
      <c r="P234" s="55">
        <v>0</v>
      </c>
      <c r="Q234" s="56">
        <v>17</v>
      </c>
    </row>
    <row r="235" spans="2:17">
      <c r="B235" s="54">
        <v>40956</v>
      </c>
      <c r="C235" s="55">
        <v>25</v>
      </c>
      <c r="D235" s="55">
        <v>0</v>
      </c>
      <c r="E235" s="55">
        <v>0</v>
      </c>
      <c r="F235" s="55">
        <v>0</v>
      </c>
      <c r="G235" s="55">
        <v>0</v>
      </c>
      <c r="H235" s="55">
        <v>1</v>
      </c>
      <c r="I235" s="63">
        <v>0</v>
      </c>
      <c r="J235" s="55">
        <v>0</v>
      </c>
      <c r="K235" s="55">
        <v>0</v>
      </c>
      <c r="L235" s="55">
        <v>0</v>
      </c>
      <c r="M235" s="55">
        <v>0</v>
      </c>
      <c r="N235" s="55">
        <v>1</v>
      </c>
      <c r="O235" s="55">
        <v>0</v>
      </c>
      <c r="P235" s="55">
        <v>0</v>
      </c>
      <c r="Q235" s="56">
        <v>22</v>
      </c>
    </row>
    <row r="236" spans="2:17">
      <c r="B236" s="54">
        <v>40957</v>
      </c>
      <c r="C236" s="55">
        <v>33</v>
      </c>
      <c r="D236" s="55">
        <v>0</v>
      </c>
      <c r="E236" s="55">
        <v>0</v>
      </c>
      <c r="F236" s="55">
        <v>2</v>
      </c>
      <c r="G236" s="55">
        <v>1</v>
      </c>
      <c r="H236" s="55">
        <v>6</v>
      </c>
      <c r="I236" s="63">
        <v>0</v>
      </c>
      <c r="J236" s="55">
        <v>0</v>
      </c>
      <c r="K236" s="55">
        <v>0</v>
      </c>
      <c r="L236" s="55">
        <v>0</v>
      </c>
      <c r="M236" s="55">
        <v>0</v>
      </c>
      <c r="N236" s="55">
        <v>0</v>
      </c>
      <c r="O236" s="55">
        <v>1</v>
      </c>
      <c r="P236" s="55">
        <v>0</v>
      </c>
      <c r="Q236" s="56">
        <v>25</v>
      </c>
    </row>
    <row r="237" spans="2:17">
      <c r="B237" s="54">
        <v>40958</v>
      </c>
      <c r="C237" s="55">
        <v>31</v>
      </c>
      <c r="D237" s="55">
        <v>0</v>
      </c>
      <c r="E237" s="55">
        <v>0</v>
      </c>
      <c r="F237" s="55">
        <v>1</v>
      </c>
      <c r="G237" s="55">
        <v>1</v>
      </c>
      <c r="H237" s="55">
        <v>4</v>
      </c>
      <c r="I237" s="63">
        <v>0</v>
      </c>
      <c r="J237" s="55">
        <v>0</v>
      </c>
      <c r="K237" s="55">
        <v>0</v>
      </c>
      <c r="L237" s="55">
        <v>0</v>
      </c>
      <c r="M237" s="55">
        <v>0</v>
      </c>
      <c r="N237" s="55">
        <v>0</v>
      </c>
      <c r="O237" s="55">
        <v>0</v>
      </c>
      <c r="P237" s="55">
        <v>0</v>
      </c>
      <c r="Q237" s="56">
        <v>24</v>
      </c>
    </row>
    <row r="238" spans="2:17">
      <c r="B238" s="54">
        <v>40959</v>
      </c>
      <c r="C238" s="55">
        <v>26</v>
      </c>
      <c r="D238" s="55">
        <v>0</v>
      </c>
      <c r="E238" s="55">
        <v>0</v>
      </c>
      <c r="F238" s="55">
        <v>1</v>
      </c>
      <c r="G238" s="55">
        <v>0</v>
      </c>
      <c r="H238" s="55">
        <v>2</v>
      </c>
      <c r="I238" s="63">
        <v>0</v>
      </c>
      <c r="J238" s="55">
        <v>1</v>
      </c>
      <c r="K238" s="55">
        <v>0</v>
      </c>
      <c r="L238" s="55">
        <v>0</v>
      </c>
      <c r="M238" s="55">
        <v>0</v>
      </c>
      <c r="N238" s="55">
        <v>0</v>
      </c>
      <c r="O238" s="55">
        <v>0</v>
      </c>
      <c r="P238" s="55">
        <v>0</v>
      </c>
      <c r="Q238" s="56">
        <v>26</v>
      </c>
    </row>
    <row r="239" spans="2:17">
      <c r="B239" s="54">
        <v>40960</v>
      </c>
      <c r="C239" s="55">
        <v>24</v>
      </c>
      <c r="D239" s="55">
        <v>0</v>
      </c>
      <c r="E239" s="55">
        <v>0</v>
      </c>
      <c r="F239" s="55">
        <v>0</v>
      </c>
      <c r="G239" s="55">
        <v>0</v>
      </c>
      <c r="H239" s="55">
        <v>1</v>
      </c>
      <c r="I239" s="63">
        <v>0</v>
      </c>
      <c r="J239" s="55">
        <v>0</v>
      </c>
      <c r="K239" s="55">
        <v>1</v>
      </c>
      <c r="L239" s="55">
        <v>0</v>
      </c>
      <c r="M239" s="55">
        <v>0</v>
      </c>
      <c r="N239" s="55">
        <v>0</v>
      </c>
      <c r="O239" s="55">
        <v>0</v>
      </c>
      <c r="P239" s="55">
        <v>0</v>
      </c>
      <c r="Q239" s="56">
        <v>15</v>
      </c>
    </row>
    <row r="240" spans="2:17">
      <c r="B240" s="54">
        <v>40961</v>
      </c>
      <c r="C240" s="55">
        <v>32</v>
      </c>
      <c r="D240" s="55">
        <v>0</v>
      </c>
      <c r="E240" s="55">
        <v>0</v>
      </c>
      <c r="F240" s="55">
        <v>0</v>
      </c>
      <c r="G240" s="55">
        <v>0</v>
      </c>
      <c r="H240" s="55">
        <v>1</v>
      </c>
      <c r="I240" s="63">
        <v>0</v>
      </c>
      <c r="J240" s="55">
        <v>0</v>
      </c>
      <c r="K240" s="55">
        <v>0</v>
      </c>
      <c r="L240" s="55">
        <v>1</v>
      </c>
      <c r="M240" s="55">
        <v>0</v>
      </c>
      <c r="N240" s="55">
        <v>0</v>
      </c>
      <c r="O240" s="55">
        <v>0</v>
      </c>
      <c r="P240" s="55">
        <v>0</v>
      </c>
      <c r="Q240" s="56">
        <v>21</v>
      </c>
    </row>
    <row r="241" spans="2:17">
      <c r="B241" s="54">
        <v>40962</v>
      </c>
      <c r="C241" s="55">
        <v>29</v>
      </c>
      <c r="D241" s="55">
        <v>0</v>
      </c>
      <c r="E241" s="55">
        <v>0</v>
      </c>
      <c r="F241" s="55">
        <v>1</v>
      </c>
      <c r="G241" s="55">
        <v>0</v>
      </c>
      <c r="H241" s="55">
        <v>2</v>
      </c>
      <c r="I241" s="63">
        <v>0</v>
      </c>
      <c r="J241" s="55">
        <v>0</v>
      </c>
      <c r="K241" s="55">
        <v>0</v>
      </c>
      <c r="L241" s="55">
        <v>0</v>
      </c>
      <c r="M241" s="55">
        <v>1</v>
      </c>
      <c r="N241" s="55">
        <v>0</v>
      </c>
      <c r="O241" s="55">
        <v>0</v>
      </c>
      <c r="P241" s="55">
        <v>0</v>
      </c>
      <c r="Q241" s="56">
        <v>23</v>
      </c>
    </row>
    <row r="242" spans="2:17">
      <c r="B242" s="54">
        <v>40963</v>
      </c>
      <c r="C242" s="55">
        <v>43</v>
      </c>
      <c r="D242" s="55">
        <v>0</v>
      </c>
      <c r="E242" s="55">
        <v>0</v>
      </c>
      <c r="F242" s="55">
        <v>1</v>
      </c>
      <c r="G242" s="55">
        <v>1</v>
      </c>
      <c r="H242" s="55">
        <v>4</v>
      </c>
      <c r="I242" s="63">
        <v>0</v>
      </c>
      <c r="J242" s="55">
        <v>0</v>
      </c>
      <c r="K242" s="55">
        <v>0</v>
      </c>
      <c r="L242" s="55">
        <v>0</v>
      </c>
      <c r="M242" s="55">
        <v>0</v>
      </c>
      <c r="N242" s="55">
        <v>1</v>
      </c>
      <c r="O242" s="55">
        <v>0</v>
      </c>
      <c r="P242" s="55">
        <v>0</v>
      </c>
      <c r="Q242" s="56">
        <v>29</v>
      </c>
    </row>
    <row r="243" spans="2:17">
      <c r="B243" s="54">
        <v>40964</v>
      </c>
      <c r="C243" s="55">
        <v>49</v>
      </c>
      <c r="D243" s="55">
        <v>0</v>
      </c>
      <c r="E243" s="55">
        <v>0</v>
      </c>
      <c r="F243" s="55">
        <v>3</v>
      </c>
      <c r="G243" s="55">
        <v>2</v>
      </c>
      <c r="H243" s="55">
        <v>12</v>
      </c>
      <c r="I243" s="63">
        <v>0</v>
      </c>
      <c r="J243" s="55">
        <v>0</v>
      </c>
      <c r="K243" s="55">
        <v>0</v>
      </c>
      <c r="L243" s="55">
        <v>0</v>
      </c>
      <c r="M243" s="55">
        <v>0</v>
      </c>
      <c r="N243" s="55">
        <v>0</v>
      </c>
      <c r="O243" s="55">
        <v>1</v>
      </c>
      <c r="P243" s="55">
        <v>0</v>
      </c>
      <c r="Q243" s="56">
        <v>32</v>
      </c>
    </row>
    <row r="244" spans="2:17">
      <c r="B244" s="54">
        <v>40965</v>
      </c>
      <c r="C244" s="55">
        <v>47</v>
      </c>
      <c r="D244" s="55">
        <v>0</v>
      </c>
      <c r="E244" s="55">
        <v>0</v>
      </c>
      <c r="F244" s="55">
        <v>2</v>
      </c>
      <c r="G244" s="55">
        <v>1</v>
      </c>
      <c r="H244" s="55">
        <v>6</v>
      </c>
      <c r="I244" s="63">
        <v>0</v>
      </c>
      <c r="J244" s="55">
        <v>0</v>
      </c>
      <c r="K244" s="55">
        <v>0</v>
      </c>
      <c r="L244" s="55">
        <v>0</v>
      </c>
      <c r="M244" s="55">
        <v>0</v>
      </c>
      <c r="N244" s="55">
        <v>0</v>
      </c>
      <c r="O244" s="55">
        <v>0</v>
      </c>
      <c r="P244" s="55">
        <v>0</v>
      </c>
      <c r="Q244" s="56">
        <v>33</v>
      </c>
    </row>
    <row r="245" spans="2:17">
      <c r="B245" s="54">
        <v>40966</v>
      </c>
      <c r="C245" s="55">
        <v>41</v>
      </c>
      <c r="D245" s="55">
        <v>0</v>
      </c>
      <c r="E245" s="55">
        <v>0</v>
      </c>
      <c r="F245" s="55">
        <v>1</v>
      </c>
      <c r="G245" s="55">
        <v>1</v>
      </c>
      <c r="H245" s="55">
        <v>4</v>
      </c>
      <c r="I245" s="63">
        <v>0</v>
      </c>
      <c r="J245" s="55">
        <v>1</v>
      </c>
      <c r="K245" s="55">
        <v>0</v>
      </c>
      <c r="L245" s="55">
        <v>0</v>
      </c>
      <c r="M245" s="55">
        <v>0</v>
      </c>
      <c r="N245" s="55">
        <v>0</v>
      </c>
      <c r="O245" s="55">
        <v>0</v>
      </c>
      <c r="P245" s="55">
        <v>0</v>
      </c>
      <c r="Q245" s="56">
        <v>30</v>
      </c>
    </row>
    <row r="246" spans="2:17">
      <c r="B246" s="54">
        <v>40967</v>
      </c>
      <c r="C246" s="55">
        <v>40</v>
      </c>
      <c r="D246" s="55">
        <v>0</v>
      </c>
      <c r="E246" s="55">
        <v>0</v>
      </c>
      <c r="F246" s="55">
        <v>1</v>
      </c>
      <c r="G246" s="55">
        <v>1</v>
      </c>
      <c r="H246" s="55">
        <v>4</v>
      </c>
      <c r="I246" s="63">
        <v>0</v>
      </c>
      <c r="J246" s="55">
        <v>0</v>
      </c>
      <c r="K246" s="55">
        <v>1</v>
      </c>
      <c r="L246" s="55">
        <v>0</v>
      </c>
      <c r="M246" s="55">
        <v>0</v>
      </c>
      <c r="N246" s="55">
        <v>0</v>
      </c>
      <c r="O246" s="55">
        <v>0</v>
      </c>
      <c r="P246" s="55">
        <v>0</v>
      </c>
      <c r="Q246" s="56">
        <v>28</v>
      </c>
    </row>
    <row r="247" spans="2:17">
      <c r="B247" s="54">
        <v>40968</v>
      </c>
      <c r="C247" s="55">
        <v>39</v>
      </c>
      <c r="D247" s="55">
        <v>0</v>
      </c>
      <c r="E247" s="55">
        <v>0</v>
      </c>
      <c r="F247" s="55">
        <v>2</v>
      </c>
      <c r="G247" s="55">
        <v>1</v>
      </c>
      <c r="H247" s="55">
        <v>6</v>
      </c>
      <c r="I247" s="63">
        <v>0</v>
      </c>
      <c r="J247" s="55">
        <v>0</v>
      </c>
      <c r="K247" s="55">
        <v>0</v>
      </c>
      <c r="L247" s="55">
        <v>1</v>
      </c>
      <c r="M247" s="55">
        <v>0</v>
      </c>
      <c r="N247" s="55">
        <v>0</v>
      </c>
      <c r="O247" s="55">
        <v>0</v>
      </c>
      <c r="P247" s="55">
        <v>0</v>
      </c>
      <c r="Q247" s="56">
        <v>21</v>
      </c>
    </row>
    <row r="248" spans="2:17">
      <c r="B248" s="54">
        <v>40969</v>
      </c>
      <c r="C248" s="55">
        <v>36</v>
      </c>
      <c r="D248" s="55">
        <v>0</v>
      </c>
      <c r="E248" s="55">
        <v>0</v>
      </c>
      <c r="F248" s="55">
        <v>1</v>
      </c>
      <c r="G248" s="55">
        <v>1</v>
      </c>
      <c r="H248" s="55">
        <v>4</v>
      </c>
      <c r="I248" s="63">
        <v>0</v>
      </c>
      <c r="J248" s="55">
        <v>0</v>
      </c>
      <c r="K248" s="55">
        <v>0</v>
      </c>
      <c r="L248" s="55">
        <v>0</v>
      </c>
      <c r="M248" s="55">
        <v>1</v>
      </c>
      <c r="N248" s="55">
        <v>0</v>
      </c>
      <c r="O248" s="55">
        <v>0</v>
      </c>
      <c r="P248" s="55">
        <v>1</v>
      </c>
      <c r="Q248" s="56">
        <v>20</v>
      </c>
    </row>
    <row r="249" spans="2:17">
      <c r="B249" s="54">
        <v>40970</v>
      </c>
      <c r="C249" s="55">
        <v>45</v>
      </c>
      <c r="D249" s="55">
        <v>0</v>
      </c>
      <c r="E249" s="55">
        <v>0</v>
      </c>
      <c r="F249" s="55">
        <v>1</v>
      </c>
      <c r="G249" s="55">
        <v>1</v>
      </c>
      <c r="H249" s="55">
        <v>4</v>
      </c>
      <c r="I249" s="63">
        <v>0</v>
      </c>
      <c r="J249" s="55">
        <v>0</v>
      </c>
      <c r="K249" s="55">
        <v>0</v>
      </c>
      <c r="L249" s="55">
        <v>0</v>
      </c>
      <c r="M249" s="55">
        <v>0</v>
      </c>
      <c r="N249" s="55">
        <v>1</v>
      </c>
      <c r="O249" s="55">
        <v>0</v>
      </c>
      <c r="P249" s="55">
        <v>1</v>
      </c>
      <c r="Q249" s="56">
        <v>12</v>
      </c>
    </row>
    <row r="250" spans="2:17">
      <c r="B250" s="54">
        <v>40971</v>
      </c>
      <c r="C250" s="55">
        <v>37</v>
      </c>
      <c r="D250" s="55">
        <v>0</v>
      </c>
      <c r="E250" s="55">
        <v>0</v>
      </c>
      <c r="F250" s="55">
        <v>2</v>
      </c>
      <c r="G250" s="55">
        <v>1</v>
      </c>
      <c r="H250" s="55">
        <v>6</v>
      </c>
      <c r="I250" s="63">
        <v>0</v>
      </c>
      <c r="J250" s="55">
        <v>0</v>
      </c>
      <c r="K250" s="55">
        <v>0</v>
      </c>
      <c r="L250" s="55">
        <v>0</v>
      </c>
      <c r="M250" s="55">
        <v>0</v>
      </c>
      <c r="N250" s="55">
        <v>0</v>
      </c>
      <c r="O250" s="55">
        <v>1</v>
      </c>
      <c r="P250" s="55">
        <v>1</v>
      </c>
      <c r="Q250" s="56">
        <v>27</v>
      </c>
    </row>
    <row r="251" spans="2:17">
      <c r="B251" s="54">
        <v>40972</v>
      </c>
      <c r="C251" s="55">
        <v>30</v>
      </c>
      <c r="D251" s="55">
        <v>0</v>
      </c>
      <c r="E251" s="55">
        <v>0</v>
      </c>
      <c r="F251" s="55">
        <v>1</v>
      </c>
      <c r="G251" s="55">
        <v>1</v>
      </c>
      <c r="H251" s="55">
        <v>4</v>
      </c>
      <c r="I251" s="63">
        <v>0</v>
      </c>
      <c r="J251" s="55">
        <v>0</v>
      </c>
      <c r="K251" s="55">
        <v>0</v>
      </c>
      <c r="L251" s="55">
        <v>0</v>
      </c>
      <c r="M251" s="55">
        <v>0</v>
      </c>
      <c r="N251" s="55">
        <v>0</v>
      </c>
      <c r="O251" s="55">
        <v>0</v>
      </c>
      <c r="P251" s="55">
        <v>1</v>
      </c>
      <c r="Q251" s="56">
        <v>21</v>
      </c>
    </row>
    <row r="252" spans="2:17">
      <c r="B252" s="54">
        <v>40973</v>
      </c>
      <c r="C252" s="55">
        <v>29</v>
      </c>
      <c r="D252" s="55">
        <v>0</v>
      </c>
      <c r="E252" s="55">
        <v>0</v>
      </c>
      <c r="F252" s="55">
        <v>0</v>
      </c>
      <c r="G252" s="55">
        <v>0</v>
      </c>
      <c r="H252" s="55">
        <v>1</v>
      </c>
      <c r="I252" s="63">
        <v>0</v>
      </c>
      <c r="J252" s="55">
        <v>1</v>
      </c>
      <c r="K252" s="55">
        <v>0</v>
      </c>
      <c r="L252" s="55">
        <v>0</v>
      </c>
      <c r="M252" s="55">
        <v>0</v>
      </c>
      <c r="N252" s="55">
        <v>0</v>
      </c>
      <c r="O252" s="55">
        <v>0</v>
      </c>
      <c r="P252" s="55">
        <v>1</v>
      </c>
      <c r="Q252" s="56">
        <v>22</v>
      </c>
    </row>
    <row r="253" spans="2:17">
      <c r="B253" s="54">
        <v>40974</v>
      </c>
      <c r="C253" s="55">
        <v>30</v>
      </c>
      <c r="D253" s="55">
        <v>0</v>
      </c>
      <c r="E253" s="55">
        <v>0</v>
      </c>
      <c r="F253" s="55">
        <v>0</v>
      </c>
      <c r="G253" s="55">
        <v>0</v>
      </c>
      <c r="H253" s="55">
        <v>1</v>
      </c>
      <c r="I253" s="63">
        <v>0</v>
      </c>
      <c r="J253" s="55">
        <v>0</v>
      </c>
      <c r="K253" s="55">
        <v>1</v>
      </c>
      <c r="L253" s="55">
        <v>0</v>
      </c>
      <c r="M253" s="55">
        <v>0</v>
      </c>
      <c r="N253" s="55">
        <v>0</v>
      </c>
      <c r="O253" s="55">
        <v>0</v>
      </c>
      <c r="P253" s="55">
        <v>1</v>
      </c>
      <c r="Q253" s="56">
        <v>21</v>
      </c>
    </row>
    <row r="254" spans="2:17">
      <c r="B254" s="54">
        <v>40975</v>
      </c>
      <c r="C254" s="55">
        <v>38</v>
      </c>
      <c r="D254" s="55">
        <v>0</v>
      </c>
      <c r="E254" s="55">
        <v>0</v>
      </c>
      <c r="F254" s="55">
        <v>0</v>
      </c>
      <c r="G254" s="55">
        <v>0</v>
      </c>
      <c r="H254" s="55">
        <v>1</v>
      </c>
      <c r="I254" s="63">
        <v>0</v>
      </c>
      <c r="J254" s="55">
        <v>0</v>
      </c>
      <c r="K254" s="55">
        <v>0</v>
      </c>
      <c r="L254" s="55">
        <v>1</v>
      </c>
      <c r="M254" s="55">
        <v>0</v>
      </c>
      <c r="N254" s="55">
        <v>0</v>
      </c>
      <c r="O254" s="55">
        <v>0</v>
      </c>
      <c r="P254" s="55">
        <v>1</v>
      </c>
      <c r="Q254" s="56">
        <v>15</v>
      </c>
    </row>
    <row r="255" spans="2:17">
      <c r="B255" s="54">
        <v>40976</v>
      </c>
      <c r="C255" s="55">
        <v>32</v>
      </c>
      <c r="D255" s="55">
        <v>0</v>
      </c>
      <c r="E255" s="55">
        <v>0</v>
      </c>
      <c r="F255" s="55">
        <v>0</v>
      </c>
      <c r="G255" s="55">
        <v>0</v>
      </c>
      <c r="H255" s="55">
        <v>1</v>
      </c>
      <c r="I255" s="63">
        <v>0</v>
      </c>
      <c r="J255" s="55">
        <v>0</v>
      </c>
      <c r="K255" s="55">
        <v>0</v>
      </c>
      <c r="L255" s="55">
        <v>0</v>
      </c>
      <c r="M255" s="55">
        <v>1</v>
      </c>
      <c r="N255" s="55">
        <v>0</v>
      </c>
      <c r="O255" s="55">
        <v>0</v>
      </c>
      <c r="P255" s="55">
        <v>1</v>
      </c>
      <c r="Q255" s="56">
        <v>21</v>
      </c>
    </row>
    <row r="256" spans="2:17">
      <c r="B256" s="54">
        <v>40977</v>
      </c>
      <c r="C256" s="55">
        <v>33</v>
      </c>
      <c r="D256" s="55">
        <v>0</v>
      </c>
      <c r="E256" s="55">
        <v>0</v>
      </c>
      <c r="F256" s="55">
        <v>0</v>
      </c>
      <c r="G256" s="55">
        <v>0</v>
      </c>
      <c r="H256" s="55">
        <v>1</v>
      </c>
      <c r="I256" s="63">
        <v>0</v>
      </c>
      <c r="J256" s="55">
        <v>0</v>
      </c>
      <c r="K256" s="55">
        <v>0</v>
      </c>
      <c r="L256" s="55">
        <v>0</v>
      </c>
      <c r="M256" s="55">
        <v>0</v>
      </c>
      <c r="N256" s="55">
        <v>1</v>
      </c>
      <c r="O256" s="55">
        <v>0</v>
      </c>
      <c r="P256" s="55">
        <v>1</v>
      </c>
      <c r="Q256" s="56">
        <v>17</v>
      </c>
    </row>
    <row r="257" spans="2:17">
      <c r="B257" s="54">
        <v>40978</v>
      </c>
      <c r="C257" s="55">
        <v>30</v>
      </c>
      <c r="D257" s="55">
        <v>0</v>
      </c>
      <c r="E257" s="55">
        <v>0</v>
      </c>
      <c r="F257" s="55">
        <v>2</v>
      </c>
      <c r="G257" s="55">
        <v>1</v>
      </c>
      <c r="H257" s="55">
        <v>6</v>
      </c>
      <c r="I257" s="63">
        <v>0</v>
      </c>
      <c r="J257" s="55">
        <v>0</v>
      </c>
      <c r="K257" s="55">
        <v>0</v>
      </c>
      <c r="L257" s="55">
        <v>0</v>
      </c>
      <c r="M257" s="55">
        <v>0</v>
      </c>
      <c r="N257" s="55">
        <v>0</v>
      </c>
      <c r="O257" s="55">
        <v>1</v>
      </c>
      <c r="P257" s="55">
        <v>1</v>
      </c>
      <c r="Q257" s="56">
        <v>25</v>
      </c>
    </row>
    <row r="258" spans="2:17">
      <c r="B258" s="54">
        <v>40979</v>
      </c>
      <c r="C258" s="55">
        <v>28</v>
      </c>
      <c r="D258" s="55">
        <v>0</v>
      </c>
      <c r="E258" s="55">
        <v>0</v>
      </c>
      <c r="F258" s="55">
        <v>1</v>
      </c>
      <c r="G258" s="55">
        <v>1</v>
      </c>
      <c r="H258" s="55">
        <v>4</v>
      </c>
      <c r="I258" s="63">
        <v>0</v>
      </c>
      <c r="J258" s="55">
        <v>0</v>
      </c>
      <c r="K258" s="55">
        <v>0</v>
      </c>
      <c r="L258" s="55">
        <v>0</v>
      </c>
      <c r="M258" s="55">
        <v>0</v>
      </c>
      <c r="N258" s="55">
        <v>0</v>
      </c>
      <c r="O258" s="55">
        <v>0</v>
      </c>
      <c r="P258" s="55">
        <v>1</v>
      </c>
      <c r="Q258" s="56">
        <v>17</v>
      </c>
    </row>
    <row r="259" spans="2:17">
      <c r="B259" s="54">
        <v>40980</v>
      </c>
      <c r="C259" s="55">
        <v>31</v>
      </c>
      <c r="D259" s="55">
        <v>0</v>
      </c>
      <c r="E259" s="55">
        <v>0</v>
      </c>
      <c r="F259" s="55">
        <v>0</v>
      </c>
      <c r="G259" s="55">
        <v>0</v>
      </c>
      <c r="H259" s="55">
        <v>1</v>
      </c>
      <c r="I259" s="63">
        <v>0</v>
      </c>
      <c r="J259" s="55">
        <v>1</v>
      </c>
      <c r="K259" s="55">
        <v>0</v>
      </c>
      <c r="L259" s="55">
        <v>0</v>
      </c>
      <c r="M259" s="55">
        <v>0</v>
      </c>
      <c r="N259" s="55">
        <v>0</v>
      </c>
      <c r="O259" s="55">
        <v>0</v>
      </c>
      <c r="P259" s="55">
        <v>1</v>
      </c>
      <c r="Q259" s="56">
        <v>27</v>
      </c>
    </row>
    <row r="260" spans="2:17">
      <c r="B260" s="54">
        <v>40981</v>
      </c>
      <c r="C260" s="55">
        <v>35</v>
      </c>
      <c r="D260" s="55">
        <v>0</v>
      </c>
      <c r="E260" s="55">
        <v>0</v>
      </c>
      <c r="F260" s="55">
        <v>0</v>
      </c>
      <c r="G260" s="55">
        <v>0</v>
      </c>
      <c r="H260" s="55">
        <v>1</v>
      </c>
      <c r="I260" s="63">
        <v>0</v>
      </c>
      <c r="J260" s="55">
        <v>0</v>
      </c>
      <c r="K260" s="55">
        <v>1</v>
      </c>
      <c r="L260" s="55">
        <v>0</v>
      </c>
      <c r="M260" s="55">
        <v>0</v>
      </c>
      <c r="N260" s="55">
        <v>0</v>
      </c>
      <c r="O260" s="55">
        <v>0</v>
      </c>
      <c r="P260" s="55">
        <v>1</v>
      </c>
      <c r="Q260" s="56">
        <v>31</v>
      </c>
    </row>
    <row r="261" spans="2:17">
      <c r="B261" s="54">
        <v>40982</v>
      </c>
      <c r="C261" s="55">
        <v>30</v>
      </c>
      <c r="D261" s="55">
        <v>0</v>
      </c>
      <c r="E261" s="55">
        <v>0</v>
      </c>
      <c r="F261" s="55">
        <v>1</v>
      </c>
      <c r="G261" s="55">
        <v>0</v>
      </c>
      <c r="H261" s="55">
        <v>2</v>
      </c>
      <c r="I261" s="63">
        <v>0</v>
      </c>
      <c r="J261" s="55">
        <v>0</v>
      </c>
      <c r="K261" s="55">
        <v>0</v>
      </c>
      <c r="L261" s="55">
        <v>1</v>
      </c>
      <c r="M261" s="55">
        <v>0</v>
      </c>
      <c r="N261" s="55">
        <v>0</v>
      </c>
      <c r="O261" s="55">
        <v>0</v>
      </c>
      <c r="P261" s="55">
        <v>1</v>
      </c>
      <c r="Q261" s="56">
        <v>34</v>
      </c>
    </row>
    <row r="262" spans="2:17">
      <c r="B262" s="54">
        <v>40983</v>
      </c>
      <c r="C262" s="55">
        <v>36</v>
      </c>
      <c r="D262" s="55">
        <v>0</v>
      </c>
      <c r="E262" s="55">
        <v>0</v>
      </c>
      <c r="F262" s="55">
        <v>1</v>
      </c>
      <c r="G262" s="55">
        <v>1</v>
      </c>
      <c r="H262" s="55">
        <v>4</v>
      </c>
      <c r="I262" s="63">
        <v>0</v>
      </c>
      <c r="J262" s="55">
        <v>0</v>
      </c>
      <c r="K262" s="55">
        <v>0</v>
      </c>
      <c r="L262" s="55">
        <v>0</v>
      </c>
      <c r="M262" s="55">
        <v>1</v>
      </c>
      <c r="N262" s="55">
        <v>0</v>
      </c>
      <c r="O262" s="55">
        <v>0</v>
      </c>
      <c r="P262" s="55">
        <v>1</v>
      </c>
      <c r="Q262" s="56">
        <v>34</v>
      </c>
    </row>
    <row r="263" spans="2:17">
      <c r="B263" s="54">
        <v>40984</v>
      </c>
      <c r="C263" s="55">
        <v>50</v>
      </c>
      <c r="D263" s="55">
        <v>0</v>
      </c>
      <c r="E263" s="55">
        <v>0</v>
      </c>
      <c r="F263" s="55">
        <v>2</v>
      </c>
      <c r="G263" s="55">
        <v>2</v>
      </c>
      <c r="H263" s="55">
        <v>9</v>
      </c>
      <c r="I263" s="63">
        <v>0</v>
      </c>
      <c r="J263" s="55">
        <v>0</v>
      </c>
      <c r="K263" s="55">
        <v>0</v>
      </c>
      <c r="L263" s="55">
        <v>0</v>
      </c>
      <c r="M263" s="55">
        <v>0</v>
      </c>
      <c r="N263" s="55">
        <v>1</v>
      </c>
      <c r="O263" s="55">
        <v>0</v>
      </c>
      <c r="P263" s="55">
        <v>1</v>
      </c>
      <c r="Q263" s="56">
        <v>42</v>
      </c>
    </row>
    <row r="264" spans="2:17">
      <c r="B264" s="54">
        <v>40985</v>
      </c>
      <c r="C264" s="55">
        <v>58</v>
      </c>
      <c r="D264" s="55">
        <v>0</v>
      </c>
      <c r="E264" s="55">
        <v>0</v>
      </c>
      <c r="F264" s="55">
        <v>3</v>
      </c>
      <c r="G264" s="55">
        <v>3</v>
      </c>
      <c r="H264" s="55">
        <v>16</v>
      </c>
      <c r="I264" s="63">
        <v>0</v>
      </c>
      <c r="J264" s="55">
        <v>0</v>
      </c>
      <c r="K264" s="55">
        <v>0</v>
      </c>
      <c r="L264" s="55">
        <v>0</v>
      </c>
      <c r="M264" s="55">
        <v>0</v>
      </c>
      <c r="N264" s="55">
        <v>0</v>
      </c>
      <c r="O264" s="55">
        <v>1</v>
      </c>
      <c r="P264" s="55">
        <v>1</v>
      </c>
      <c r="Q264" s="56">
        <v>40</v>
      </c>
    </row>
    <row r="265" spans="2:17">
      <c r="B265" s="54">
        <v>40986</v>
      </c>
      <c r="C265" s="55">
        <v>45</v>
      </c>
      <c r="D265" s="55">
        <v>0</v>
      </c>
      <c r="E265" s="55">
        <v>0</v>
      </c>
      <c r="F265" s="55">
        <v>3</v>
      </c>
      <c r="G265" s="55">
        <v>2</v>
      </c>
      <c r="H265" s="55">
        <v>12</v>
      </c>
      <c r="I265" s="63">
        <v>0</v>
      </c>
      <c r="J265" s="55">
        <v>0</v>
      </c>
      <c r="K265" s="55">
        <v>0</v>
      </c>
      <c r="L265" s="55">
        <v>0</v>
      </c>
      <c r="M265" s="55">
        <v>0</v>
      </c>
      <c r="N265" s="55">
        <v>0</v>
      </c>
      <c r="O265" s="55">
        <v>0</v>
      </c>
      <c r="P265" s="55">
        <v>1</v>
      </c>
      <c r="Q265" s="56">
        <v>41</v>
      </c>
    </row>
    <row r="266" spans="2:17">
      <c r="B266" s="54">
        <v>40987</v>
      </c>
      <c r="C266" s="55">
        <v>48</v>
      </c>
      <c r="D266" s="55">
        <v>0</v>
      </c>
      <c r="E266" s="55">
        <v>0</v>
      </c>
      <c r="F266" s="55">
        <v>2</v>
      </c>
      <c r="G266" s="55">
        <v>2</v>
      </c>
      <c r="H266" s="55">
        <v>9</v>
      </c>
      <c r="I266" s="63">
        <v>0</v>
      </c>
      <c r="J266" s="55">
        <v>1</v>
      </c>
      <c r="K266" s="55">
        <v>0</v>
      </c>
      <c r="L266" s="55">
        <v>0</v>
      </c>
      <c r="M266" s="55">
        <v>0</v>
      </c>
      <c r="N266" s="55">
        <v>0</v>
      </c>
      <c r="O266" s="55">
        <v>0</v>
      </c>
      <c r="P266" s="55">
        <v>1</v>
      </c>
      <c r="Q266" s="56">
        <v>39</v>
      </c>
    </row>
    <row r="267" spans="2:17">
      <c r="B267" s="54">
        <v>40988</v>
      </c>
      <c r="C267" s="55">
        <v>51</v>
      </c>
      <c r="D267" s="55">
        <v>0</v>
      </c>
      <c r="E267" s="55">
        <v>0</v>
      </c>
      <c r="F267" s="55">
        <v>3</v>
      </c>
      <c r="G267" s="55">
        <v>2</v>
      </c>
      <c r="H267" s="55">
        <v>12</v>
      </c>
      <c r="I267" s="63">
        <v>1</v>
      </c>
      <c r="J267" s="55">
        <v>0</v>
      </c>
      <c r="K267" s="55">
        <v>1</v>
      </c>
      <c r="L267" s="55">
        <v>0</v>
      </c>
      <c r="M267" s="55">
        <v>0</v>
      </c>
      <c r="N267" s="55">
        <v>0</v>
      </c>
      <c r="O267" s="55">
        <v>0</v>
      </c>
      <c r="P267" s="55">
        <v>1</v>
      </c>
      <c r="Q267" s="56">
        <v>39</v>
      </c>
    </row>
    <row r="268" spans="2:17">
      <c r="B268" s="54">
        <v>40989</v>
      </c>
      <c r="C268" s="55">
        <v>60</v>
      </c>
      <c r="D268" s="55">
        <v>0</v>
      </c>
      <c r="E268" s="55">
        <v>0</v>
      </c>
      <c r="F268" s="55">
        <v>2</v>
      </c>
      <c r="G268" s="55">
        <v>2</v>
      </c>
      <c r="H268" s="55">
        <v>9</v>
      </c>
      <c r="I268" s="63">
        <v>0</v>
      </c>
      <c r="J268" s="55">
        <v>0</v>
      </c>
      <c r="K268" s="55">
        <v>0</v>
      </c>
      <c r="L268" s="55">
        <v>1</v>
      </c>
      <c r="M268" s="55">
        <v>0</v>
      </c>
      <c r="N268" s="55">
        <v>0</v>
      </c>
      <c r="O268" s="55">
        <v>0</v>
      </c>
      <c r="P268" s="55">
        <v>1</v>
      </c>
      <c r="Q268" s="56">
        <v>37</v>
      </c>
    </row>
    <row r="269" spans="2:17">
      <c r="B269" s="54">
        <v>40990</v>
      </c>
      <c r="C269" s="55">
        <v>49</v>
      </c>
      <c r="D269" s="55">
        <v>0</v>
      </c>
      <c r="E269" s="55">
        <v>0</v>
      </c>
      <c r="F269" s="55">
        <v>3</v>
      </c>
      <c r="G269" s="55">
        <v>2</v>
      </c>
      <c r="H269" s="55">
        <v>12</v>
      </c>
      <c r="I269" s="63">
        <v>0</v>
      </c>
      <c r="J269" s="55">
        <v>0</v>
      </c>
      <c r="K269" s="55">
        <v>0</v>
      </c>
      <c r="L269" s="55">
        <v>0</v>
      </c>
      <c r="M269" s="55">
        <v>1</v>
      </c>
      <c r="N269" s="55">
        <v>0</v>
      </c>
      <c r="O269" s="55">
        <v>0</v>
      </c>
      <c r="P269" s="55">
        <v>1</v>
      </c>
      <c r="Q269" s="56">
        <v>36</v>
      </c>
    </row>
    <row r="270" spans="2:17">
      <c r="B270" s="54">
        <v>40991</v>
      </c>
      <c r="C270" s="55">
        <v>47</v>
      </c>
      <c r="D270" s="55">
        <v>0</v>
      </c>
      <c r="E270" s="55">
        <v>0</v>
      </c>
      <c r="F270" s="55">
        <v>4</v>
      </c>
      <c r="G270" s="55">
        <v>3</v>
      </c>
      <c r="H270" s="55">
        <v>20</v>
      </c>
      <c r="I270" s="63">
        <v>0</v>
      </c>
      <c r="J270" s="55">
        <v>0</v>
      </c>
      <c r="K270" s="55">
        <v>0</v>
      </c>
      <c r="L270" s="55">
        <v>0</v>
      </c>
      <c r="M270" s="55">
        <v>0</v>
      </c>
      <c r="N270" s="55">
        <v>1</v>
      </c>
      <c r="O270" s="55">
        <v>0</v>
      </c>
      <c r="P270" s="55">
        <v>1</v>
      </c>
      <c r="Q270" s="56">
        <v>35</v>
      </c>
    </row>
    <row r="271" spans="2:17">
      <c r="B271" s="54">
        <v>40992</v>
      </c>
      <c r="C271" s="55">
        <v>55</v>
      </c>
      <c r="D271" s="55">
        <v>0</v>
      </c>
      <c r="E271" s="55">
        <v>0</v>
      </c>
      <c r="F271" s="55">
        <v>5</v>
      </c>
      <c r="G271" s="55">
        <v>4</v>
      </c>
      <c r="H271" s="55">
        <v>30</v>
      </c>
      <c r="I271" s="63">
        <v>0</v>
      </c>
      <c r="J271" s="55">
        <v>0</v>
      </c>
      <c r="K271" s="55">
        <v>0</v>
      </c>
      <c r="L271" s="55">
        <v>0</v>
      </c>
      <c r="M271" s="55">
        <v>0</v>
      </c>
      <c r="N271" s="55">
        <v>0</v>
      </c>
      <c r="O271" s="55">
        <v>1</v>
      </c>
      <c r="P271" s="55">
        <v>1</v>
      </c>
      <c r="Q271" s="56">
        <v>40</v>
      </c>
    </row>
    <row r="272" spans="2:17">
      <c r="B272" s="54">
        <v>40993</v>
      </c>
      <c r="C272" s="55">
        <v>49</v>
      </c>
      <c r="D272" s="55">
        <v>0</v>
      </c>
      <c r="E272" s="55">
        <v>0</v>
      </c>
      <c r="F272" s="55">
        <v>4</v>
      </c>
      <c r="G272" s="55">
        <v>5</v>
      </c>
      <c r="H272" s="55">
        <v>30</v>
      </c>
      <c r="I272" s="63">
        <v>0</v>
      </c>
      <c r="J272" s="55">
        <v>0</v>
      </c>
      <c r="K272" s="55">
        <v>0</v>
      </c>
      <c r="L272" s="55">
        <v>0</v>
      </c>
      <c r="M272" s="55">
        <v>0</v>
      </c>
      <c r="N272" s="55">
        <v>0</v>
      </c>
      <c r="O272" s="55">
        <v>0</v>
      </c>
      <c r="P272" s="55">
        <v>1</v>
      </c>
      <c r="Q272" s="56">
        <v>35</v>
      </c>
    </row>
    <row r="273" spans="2:17">
      <c r="B273" s="54">
        <v>40994</v>
      </c>
      <c r="C273" s="55">
        <v>69</v>
      </c>
      <c r="D273" s="55">
        <v>0</v>
      </c>
      <c r="E273" s="55">
        <v>0</v>
      </c>
      <c r="F273" s="55">
        <v>3</v>
      </c>
      <c r="G273" s="55">
        <v>2</v>
      </c>
      <c r="H273" s="55">
        <v>12</v>
      </c>
      <c r="I273" s="63">
        <v>0</v>
      </c>
      <c r="J273" s="55">
        <v>1</v>
      </c>
      <c r="K273" s="55">
        <v>0</v>
      </c>
      <c r="L273" s="55">
        <v>0</v>
      </c>
      <c r="M273" s="55">
        <v>0</v>
      </c>
      <c r="N273" s="55">
        <v>0</v>
      </c>
      <c r="O273" s="55">
        <v>0</v>
      </c>
      <c r="P273" s="55">
        <v>1</v>
      </c>
      <c r="Q273" s="56">
        <v>49</v>
      </c>
    </row>
    <row r="274" spans="2:17">
      <c r="B274" s="54">
        <v>40995</v>
      </c>
      <c r="C274" s="55">
        <v>88</v>
      </c>
      <c r="D274" s="55">
        <v>0</v>
      </c>
      <c r="E274" s="55">
        <v>0</v>
      </c>
      <c r="F274" s="55">
        <v>3</v>
      </c>
      <c r="G274" s="55">
        <v>2</v>
      </c>
      <c r="H274" s="55">
        <v>12</v>
      </c>
      <c r="I274" s="63">
        <v>0</v>
      </c>
      <c r="J274" s="55">
        <v>0</v>
      </c>
      <c r="K274" s="55">
        <v>1</v>
      </c>
      <c r="L274" s="55">
        <v>0</v>
      </c>
      <c r="M274" s="55">
        <v>0</v>
      </c>
      <c r="N274" s="55">
        <v>0</v>
      </c>
      <c r="O274" s="55">
        <v>0</v>
      </c>
      <c r="P274" s="55">
        <v>1</v>
      </c>
      <c r="Q274" s="56">
        <v>37</v>
      </c>
    </row>
    <row r="275" spans="2:17">
      <c r="B275" s="54">
        <v>40996</v>
      </c>
      <c r="C275" s="55">
        <v>66</v>
      </c>
      <c r="D275" s="55">
        <v>0</v>
      </c>
      <c r="E275" s="55">
        <v>0</v>
      </c>
      <c r="F275" s="55">
        <v>2</v>
      </c>
      <c r="G275" s="55">
        <v>2</v>
      </c>
      <c r="H275" s="55">
        <v>9</v>
      </c>
      <c r="I275" s="63">
        <v>0</v>
      </c>
      <c r="J275" s="55">
        <v>0</v>
      </c>
      <c r="K275" s="55">
        <v>0</v>
      </c>
      <c r="L275" s="55">
        <v>1</v>
      </c>
      <c r="M275" s="55">
        <v>0</v>
      </c>
      <c r="N275" s="55">
        <v>0</v>
      </c>
      <c r="O275" s="55">
        <v>0</v>
      </c>
      <c r="P275" s="55">
        <v>1</v>
      </c>
      <c r="Q275" s="56">
        <v>38</v>
      </c>
    </row>
    <row r="276" spans="2:17">
      <c r="B276" s="54">
        <v>40997</v>
      </c>
      <c r="C276" s="55">
        <v>63</v>
      </c>
      <c r="D276" s="55">
        <v>0</v>
      </c>
      <c r="E276" s="55">
        <v>0</v>
      </c>
      <c r="F276" s="55">
        <v>4</v>
      </c>
      <c r="G276" s="55">
        <v>2</v>
      </c>
      <c r="H276" s="55">
        <v>15</v>
      </c>
      <c r="I276" s="63">
        <v>0</v>
      </c>
      <c r="J276" s="55">
        <v>0</v>
      </c>
      <c r="K276" s="55">
        <v>0</v>
      </c>
      <c r="L276" s="55">
        <v>0</v>
      </c>
      <c r="M276" s="55">
        <v>1</v>
      </c>
      <c r="N276" s="55">
        <v>0</v>
      </c>
      <c r="O276" s="55">
        <v>0</v>
      </c>
      <c r="P276" s="55">
        <v>1</v>
      </c>
      <c r="Q276" s="56">
        <v>34</v>
      </c>
    </row>
    <row r="277" spans="2:17">
      <c r="B277" s="54">
        <v>40998</v>
      </c>
      <c r="C277" s="55">
        <v>69</v>
      </c>
      <c r="D277" s="55">
        <v>0</v>
      </c>
      <c r="E277" s="55">
        <v>0</v>
      </c>
      <c r="F277" s="55">
        <v>4</v>
      </c>
      <c r="G277" s="55">
        <v>4</v>
      </c>
      <c r="H277" s="55">
        <v>25</v>
      </c>
      <c r="I277" s="63">
        <v>0</v>
      </c>
      <c r="J277" s="55">
        <v>0</v>
      </c>
      <c r="K277" s="55">
        <v>0</v>
      </c>
      <c r="L277" s="55">
        <v>0</v>
      </c>
      <c r="M277" s="55">
        <v>0</v>
      </c>
      <c r="N277" s="55">
        <v>1</v>
      </c>
      <c r="O277" s="55">
        <v>0</v>
      </c>
      <c r="P277" s="55">
        <v>1</v>
      </c>
      <c r="Q277" s="56">
        <v>48</v>
      </c>
    </row>
    <row r="278" spans="2:17">
      <c r="B278" s="54">
        <v>40999</v>
      </c>
      <c r="C278" s="55">
        <v>63</v>
      </c>
      <c r="D278" s="55">
        <v>0</v>
      </c>
      <c r="E278" s="55">
        <v>0</v>
      </c>
      <c r="F278" s="55">
        <v>5</v>
      </c>
      <c r="G278" s="55">
        <v>5</v>
      </c>
      <c r="H278" s="55">
        <v>36</v>
      </c>
      <c r="I278" s="63">
        <v>0</v>
      </c>
      <c r="J278" s="55">
        <v>0</v>
      </c>
      <c r="K278" s="55">
        <v>0</v>
      </c>
      <c r="L278" s="55">
        <v>0</v>
      </c>
      <c r="M278" s="55">
        <v>0</v>
      </c>
      <c r="N278" s="55">
        <v>0</v>
      </c>
      <c r="O278" s="55">
        <v>1</v>
      </c>
      <c r="P278" s="55">
        <v>1</v>
      </c>
      <c r="Q278" s="56">
        <v>29</v>
      </c>
    </row>
    <row r="279" spans="2:17">
      <c r="B279" s="54">
        <v>41000</v>
      </c>
      <c r="C279" s="55">
        <v>36</v>
      </c>
      <c r="D279" s="55">
        <v>0</v>
      </c>
      <c r="E279" s="55">
        <v>0</v>
      </c>
      <c r="F279" s="55">
        <v>5</v>
      </c>
      <c r="G279" s="55">
        <v>4</v>
      </c>
      <c r="H279" s="55">
        <v>30</v>
      </c>
      <c r="I279" s="63">
        <v>0</v>
      </c>
      <c r="J279" s="55">
        <v>0</v>
      </c>
      <c r="K279" s="55">
        <v>0</v>
      </c>
      <c r="L279" s="55">
        <v>0</v>
      </c>
      <c r="M279" s="55">
        <v>0</v>
      </c>
      <c r="N279" s="55">
        <v>0</v>
      </c>
      <c r="O279" s="55">
        <v>0</v>
      </c>
      <c r="P279" s="55">
        <v>1</v>
      </c>
      <c r="Q279" s="56">
        <v>28</v>
      </c>
    </row>
    <row r="280" spans="2:17">
      <c r="B280" s="54">
        <v>41001</v>
      </c>
      <c r="C280" s="55">
        <v>45</v>
      </c>
      <c r="D280" s="55">
        <v>0</v>
      </c>
      <c r="E280" s="55">
        <v>0</v>
      </c>
      <c r="F280" s="55">
        <v>2</v>
      </c>
      <c r="G280" s="55">
        <v>3</v>
      </c>
      <c r="H280" s="55">
        <v>12</v>
      </c>
      <c r="I280" s="63">
        <v>0</v>
      </c>
      <c r="J280" s="55">
        <v>1</v>
      </c>
      <c r="K280" s="55">
        <v>0</v>
      </c>
      <c r="L280" s="55">
        <v>0</v>
      </c>
      <c r="M280" s="55">
        <v>0</v>
      </c>
      <c r="N280" s="55">
        <v>0</v>
      </c>
      <c r="O280" s="55">
        <v>0</v>
      </c>
      <c r="P280" s="55">
        <v>1</v>
      </c>
      <c r="Q280" s="56">
        <v>23</v>
      </c>
    </row>
    <row r="281" spans="2:17">
      <c r="B281" s="54">
        <v>41002</v>
      </c>
      <c r="C281" s="55">
        <v>36</v>
      </c>
      <c r="D281" s="55">
        <v>0</v>
      </c>
      <c r="E281" s="55">
        <v>0</v>
      </c>
      <c r="F281" s="55">
        <v>2</v>
      </c>
      <c r="G281" s="55">
        <v>1</v>
      </c>
      <c r="H281" s="55">
        <v>6</v>
      </c>
      <c r="I281" s="63">
        <v>0</v>
      </c>
      <c r="J281" s="55">
        <v>0</v>
      </c>
      <c r="K281" s="55">
        <v>1</v>
      </c>
      <c r="L281" s="55">
        <v>0</v>
      </c>
      <c r="M281" s="55">
        <v>0</v>
      </c>
      <c r="N281" s="55">
        <v>0</v>
      </c>
      <c r="O281" s="55">
        <v>0</v>
      </c>
      <c r="P281" s="55">
        <v>1</v>
      </c>
      <c r="Q281" s="56">
        <v>25</v>
      </c>
    </row>
    <row r="282" spans="2:17">
      <c r="B282" s="54">
        <v>41003</v>
      </c>
      <c r="C282" s="55">
        <v>32</v>
      </c>
      <c r="D282" s="55">
        <v>0</v>
      </c>
      <c r="E282" s="55">
        <v>0</v>
      </c>
      <c r="F282" s="55">
        <v>1</v>
      </c>
      <c r="G282" s="55">
        <v>1</v>
      </c>
      <c r="H282" s="55">
        <v>4</v>
      </c>
      <c r="I282" s="63">
        <v>0</v>
      </c>
      <c r="J282" s="55">
        <v>0</v>
      </c>
      <c r="K282" s="55">
        <v>0</v>
      </c>
      <c r="L282" s="55">
        <v>1</v>
      </c>
      <c r="M282" s="55">
        <v>0</v>
      </c>
      <c r="N282" s="55">
        <v>0</v>
      </c>
      <c r="O282" s="55">
        <v>0</v>
      </c>
      <c r="P282" s="55">
        <v>1</v>
      </c>
      <c r="Q282" s="56">
        <v>31</v>
      </c>
    </row>
    <row r="283" spans="2:17">
      <c r="B283" s="54">
        <v>41004</v>
      </c>
      <c r="C283" s="55">
        <v>43</v>
      </c>
      <c r="D283" s="55">
        <v>0</v>
      </c>
      <c r="E283" s="55">
        <v>0</v>
      </c>
      <c r="F283" s="55">
        <v>1</v>
      </c>
      <c r="G283" s="55">
        <v>0</v>
      </c>
      <c r="H283" s="55">
        <v>2</v>
      </c>
      <c r="I283" s="63">
        <v>0</v>
      </c>
      <c r="J283" s="55">
        <v>0</v>
      </c>
      <c r="K283" s="55">
        <v>0</v>
      </c>
      <c r="L283" s="55">
        <v>0</v>
      </c>
      <c r="M283" s="55">
        <v>1</v>
      </c>
      <c r="N283" s="55">
        <v>0</v>
      </c>
      <c r="O283" s="55">
        <v>0</v>
      </c>
      <c r="P283" s="55">
        <v>1</v>
      </c>
      <c r="Q283" s="56">
        <v>28</v>
      </c>
    </row>
    <row r="284" spans="2:17">
      <c r="B284" s="54">
        <v>41005</v>
      </c>
      <c r="C284" s="55">
        <v>36</v>
      </c>
      <c r="D284" s="55">
        <v>0</v>
      </c>
      <c r="E284" s="55">
        <v>0</v>
      </c>
      <c r="F284" s="55">
        <v>0</v>
      </c>
      <c r="G284" s="55">
        <v>0</v>
      </c>
      <c r="H284" s="55">
        <v>1</v>
      </c>
      <c r="I284" s="63">
        <v>0</v>
      </c>
      <c r="J284" s="55">
        <v>0</v>
      </c>
      <c r="K284" s="55">
        <v>0</v>
      </c>
      <c r="L284" s="55">
        <v>0</v>
      </c>
      <c r="M284" s="55">
        <v>0</v>
      </c>
      <c r="N284" s="55">
        <v>1</v>
      </c>
      <c r="O284" s="55">
        <v>0</v>
      </c>
      <c r="P284" s="55">
        <v>1</v>
      </c>
      <c r="Q284" s="56">
        <v>37</v>
      </c>
    </row>
    <row r="285" spans="2:17">
      <c r="B285" s="54">
        <v>41006</v>
      </c>
      <c r="C285" s="55">
        <v>39</v>
      </c>
      <c r="D285" s="55">
        <v>0</v>
      </c>
      <c r="E285" s="55">
        <v>0</v>
      </c>
      <c r="F285" s="55">
        <v>4</v>
      </c>
      <c r="G285" s="55">
        <v>3</v>
      </c>
      <c r="H285" s="55">
        <v>20</v>
      </c>
      <c r="I285" s="63">
        <v>0</v>
      </c>
      <c r="J285" s="55">
        <v>0</v>
      </c>
      <c r="K285" s="55">
        <v>0</v>
      </c>
      <c r="L285" s="55">
        <v>0</v>
      </c>
      <c r="M285" s="55">
        <v>0</v>
      </c>
      <c r="N285" s="55">
        <v>0</v>
      </c>
      <c r="O285" s="55">
        <v>1</v>
      </c>
      <c r="P285" s="55">
        <v>1</v>
      </c>
      <c r="Q285" s="56">
        <v>39</v>
      </c>
    </row>
    <row r="286" spans="2:17">
      <c r="B286" s="54">
        <v>41007</v>
      </c>
      <c r="C286" s="55">
        <v>33</v>
      </c>
      <c r="D286" s="55">
        <v>0</v>
      </c>
      <c r="E286" s="55">
        <v>0</v>
      </c>
      <c r="F286" s="55">
        <v>2</v>
      </c>
      <c r="G286" s="55">
        <v>2</v>
      </c>
      <c r="H286" s="55">
        <v>9</v>
      </c>
      <c r="I286" s="63">
        <v>0</v>
      </c>
      <c r="J286" s="55">
        <v>0</v>
      </c>
      <c r="K286" s="55">
        <v>0</v>
      </c>
      <c r="L286" s="55">
        <v>0</v>
      </c>
      <c r="M286" s="55">
        <v>0</v>
      </c>
      <c r="N286" s="55">
        <v>0</v>
      </c>
      <c r="O286" s="55">
        <v>0</v>
      </c>
      <c r="P286" s="55">
        <v>1</v>
      </c>
      <c r="Q286" s="56">
        <v>29</v>
      </c>
    </row>
    <row r="287" spans="2:17">
      <c r="B287" s="54">
        <v>41008</v>
      </c>
      <c r="C287" s="55">
        <v>33</v>
      </c>
      <c r="D287" s="55">
        <v>0</v>
      </c>
      <c r="E287" s="55">
        <v>0</v>
      </c>
      <c r="F287" s="55">
        <v>0</v>
      </c>
      <c r="G287" s="55">
        <v>0</v>
      </c>
      <c r="H287" s="55">
        <v>1</v>
      </c>
      <c r="I287" s="63">
        <v>0</v>
      </c>
      <c r="J287" s="55">
        <v>1</v>
      </c>
      <c r="K287" s="55">
        <v>0</v>
      </c>
      <c r="L287" s="55">
        <v>0</v>
      </c>
      <c r="M287" s="55">
        <v>0</v>
      </c>
      <c r="N287" s="55">
        <v>0</v>
      </c>
      <c r="O287" s="55">
        <v>0</v>
      </c>
      <c r="P287" s="55">
        <v>1</v>
      </c>
      <c r="Q287" s="56">
        <v>14</v>
      </c>
    </row>
    <row r="288" spans="2:17">
      <c r="B288" s="54">
        <v>41009</v>
      </c>
      <c r="C288" s="55">
        <v>32</v>
      </c>
      <c r="D288" s="55">
        <v>0</v>
      </c>
      <c r="E288" s="55">
        <v>0</v>
      </c>
      <c r="F288" s="55">
        <v>0</v>
      </c>
      <c r="G288" s="55">
        <v>0</v>
      </c>
      <c r="H288" s="55">
        <v>1</v>
      </c>
      <c r="I288" s="63">
        <v>0</v>
      </c>
      <c r="J288" s="55">
        <v>0</v>
      </c>
      <c r="K288" s="55">
        <v>1</v>
      </c>
      <c r="L288" s="55">
        <v>0</v>
      </c>
      <c r="M288" s="55">
        <v>0</v>
      </c>
      <c r="N288" s="55">
        <v>0</v>
      </c>
      <c r="O288" s="55">
        <v>0</v>
      </c>
      <c r="P288" s="55">
        <v>1</v>
      </c>
      <c r="Q288" s="56">
        <v>13</v>
      </c>
    </row>
    <row r="289" spans="2:17">
      <c r="B289" s="54">
        <v>41010</v>
      </c>
      <c r="C289" s="55">
        <v>20</v>
      </c>
      <c r="D289" s="55">
        <v>0</v>
      </c>
      <c r="E289" s="55">
        <v>0</v>
      </c>
      <c r="F289" s="55">
        <v>0</v>
      </c>
      <c r="G289" s="55">
        <v>0</v>
      </c>
      <c r="H289" s="55">
        <v>1</v>
      </c>
      <c r="I289" s="63">
        <v>0</v>
      </c>
      <c r="J289" s="55">
        <v>0</v>
      </c>
      <c r="K289" s="55">
        <v>0</v>
      </c>
      <c r="L289" s="55">
        <v>1</v>
      </c>
      <c r="M289" s="55">
        <v>0</v>
      </c>
      <c r="N289" s="55">
        <v>0</v>
      </c>
      <c r="O289" s="55">
        <v>0</v>
      </c>
      <c r="P289" s="55">
        <v>1</v>
      </c>
      <c r="Q289" s="56">
        <v>10</v>
      </c>
    </row>
    <row r="290" spans="2:17">
      <c r="B290" s="54">
        <v>41011</v>
      </c>
      <c r="C290" s="55">
        <v>25</v>
      </c>
      <c r="D290" s="55">
        <v>0</v>
      </c>
      <c r="E290" s="55">
        <v>0</v>
      </c>
      <c r="F290" s="55">
        <v>0</v>
      </c>
      <c r="G290" s="55">
        <v>0</v>
      </c>
      <c r="H290" s="55">
        <v>1</v>
      </c>
      <c r="I290" s="63">
        <v>0</v>
      </c>
      <c r="J290" s="55">
        <v>0</v>
      </c>
      <c r="K290" s="55">
        <v>0</v>
      </c>
      <c r="L290" s="55">
        <v>0</v>
      </c>
      <c r="M290" s="55">
        <v>1</v>
      </c>
      <c r="N290" s="55">
        <v>0</v>
      </c>
      <c r="O290" s="55">
        <v>0</v>
      </c>
      <c r="P290" s="55">
        <v>1</v>
      </c>
      <c r="Q290" s="56">
        <v>16</v>
      </c>
    </row>
    <row r="291" spans="2:17">
      <c r="B291" s="54">
        <v>41012</v>
      </c>
      <c r="C291" s="55">
        <v>34</v>
      </c>
      <c r="D291" s="55">
        <v>0</v>
      </c>
      <c r="E291" s="55">
        <v>0</v>
      </c>
      <c r="F291" s="55">
        <v>0</v>
      </c>
      <c r="G291" s="55">
        <v>0</v>
      </c>
      <c r="H291" s="55">
        <v>1</v>
      </c>
      <c r="I291" s="63">
        <v>0</v>
      </c>
      <c r="J291" s="55">
        <v>0</v>
      </c>
      <c r="K291" s="55">
        <v>0</v>
      </c>
      <c r="L291" s="55">
        <v>0</v>
      </c>
      <c r="M291" s="55">
        <v>0</v>
      </c>
      <c r="N291" s="55">
        <v>1</v>
      </c>
      <c r="O291" s="55">
        <v>0</v>
      </c>
      <c r="P291" s="55">
        <v>1</v>
      </c>
      <c r="Q291" s="56">
        <v>32</v>
      </c>
    </row>
    <row r="292" spans="2:17">
      <c r="B292" s="54">
        <v>41013</v>
      </c>
      <c r="C292" s="55">
        <v>43</v>
      </c>
      <c r="D292" s="55">
        <v>0</v>
      </c>
      <c r="E292" s="55">
        <v>0</v>
      </c>
      <c r="F292" s="55">
        <v>2</v>
      </c>
      <c r="G292" s="55">
        <v>2</v>
      </c>
      <c r="H292" s="55">
        <v>9</v>
      </c>
      <c r="I292" s="63">
        <v>0</v>
      </c>
      <c r="J292" s="55">
        <v>0</v>
      </c>
      <c r="K292" s="55">
        <v>0</v>
      </c>
      <c r="L292" s="55">
        <v>0</v>
      </c>
      <c r="M292" s="55">
        <v>0</v>
      </c>
      <c r="N292" s="55">
        <v>0</v>
      </c>
      <c r="O292" s="55">
        <v>1</v>
      </c>
      <c r="P292" s="55">
        <v>1</v>
      </c>
      <c r="Q292" s="56">
        <v>25</v>
      </c>
    </row>
    <row r="293" spans="2:17">
      <c r="B293" s="54">
        <v>41014</v>
      </c>
      <c r="C293" s="55">
        <v>40</v>
      </c>
      <c r="D293" s="55">
        <v>0</v>
      </c>
      <c r="E293" s="55">
        <v>0</v>
      </c>
      <c r="F293" s="55">
        <v>1</v>
      </c>
      <c r="G293" s="55">
        <v>2</v>
      </c>
      <c r="H293" s="55">
        <v>6</v>
      </c>
      <c r="I293" s="63">
        <v>0</v>
      </c>
      <c r="J293" s="55">
        <v>0</v>
      </c>
      <c r="K293" s="55">
        <v>0</v>
      </c>
      <c r="L293" s="55">
        <v>0</v>
      </c>
      <c r="M293" s="55">
        <v>0</v>
      </c>
      <c r="N293" s="55">
        <v>0</v>
      </c>
      <c r="O293" s="55">
        <v>0</v>
      </c>
      <c r="P293" s="55">
        <v>1</v>
      </c>
      <c r="Q293" s="56">
        <v>24</v>
      </c>
    </row>
    <row r="294" spans="2:17">
      <c r="B294" s="54">
        <v>41015</v>
      </c>
      <c r="C294" s="55">
        <v>27</v>
      </c>
      <c r="D294" s="55">
        <v>0</v>
      </c>
      <c r="E294" s="55">
        <v>0</v>
      </c>
      <c r="F294" s="55">
        <v>0</v>
      </c>
      <c r="G294" s="55">
        <v>0</v>
      </c>
      <c r="H294" s="55">
        <v>1</v>
      </c>
      <c r="I294" s="63">
        <v>0</v>
      </c>
      <c r="J294" s="55">
        <v>1</v>
      </c>
      <c r="K294" s="55">
        <v>0</v>
      </c>
      <c r="L294" s="55">
        <v>0</v>
      </c>
      <c r="M294" s="55">
        <v>0</v>
      </c>
      <c r="N294" s="55">
        <v>0</v>
      </c>
      <c r="O294" s="55">
        <v>0</v>
      </c>
      <c r="P294" s="55">
        <v>1</v>
      </c>
      <c r="Q294" s="56">
        <v>16</v>
      </c>
    </row>
    <row r="295" spans="2:17">
      <c r="B295" s="54">
        <v>41016</v>
      </c>
      <c r="C295" s="55">
        <v>21</v>
      </c>
      <c r="D295" s="55">
        <v>0</v>
      </c>
      <c r="E295" s="55">
        <v>0</v>
      </c>
      <c r="F295" s="55">
        <v>0</v>
      </c>
      <c r="G295" s="55">
        <v>0</v>
      </c>
      <c r="H295" s="55">
        <v>1</v>
      </c>
      <c r="I295" s="63">
        <v>0</v>
      </c>
      <c r="J295" s="55">
        <v>0</v>
      </c>
      <c r="K295" s="55">
        <v>1</v>
      </c>
      <c r="L295" s="55">
        <v>0</v>
      </c>
      <c r="M295" s="55">
        <v>0</v>
      </c>
      <c r="N295" s="55">
        <v>0</v>
      </c>
      <c r="O295" s="55">
        <v>0</v>
      </c>
      <c r="P295" s="55">
        <v>1</v>
      </c>
      <c r="Q295" s="56">
        <v>16</v>
      </c>
    </row>
    <row r="296" spans="2:17">
      <c r="B296" s="54">
        <v>41017</v>
      </c>
      <c r="C296" s="55">
        <v>21</v>
      </c>
      <c r="D296" s="55">
        <v>0</v>
      </c>
      <c r="E296" s="55">
        <v>0</v>
      </c>
      <c r="F296" s="55">
        <v>0</v>
      </c>
      <c r="G296" s="55">
        <v>0</v>
      </c>
      <c r="H296" s="55">
        <v>1</v>
      </c>
      <c r="I296" s="63">
        <v>0</v>
      </c>
      <c r="J296" s="55">
        <v>0</v>
      </c>
      <c r="K296" s="55">
        <v>0</v>
      </c>
      <c r="L296" s="55">
        <v>1</v>
      </c>
      <c r="M296" s="55">
        <v>0</v>
      </c>
      <c r="N296" s="55">
        <v>0</v>
      </c>
      <c r="O296" s="55">
        <v>0</v>
      </c>
      <c r="P296" s="55">
        <v>1</v>
      </c>
      <c r="Q296" s="56">
        <v>11</v>
      </c>
    </row>
    <row r="297" spans="2:17">
      <c r="B297" s="54">
        <v>41018</v>
      </c>
      <c r="C297" s="55">
        <v>21</v>
      </c>
      <c r="D297" s="55">
        <v>0</v>
      </c>
      <c r="E297" s="55">
        <v>0</v>
      </c>
      <c r="F297" s="55">
        <v>0</v>
      </c>
      <c r="G297" s="55">
        <v>0</v>
      </c>
      <c r="H297" s="55">
        <v>1</v>
      </c>
      <c r="I297" s="63">
        <v>0</v>
      </c>
      <c r="J297" s="55">
        <v>0</v>
      </c>
      <c r="K297" s="55">
        <v>0</v>
      </c>
      <c r="L297" s="55">
        <v>0</v>
      </c>
      <c r="M297" s="55">
        <v>1</v>
      </c>
      <c r="N297" s="55">
        <v>0</v>
      </c>
      <c r="O297" s="55">
        <v>0</v>
      </c>
      <c r="P297" s="55">
        <v>1</v>
      </c>
      <c r="Q297" s="56">
        <v>7</v>
      </c>
    </row>
    <row r="298" spans="2:17">
      <c r="B298" s="54">
        <v>41019</v>
      </c>
      <c r="C298" s="55">
        <v>25</v>
      </c>
      <c r="D298" s="55">
        <v>0</v>
      </c>
      <c r="E298" s="55">
        <v>0</v>
      </c>
      <c r="F298" s="55">
        <v>0</v>
      </c>
      <c r="G298" s="55">
        <v>0</v>
      </c>
      <c r="H298" s="55">
        <v>1</v>
      </c>
      <c r="I298" s="63">
        <v>0</v>
      </c>
      <c r="J298" s="55">
        <v>0</v>
      </c>
      <c r="K298" s="55">
        <v>0</v>
      </c>
      <c r="L298" s="55">
        <v>0</v>
      </c>
      <c r="M298" s="55">
        <v>0</v>
      </c>
      <c r="N298" s="55">
        <v>1</v>
      </c>
      <c r="O298" s="55">
        <v>0</v>
      </c>
      <c r="P298" s="55">
        <v>1</v>
      </c>
      <c r="Q298" s="56">
        <v>25</v>
      </c>
    </row>
    <row r="299" spans="2:17">
      <c r="B299" s="54">
        <v>41020</v>
      </c>
      <c r="C299" s="55">
        <v>29</v>
      </c>
      <c r="D299" s="55">
        <v>0</v>
      </c>
      <c r="E299" s="55">
        <v>0</v>
      </c>
      <c r="F299" s="55">
        <v>2</v>
      </c>
      <c r="G299" s="55">
        <v>2</v>
      </c>
      <c r="H299" s="55">
        <v>9</v>
      </c>
      <c r="I299" s="63">
        <v>0</v>
      </c>
      <c r="J299" s="55">
        <v>0</v>
      </c>
      <c r="K299" s="55">
        <v>0</v>
      </c>
      <c r="L299" s="55">
        <v>0</v>
      </c>
      <c r="M299" s="55">
        <v>0</v>
      </c>
      <c r="N299" s="55">
        <v>0</v>
      </c>
      <c r="O299" s="55">
        <v>1</v>
      </c>
      <c r="P299" s="55">
        <v>1</v>
      </c>
      <c r="Q299" s="56">
        <v>26</v>
      </c>
    </row>
    <row r="300" spans="2:17">
      <c r="B300" s="54">
        <v>41021</v>
      </c>
      <c r="C300" s="55">
        <v>28</v>
      </c>
      <c r="D300" s="55">
        <v>0</v>
      </c>
      <c r="E300" s="55">
        <v>0</v>
      </c>
      <c r="F300" s="55">
        <v>1</v>
      </c>
      <c r="G300" s="55">
        <v>1</v>
      </c>
      <c r="H300" s="55">
        <v>4</v>
      </c>
      <c r="I300" s="63">
        <v>0</v>
      </c>
      <c r="J300" s="55">
        <v>0</v>
      </c>
      <c r="K300" s="55">
        <v>0</v>
      </c>
      <c r="L300" s="55">
        <v>0</v>
      </c>
      <c r="M300" s="55">
        <v>0</v>
      </c>
      <c r="N300" s="55">
        <v>0</v>
      </c>
      <c r="O300" s="55">
        <v>0</v>
      </c>
      <c r="P300" s="55">
        <v>1</v>
      </c>
      <c r="Q300" s="56">
        <v>24</v>
      </c>
    </row>
    <row r="301" spans="2:17">
      <c r="B301" s="54">
        <v>41022</v>
      </c>
      <c r="C301" s="55">
        <v>32</v>
      </c>
      <c r="D301" s="55">
        <v>0</v>
      </c>
      <c r="E301" s="55">
        <v>0</v>
      </c>
      <c r="F301" s="55">
        <v>1</v>
      </c>
      <c r="G301" s="55">
        <v>0</v>
      </c>
      <c r="H301" s="55">
        <v>2</v>
      </c>
      <c r="I301" s="63">
        <v>0</v>
      </c>
      <c r="J301" s="55">
        <v>1</v>
      </c>
      <c r="K301" s="55">
        <v>0</v>
      </c>
      <c r="L301" s="55">
        <v>0</v>
      </c>
      <c r="M301" s="55">
        <v>0</v>
      </c>
      <c r="N301" s="55">
        <v>0</v>
      </c>
      <c r="O301" s="55">
        <v>0</v>
      </c>
      <c r="P301" s="55">
        <v>1</v>
      </c>
      <c r="Q301" s="56">
        <v>19</v>
      </c>
    </row>
    <row r="302" spans="2:17">
      <c r="B302" s="54">
        <v>41023</v>
      </c>
      <c r="C302" s="55">
        <v>27</v>
      </c>
      <c r="D302" s="55">
        <v>0</v>
      </c>
      <c r="E302" s="55">
        <v>0</v>
      </c>
      <c r="F302" s="55">
        <v>0</v>
      </c>
      <c r="G302" s="55">
        <v>0</v>
      </c>
      <c r="H302" s="55">
        <v>1</v>
      </c>
      <c r="I302" s="63">
        <v>0</v>
      </c>
      <c r="J302" s="55">
        <v>0</v>
      </c>
      <c r="K302" s="55">
        <v>1</v>
      </c>
      <c r="L302" s="55">
        <v>0</v>
      </c>
      <c r="M302" s="55">
        <v>0</v>
      </c>
      <c r="N302" s="55">
        <v>0</v>
      </c>
      <c r="O302" s="55">
        <v>0</v>
      </c>
      <c r="P302" s="55">
        <v>1</v>
      </c>
      <c r="Q302" s="56">
        <v>29</v>
      </c>
    </row>
    <row r="303" spans="2:17">
      <c r="B303" s="54">
        <v>41024</v>
      </c>
      <c r="C303" s="55">
        <v>35</v>
      </c>
      <c r="D303" s="55">
        <v>0</v>
      </c>
      <c r="E303" s="55">
        <v>0</v>
      </c>
      <c r="F303" s="55">
        <v>0</v>
      </c>
      <c r="G303" s="55">
        <v>0</v>
      </c>
      <c r="H303" s="55">
        <v>1</v>
      </c>
      <c r="I303" s="63">
        <v>0</v>
      </c>
      <c r="J303" s="55">
        <v>0</v>
      </c>
      <c r="K303" s="55">
        <v>0</v>
      </c>
      <c r="L303" s="55">
        <v>1</v>
      </c>
      <c r="M303" s="55">
        <v>0</v>
      </c>
      <c r="N303" s="55">
        <v>0</v>
      </c>
      <c r="O303" s="55">
        <v>0</v>
      </c>
      <c r="P303" s="55">
        <v>1</v>
      </c>
      <c r="Q303" s="56">
        <v>20</v>
      </c>
    </row>
    <row r="304" spans="2:17">
      <c r="B304" s="54">
        <v>41025</v>
      </c>
      <c r="C304" s="55">
        <v>29</v>
      </c>
      <c r="D304" s="55">
        <v>0</v>
      </c>
      <c r="E304" s="55">
        <v>0</v>
      </c>
      <c r="F304" s="55">
        <v>0</v>
      </c>
      <c r="G304" s="55">
        <v>0</v>
      </c>
      <c r="H304" s="55">
        <v>1</v>
      </c>
      <c r="I304" s="63">
        <v>0</v>
      </c>
      <c r="J304" s="55">
        <v>0</v>
      </c>
      <c r="K304" s="55">
        <v>0</v>
      </c>
      <c r="L304" s="55">
        <v>0</v>
      </c>
      <c r="M304" s="55">
        <v>1</v>
      </c>
      <c r="N304" s="55">
        <v>0</v>
      </c>
      <c r="O304" s="55">
        <v>0</v>
      </c>
      <c r="P304" s="55">
        <v>1</v>
      </c>
      <c r="Q304" s="56">
        <v>23</v>
      </c>
    </row>
    <row r="305" spans="2:17">
      <c r="B305" s="54">
        <v>41026</v>
      </c>
      <c r="C305" s="55">
        <v>32</v>
      </c>
      <c r="D305" s="55">
        <v>0</v>
      </c>
      <c r="E305" s="55">
        <v>0</v>
      </c>
      <c r="F305" s="55">
        <v>1</v>
      </c>
      <c r="G305" s="55">
        <v>1</v>
      </c>
      <c r="H305" s="55">
        <v>4</v>
      </c>
      <c r="I305" s="63">
        <v>0</v>
      </c>
      <c r="J305" s="55">
        <v>0</v>
      </c>
      <c r="K305" s="55">
        <v>0</v>
      </c>
      <c r="L305" s="55">
        <v>0</v>
      </c>
      <c r="M305" s="55">
        <v>0</v>
      </c>
      <c r="N305" s="55">
        <v>1</v>
      </c>
      <c r="O305" s="55">
        <v>0</v>
      </c>
      <c r="P305" s="55">
        <v>1</v>
      </c>
      <c r="Q305" s="56">
        <v>22</v>
      </c>
    </row>
    <row r="306" spans="2:17">
      <c r="B306" s="54">
        <v>41027</v>
      </c>
      <c r="C306" s="55">
        <v>43</v>
      </c>
      <c r="D306" s="55">
        <v>0</v>
      </c>
      <c r="E306" s="55">
        <v>0</v>
      </c>
      <c r="F306" s="55">
        <v>2</v>
      </c>
      <c r="G306" s="55">
        <v>2</v>
      </c>
      <c r="H306" s="55">
        <v>9</v>
      </c>
      <c r="I306" s="63">
        <v>0</v>
      </c>
      <c r="J306" s="55">
        <v>0</v>
      </c>
      <c r="K306" s="55">
        <v>0</v>
      </c>
      <c r="L306" s="55">
        <v>0</v>
      </c>
      <c r="M306" s="55">
        <v>0</v>
      </c>
      <c r="N306" s="55">
        <v>0</v>
      </c>
      <c r="O306" s="55">
        <v>1</v>
      </c>
      <c r="P306" s="55">
        <v>1</v>
      </c>
      <c r="Q306" s="56">
        <v>21</v>
      </c>
    </row>
    <row r="307" spans="2:17">
      <c r="B307" s="54">
        <v>41028</v>
      </c>
      <c r="C307" s="55">
        <v>54</v>
      </c>
      <c r="D307" s="55">
        <v>0</v>
      </c>
      <c r="E307" s="55">
        <v>0</v>
      </c>
      <c r="F307" s="55">
        <v>3</v>
      </c>
      <c r="G307" s="55">
        <v>2</v>
      </c>
      <c r="H307" s="55">
        <v>12</v>
      </c>
      <c r="I307" s="63">
        <v>1</v>
      </c>
      <c r="J307" s="55">
        <v>0</v>
      </c>
      <c r="K307" s="55">
        <v>0</v>
      </c>
      <c r="L307" s="55">
        <v>0</v>
      </c>
      <c r="M307" s="55">
        <v>0</v>
      </c>
      <c r="N307" s="55">
        <v>0</v>
      </c>
      <c r="O307" s="55">
        <v>0</v>
      </c>
      <c r="P307" s="55">
        <v>1</v>
      </c>
      <c r="Q307" s="56">
        <v>19</v>
      </c>
    </row>
    <row r="308" spans="2:17">
      <c r="B308" s="54">
        <v>41029</v>
      </c>
      <c r="C308" s="55">
        <v>39</v>
      </c>
      <c r="D308" s="55">
        <v>0</v>
      </c>
      <c r="E308" s="55">
        <v>0</v>
      </c>
      <c r="F308" s="55">
        <v>2</v>
      </c>
      <c r="G308" s="55">
        <v>1</v>
      </c>
      <c r="H308" s="55">
        <v>6</v>
      </c>
      <c r="I308" s="63">
        <v>1</v>
      </c>
      <c r="J308" s="55">
        <v>1</v>
      </c>
      <c r="K308" s="55">
        <v>0</v>
      </c>
      <c r="L308" s="55">
        <v>0</v>
      </c>
      <c r="M308" s="55">
        <v>0</v>
      </c>
      <c r="N308" s="55">
        <v>0</v>
      </c>
      <c r="O308" s="55">
        <v>0</v>
      </c>
      <c r="P308" s="55">
        <v>1</v>
      </c>
      <c r="Q308" s="56">
        <v>21</v>
      </c>
    </row>
    <row r="309" spans="2:17">
      <c r="B309" s="54">
        <v>41030</v>
      </c>
      <c r="C309" s="55">
        <v>31</v>
      </c>
      <c r="D309" s="55">
        <v>0</v>
      </c>
      <c r="E309" s="55">
        <v>0</v>
      </c>
      <c r="F309" s="55">
        <v>0</v>
      </c>
      <c r="G309" s="55">
        <v>0</v>
      </c>
      <c r="H309" s="55">
        <v>1</v>
      </c>
      <c r="I309" s="63">
        <v>0</v>
      </c>
      <c r="J309" s="55">
        <v>0</v>
      </c>
      <c r="K309" s="55">
        <v>1</v>
      </c>
      <c r="L309" s="55">
        <v>0</v>
      </c>
      <c r="M309" s="55">
        <v>0</v>
      </c>
      <c r="N309" s="55">
        <v>0</v>
      </c>
      <c r="O309" s="55">
        <v>0</v>
      </c>
      <c r="P309" s="55">
        <v>0</v>
      </c>
      <c r="Q309" s="56">
        <v>15</v>
      </c>
    </row>
    <row r="310" spans="2:17">
      <c r="B310" s="54">
        <v>41031</v>
      </c>
      <c r="C310" s="55">
        <v>30</v>
      </c>
      <c r="D310" s="55">
        <v>0</v>
      </c>
      <c r="E310" s="55">
        <v>0</v>
      </c>
      <c r="F310" s="55">
        <v>0</v>
      </c>
      <c r="G310" s="55">
        <v>0</v>
      </c>
      <c r="H310" s="55">
        <v>1</v>
      </c>
      <c r="I310" s="63">
        <v>0</v>
      </c>
      <c r="J310" s="55">
        <v>0</v>
      </c>
      <c r="K310" s="55">
        <v>0</v>
      </c>
      <c r="L310" s="55">
        <v>1</v>
      </c>
      <c r="M310" s="55">
        <v>0</v>
      </c>
      <c r="N310" s="55">
        <v>0</v>
      </c>
      <c r="O310" s="55">
        <v>0</v>
      </c>
      <c r="P310" s="55">
        <v>0</v>
      </c>
      <c r="Q310" s="56">
        <v>18</v>
      </c>
    </row>
    <row r="311" spans="2:17">
      <c r="B311" s="54">
        <v>41032</v>
      </c>
      <c r="C311" s="55">
        <v>27</v>
      </c>
      <c r="D311" s="55">
        <v>0</v>
      </c>
      <c r="E311" s="55">
        <v>0</v>
      </c>
      <c r="F311" s="55">
        <v>1</v>
      </c>
      <c r="G311" s="55">
        <v>1</v>
      </c>
      <c r="H311" s="55">
        <v>4</v>
      </c>
      <c r="I311" s="63">
        <v>1</v>
      </c>
      <c r="J311" s="55">
        <v>0</v>
      </c>
      <c r="K311" s="55">
        <v>0</v>
      </c>
      <c r="L311" s="55">
        <v>0</v>
      </c>
      <c r="M311" s="55">
        <v>1</v>
      </c>
      <c r="N311" s="55">
        <v>0</v>
      </c>
      <c r="O311" s="55">
        <v>0</v>
      </c>
      <c r="P311" s="55">
        <v>0</v>
      </c>
      <c r="Q311" s="56">
        <v>15</v>
      </c>
    </row>
    <row r="312" spans="2:17">
      <c r="B312" s="54">
        <v>41033</v>
      </c>
      <c r="C312" s="55">
        <v>27</v>
      </c>
      <c r="D312" s="55">
        <v>0</v>
      </c>
      <c r="E312" s="55">
        <v>0</v>
      </c>
      <c r="F312" s="55">
        <v>2</v>
      </c>
      <c r="G312" s="55">
        <v>2</v>
      </c>
      <c r="H312" s="55">
        <v>9</v>
      </c>
      <c r="I312" s="63">
        <v>1</v>
      </c>
      <c r="J312" s="55">
        <v>0</v>
      </c>
      <c r="K312" s="55">
        <v>0</v>
      </c>
      <c r="L312" s="55">
        <v>0</v>
      </c>
      <c r="M312" s="55">
        <v>0</v>
      </c>
      <c r="N312" s="55">
        <v>1</v>
      </c>
      <c r="O312" s="55">
        <v>0</v>
      </c>
      <c r="P312" s="55">
        <v>0</v>
      </c>
      <c r="Q312" s="56">
        <v>18</v>
      </c>
    </row>
    <row r="313" spans="2:17">
      <c r="B313" s="54">
        <v>41034</v>
      </c>
      <c r="C313" s="55">
        <v>16</v>
      </c>
      <c r="D313" s="55">
        <v>0</v>
      </c>
      <c r="E313" s="55">
        <v>0</v>
      </c>
      <c r="F313" s="55">
        <v>1</v>
      </c>
      <c r="G313" s="55">
        <v>0</v>
      </c>
      <c r="H313" s="55">
        <v>2</v>
      </c>
      <c r="I313" s="63">
        <v>1</v>
      </c>
      <c r="J313" s="55">
        <v>0</v>
      </c>
      <c r="K313" s="55">
        <v>0</v>
      </c>
      <c r="L313" s="55">
        <v>0</v>
      </c>
      <c r="M313" s="55">
        <v>0</v>
      </c>
      <c r="N313" s="55">
        <v>0</v>
      </c>
      <c r="O313" s="55">
        <v>1</v>
      </c>
      <c r="P313" s="55">
        <v>0</v>
      </c>
      <c r="Q313" s="56">
        <v>14</v>
      </c>
    </row>
    <row r="314" spans="2:17">
      <c r="B314" s="54">
        <v>41035</v>
      </c>
      <c r="C314" s="55">
        <v>12</v>
      </c>
      <c r="D314" s="55">
        <v>0</v>
      </c>
      <c r="E314" s="55">
        <v>0</v>
      </c>
      <c r="F314" s="55">
        <v>0</v>
      </c>
      <c r="G314" s="55">
        <v>0</v>
      </c>
      <c r="H314" s="55">
        <v>1</v>
      </c>
      <c r="I314" s="63">
        <v>0</v>
      </c>
      <c r="J314" s="55">
        <v>0</v>
      </c>
      <c r="K314" s="55">
        <v>0</v>
      </c>
      <c r="L314" s="55">
        <v>0</v>
      </c>
      <c r="M314" s="55">
        <v>0</v>
      </c>
      <c r="N314" s="55">
        <v>0</v>
      </c>
      <c r="O314" s="55">
        <v>0</v>
      </c>
      <c r="P314" s="55">
        <v>0</v>
      </c>
      <c r="Q314" s="56">
        <v>6</v>
      </c>
    </row>
    <row r="315" spans="2:17">
      <c r="B315" s="54">
        <v>41036</v>
      </c>
      <c r="C315" s="55">
        <v>21</v>
      </c>
      <c r="D315" s="55">
        <v>0</v>
      </c>
      <c r="E315" s="55">
        <v>0</v>
      </c>
      <c r="F315" s="55">
        <v>0</v>
      </c>
      <c r="G315" s="55">
        <v>0</v>
      </c>
      <c r="H315" s="55">
        <v>1</v>
      </c>
      <c r="I315" s="63">
        <v>0</v>
      </c>
      <c r="J315" s="55">
        <v>1</v>
      </c>
      <c r="K315" s="55">
        <v>0</v>
      </c>
      <c r="L315" s="55">
        <v>0</v>
      </c>
      <c r="M315" s="55">
        <v>0</v>
      </c>
      <c r="N315" s="55">
        <v>0</v>
      </c>
      <c r="O315" s="55">
        <v>0</v>
      </c>
      <c r="P315" s="55">
        <v>0</v>
      </c>
      <c r="Q315" s="56">
        <v>11</v>
      </c>
    </row>
    <row r="316" spans="2:17">
      <c r="B316" s="54">
        <v>41037</v>
      </c>
      <c r="C316" s="55">
        <v>22</v>
      </c>
      <c r="D316" s="55">
        <v>0</v>
      </c>
      <c r="E316" s="55">
        <v>0</v>
      </c>
      <c r="F316" s="55">
        <v>0</v>
      </c>
      <c r="G316" s="55">
        <v>0</v>
      </c>
      <c r="H316" s="55">
        <v>1</v>
      </c>
      <c r="I316" s="63">
        <v>0</v>
      </c>
      <c r="J316" s="55">
        <v>0</v>
      </c>
      <c r="K316" s="55">
        <v>1</v>
      </c>
      <c r="L316" s="55">
        <v>0</v>
      </c>
      <c r="M316" s="55">
        <v>0</v>
      </c>
      <c r="N316" s="55">
        <v>0</v>
      </c>
      <c r="O316" s="55">
        <v>0</v>
      </c>
      <c r="P316" s="55">
        <v>0</v>
      </c>
      <c r="Q316" s="56">
        <v>7</v>
      </c>
    </row>
    <row r="317" spans="2:17">
      <c r="B317" s="54">
        <v>41038</v>
      </c>
      <c r="C317" s="55">
        <v>19</v>
      </c>
      <c r="D317" s="55">
        <v>0</v>
      </c>
      <c r="E317" s="55">
        <v>0</v>
      </c>
      <c r="F317" s="55">
        <v>0</v>
      </c>
      <c r="G317" s="55">
        <v>0</v>
      </c>
      <c r="H317" s="55">
        <v>1</v>
      </c>
      <c r="I317" s="63">
        <v>0</v>
      </c>
      <c r="J317" s="55">
        <v>0</v>
      </c>
      <c r="K317" s="55">
        <v>0</v>
      </c>
      <c r="L317" s="55">
        <v>1</v>
      </c>
      <c r="M317" s="55">
        <v>0</v>
      </c>
      <c r="N317" s="55">
        <v>0</v>
      </c>
      <c r="O317" s="55">
        <v>0</v>
      </c>
      <c r="P317" s="55">
        <v>0</v>
      </c>
      <c r="Q317" s="56">
        <v>6</v>
      </c>
    </row>
    <row r="318" spans="2:17">
      <c r="B318" s="54">
        <v>41039</v>
      </c>
      <c r="C318" s="55">
        <v>16</v>
      </c>
      <c r="D318" s="55">
        <v>0</v>
      </c>
      <c r="E318" s="55">
        <v>0</v>
      </c>
      <c r="F318" s="55">
        <v>0</v>
      </c>
      <c r="G318" s="55">
        <v>0</v>
      </c>
      <c r="H318" s="55">
        <v>1</v>
      </c>
      <c r="I318" s="63">
        <v>0</v>
      </c>
      <c r="J318" s="55">
        <v>0</v>
      </c>
      <c r="K318" s="55">
        <v>0</v>
      </c>
      <c r="L318" s="55">
        <v>0</v>
      </c>
      <c r="M318" s="55">
        <v>1</v>
      </c>
      <c r="N318" s="55">
        <v>0</v>
      </c>
      <c r="O318" s="55">
        <v>0</v>
      </c>
      <c r="P318" s="55">
        <v>0</v>
      </c>
      <c r="Q318" s="56">
        <v>11</v>
      </c>
    </row>
    <row r="319" spans="2:17">
      <c r="B319" s="54">
        <v>41040</v>
      </c>
      <c r="C319" s="55">
        <v>19</v>
      </c>
      <c r="D319" s="55">
        <v>0</v>
      </c>
      <c r="E319" s="55">
        <v>0</v>
      </c>
      <c r="F319" s="55">
        <v>0</v>
      </c>
      <c r="G319" s="55">
        <v>0</v>
      </c>
      <c r="H319" s="55">
        <v>1</v>
      </c>
      <c r="I319" s="63">
        <v>0</v>
      </c>
      <c r="J319" s="55">
        <v>0</v>
      </c>
      <c r="K319" s="55">
        <v>0</v>
      </c>
      <c r="L319" s="55">
        <v>0</v>
      </c>
      <c r="M319" s="55">
        <v>0</v>
      </c>
      <c r="N319" s="55">
        <v>1</v>
      </c>
      <c r="O319" s="55">
        <v>0</v>
      </c>
      <c r="P319" s="55">
        <v>0</v>
      </c>
      <c r="Q319" s="56">
        <v>5</v>
      </c>
    </row>
    <row r="320" spans="2:17">
      <c r="B320" s="54">
        <v>41041</v>
      </c>
      <c r="C320" s="55">
        <v>32</v>
      </c>
      <c r="D320" s="55">
        <v>0</v>
      </c>
      <c r="E320" s="55">
        <v>0</v>
      </c>
      <c r="F320" s="55">
        <v>1</v>
      </c>
      <c r="G320" s="55">
        <v>1</v>
      </c>
      <c r="H320" s="55">
        <v>4</v>
      </c>
      <c r="I320" s="63">
        <v>0</v>
      </c>
      <c r="J320" s="55">
        <v>0</v>
      </c>
      <c r="K320" s="55">
        <v>0</v>
      </c>
      <c r="L320" s="55">
        <v>0</v>
      </c>
      <c r="M320" s="55">
        <v>0</v>
      </c>
      <c r="N320" s="55">
        <v>0</v>
      </c>
      <c r="O320" s="55">
        <v>1</v>
      </c>
      <c r="P320" s="55">
        <v>0</v>
      </c>
      <c r="Q320" s="56">
        <v>21</v>
      </c>
    </row>
    <row r="321" spans="2:17">
      <c r="B321" s="54">
        <v>41042</v>
      </c>
      <c r="C321" s="55">
        <v>26</v>
      </c>
      <c r="D321" s="55">
        <v>0</v>
      </c>
      <c r="E321" s="55">
        <v>0</v>
      </c>
      <c r="F321" s="55">
        <v>1</v>
      </c>
      <c r="G321" s="55">
        <v>0</v>
      </c>
      <c r="H321" s="55">
        <v>2</v>
      </c>
      <c r="I321" s="63">
        <v>0</v>
      </c>
      <c r="J321" s="55">
        <v>0</v>
      </c>
      <c r="K321" s="55">
        <v>0</v>
      </c>
      <c r="L321" s="55">
        <v>0</v>
      </c>
      <c r="M321" s="55">
        <v>0</v>
      </c>
      <c r="N321" s="55">
        <v>0</v>
      </c>
      <c r="O321" s="55">
        <v>0</v>
      </c>
      <c r="P321" s="55">
        <v>0</v>
      </c>
      <c r="Q321" s="56">
        <v>20</v>
      </c>
    </row>
    <row r="322" spans="2:17">
      <c r="B322" s="54">
        <v>41043</v>
      </c>
      <c r="C322" s="55">
        <v>22</v>
      </c>
      <c r="D322" s="55">
        <v>0</v>
      </c>
      <c r="E322" s="55">
        <v>0</v>
      </c>
      <c r="F322" s="55">
        <v>0</v>
      </c>
      <c r="G322" s="55">
        <v>0</v>
      </c>
      <c r="H322" s="55">
        <v>1</v>
      </c>
      <c r="I322" s="63">
        <v>0</v>
      </c>
      <c r="J322" s="55">
        <v>1</v>
      </c>
      <c r="K322" s="55">
        <v>0</v>
      </c>
      <c r="L322" s="55">
        <v>0</v>
      </c>
      <c r="M322" s="55">
        <v>0</v>
      </c>
      <c r="N322" s="55">
        <v>0</v>
      </c>
      <c r="O322" s="55">
        <v>0</v>
      </c>
      <c r="P322" s="55">
        <v>0</v>
      </c>
      <c r="Q322" s="56">
        <v>17</v>
      </c>
    </row>
    <row r="323" spans="2:17">
      <c r="B323" s="54">
        <v>41044</v>
      </c>
      <c r="C323" s="55">
        <v>21</v>
      </c>
      <c r="D323" s="55">
        <v>0</v>
      </c>
      <c r="E323" s="55">
        <v>0</v>
      </c>
      <c r="F323" s="55">
        <v>0</v>
      </c>
      <c r="G323" s="55">
        <v>0</v>
      </c>
      <c r="H323" s="55">
        <v>1</v>
      </c>
      <c r="I323" s="63">
        <v>0</v>
      </c>
      <c r="J323" s="55">
        <v>0</v>
      </c>
      <c r="K323" s="55">
        <v>1</v>
      </c>
      <c r="L323" s="55">
        <v>0</v>
      </c>
      <c r="M323" s="55">
        <v>0</v>
      </c>
      <c r="N323" s="55">
        <v>0</v>
      </c>
      <c r="O323" s="55">
        <v>0</v>
      </c>
      <c r="P323" s="55">
        <v>0</v>
      </c>
      <c r="Q323" s="56">
        <v>7</v>
      </c>
    </row>
    <row r="324" spans="2:17">
      <c r="B324" s="54">
        <v>41045</v>
      </c>
      <c r="C324" s="55">
        <v>11</v>
      </c>
      <c r="D324" s="55">
        <v>0</v>
      </c>
      <c r="E324" s="55">
        <v>0</v>
      </c>
      <c r="F324" s="55">
        <v>0</v>
      </c>
      <c r="G324" s="55">
        <v>0</v>
      </c>
      <c r="H324" s="55">
        <v>1</v>
      </c>
      <c r="I324" s="63">
        <v>0</v>
      </c>
      <c r="J324" s="55">
        <v>0</v>
      </c>
      <c r="K324" s="55">
        <v>0</v>
      </c>
      <c r="L324" s="55">
        <v>1</v>
      </c>
      <c r="M324" s="55">
        <v>0</v>
      </c>
      <c r="N324" s="55">
        <v>0</v>
      </c>
      <c r="O324" s="55">
        <v>0</v>
      </c>
      <c r="P324" s="55">
        <v>0</v>
      </c>
      <c r="Q324" s="56">
        <v>11</v>
      </c>
    </row>
    <row r="325" spans="2:17">
      <c r="B325" s="54">
        <v>41046</v>
      </c>
      <c r="C325" s="55">
        <v>14</v>
      </c>
      <c r="D325" s="55">
        <v>0</v>
      </c>
      <c r="E325" s="55">
        <v>0</v>
      </c>
      <c r="F325" s="55">
        <v>0</v>
      </c>
      <c r="G325" s="55">
        <v>0</v>
      </c>
      <c r="H325" s="55">
        <v>1</v>
      </c>
      <c r="I325" s="63">
        <v>0</v>
      </c>
      <c r="J325" s="55">
        <v>0</v>
      </c>
      <c r="K325" s="55">
        <v>0</v>
      </c>
      <c r="L325" s="55">
        <v>0</v>
      </c>
      <c r="M325" s="55">
        <v>1</v>
      </c>
      <c r="N325" s="55">
        <v>0</v>
      </c>
      <c r="O325" s="55">
        <v>0</v>
      </c>
      <c r="P325" s="55">
        <v>0</v>
      </c>
      <c r="Q325" s="56">
        <v>10</v>
      </c>
    </row>
    <row r="326" spans="2:17">
      <c r="B326" s="54">
        <v>41047</v>
      </c>
      <c r="C326" s="55">
        <v>19</v>
      </c>
      <c r="D326" s="55">
        <v>0</v>
      </c>
      <c r="E326" s="55">
        <v>0</v>
      </c>
      <c r="F326" s="55">
        <v>0</v>
      </c>
      <c r="G326" s="55">
        <v>0</v>
      </c>
      <c r="H326" s="55">
        <v>1</v>
      </c>
      <c r="I326" s="63">
        <v>0</v>
      </c>
      <c r="J326" s="55">
        <v>0</v>
      </c>
      <c r="K326" s="55">
        <v>0</v>
      </c>
      <c r="L326" s="55">
        <v>0</v>
      </c>
      <c r="M326" s="55">
        <v>0</v>
      </c>
      <c r="N326" s="55">
        <v>1</v>
      </c>
      <c r="O326" s="55">
        <v>0</v>
      </c>
      <c r="P326" s="55">
        <v>0</v>
      </c>
      <c r="Q326" s="56">
        <v>16</v>
      </c>
    </row>
    <row r="327" spans="2:17">
      <c r="B327" s="54">
        <v>41048</v>
      </c>
      <c r="C327" s="55">
        <v>33</v>
      </c>
      <c r="D327" s="55">
        <v>0</v>
      </c>
      <c r="E327" s="55">
        <v>0</v>
      </c>
      <c r="F327" s="55">
        <v>1</v>
      </c>
      <c r="G327" s="55">
        <v>1</v>
      </c>
      <c r="H327" s="55">
        <v>4</v>
      </c>
      <c r="I327" s="63">
        <v>0</v>
      </c>
      <c r="J327" s="55">
        <v>0</v>
      </c>
      <c r="K327" s="55">
        <v>0</v>
      </c>
      <c r="L327" s="55">
        <v>0</v>
      </c>
      <c r="M327" s="55">
        <v>0</v>
      </c>
      <c r="N327" s="55">
        <v>0</v>
      </c>
      <c r="O327" s="55">
        <v>1</v>
      </c>
      <c r="P327" s="55">
        <v>0</v>
      </c>
      <c r="Q327" s="56">
        <v>22</v>
      </c>
    </row>
    <row r="328" spans="2:17">
      <c r="B328" s="54">
        <v>41049</v>
      </c>
      <c r="C328" s="55">
        <v>25</v>
      </c>
      <c r="D328" s="55">
        <v>0</v>
      </c>
      <c r="E328" s="55">
        <v>0</v>
      </c>
      <c r="F328" s="55">
        <v>1</v>
      </c>
      <c r="G328" s="55">
        <v>0</v>
      </c>
      <c r="H328" s="55">
        <v>2</v>
      </c>
      <c r="I328" s="63">
        <v>0</v>
      </c>
      <c r="J328" s="55">
        <v>0</v>
      </c>
      <c r="K328" s="55">
        <v>0</v>
      </c>
      <c r="L328" s="55">
        <v>0</v>
      </c>
      <c r="M328" s="55">
        <v>0</v>
      </c>
      <c r="N328" s="55">
        <v>0</v>
      </c>
      <c r="O328" s="55">
        <v>0</v>
      </c>
      <c r="P328" s="55">
        <v>0</v>
      </c>
      <c r="Q328" s="56">
        <v>21</v>
      </c>
    </row>
    <row r="329" spans="2:17">
      <c r="B329" s="54">
        <v>41050</v>
      </c>
      <c r="C329" s="55">
        <v>15</v>
      </c>
      <c r="D329" s="55">
        <v>0</v>
      </c>
      <c r="E329" s="55">
        <v>0</v>
      </c>
      <c r="F329" s="55">
        <v>0</v>
      </c>
      <c r="G329" s="55">
        <v>0</v>
      </c>
      <c r="H329" s="55">
        <v>1</v>
      </c>
      <c r="I329" s="63">
        <v>0</v>
      </c>
      <c r="J329" s="55">
        <v>1</v>
      </c>
      <c r="K329" s="55">
        <v>0</v>
      </c>
      <c r="L329" s="55">
        <v>0</v>
      </c>
      <c r="M329" s="55">
        <v>0</v>
      </c>
      <c r="N329" s="55">
        <v>0</v>
      </c>
      <c r="O329" s="55">
        <v>0</v>
      </c>
      <c r="P329" s="55">
        <v>0</v>
      </c>
      <c r="Q329" s="56">
        <v>13</v>
      </c>
    </row>
    <row r="330" spans="2:17">
      <c r="B330" s="54">
        <v>41051</v>
      </c>
      <c r="C330" s="55">
        <v>21</v>
      </c>
      <c r="D330" s="55">
        <v>0</v>
      </c>
      <c r="E330" s="55">
        <v>0</v>
      </c>
      <c r="F330" s="55">
        <v>0</v>
      </c>
      <c r="G330" s="55">
        <v>0</v>
      </c>
      <c r="H330" s="55">
        <v>1</v>
      </c>
      <c r="I330" s="63">
        <v>0</v>
      </c>
      <c r="J330" s="55">
        <v>0</v>
      </c>
      <c r="K330" s="55">
        <v>1</v>
      </c>
      <c r="L330" s="55">
        <v>0</v>
      </c>
      <c r="M330" s="55">
        <v>0</v>
      </c>
      <c r="N330" s="55">
        <v>0</v>
      </c>
      <c r="O330" s="55">
        <v>0</v>
      </c>
      <c r="P330" s="55">
        <v>0</v>
      </c>
      <c r="Q330" s="56">
        <v>10</v>
      </c>
    </row>
    <row r="331" spans="2:17">
      <c r="B331" s="54">
        <v>41052</v>
      </c>
      <c r="C331" s="55">
        <v>19</v>
      </c>
      <c r="D331" s="55">
        <v>0</v>
      </c>
      <c r="E331" s="55">
        <v>0</v>
      </c>
      <c r="F331" s="55">
        <v>0</v>
      </c>
      <c r="G331" s="55">
        <v>0</v>
      </c>
      <c r="H331" s="55">
        <v>1</v>
      </c>
      <c r="I331" s="63">
        <v>0</v>
      </c>
      <c r="J331" s="55">
        <v>0</v>
      </c>
      <c r="K331" s="55">
        <v>0</v>
      </c>
      <c r="L331" s="55">
        <v>1</v>
      </c>
      <c r="M331" s="55">
        <v>0</v>
      </c>
      <c r="N331" s="55">
        <v>0</v>
      </c>
      <c r="O331" s="55">
        <v>0</v>
      </c>
      <c r="P331" s="55">
        <v>0</v>
      </c>
      <c r="Q331" s="56">
        <v>14</v>
      </c>
    </row>
    <row r="332" spans="2:17">
      <c r="B332" s="54">
        <v>41053</v>
      </c>
      <c r="C332" s="55">
        <v>23</v>
      </c>
      <c r="D332" s="55">
        <v>0</v>
      </c>
      <c r="E332" s="55">
        <v>0</v>
      </c>
      <c r="F332" s="55">
        <v>0</v>
      </c>
      <c r="G332" s="55">
        <v>0</v>
      </c>
      <c r="H332" s="55">
        <v>1</v>
      </c>
      <c r="I332" s="63">
        <v>0</v>
      </c>
      <c r="J332" s="55">
        <v>0</v>
      </c>
      <c r="K332" s="55">
        <v>0</v>
      </c>
      <c r="L332" s="55">
        <v>0</v>
      </c>
      <c r="M332" s="55">
        <v>1</v>
      </c>
      <c r="N332" s="55">
        <v>0</v>
      </c>
      <c r="O332" s="55">
        <v>0</v>
      </c>
      <c r="P332" s="55">
        <v>0</v>
      </c>
      <c r="Q332" s="56">
        <v>18</v>
      </c>
    </row>
    <row r="333" spans="2:17">
      <c r="B333" s="54">
        <v>41054</v>
      </c>
      <c r="C333" s="55">
        <v>32</v>
      </c>
      <c r="D333" s="55">
        <v>0</v>
      </c>
      <c r="E333" s="55">
        <v>0</v>
      </c>
      <c r="F333" s="55">
        <v>1</v>
      </c>
      <c r="G333" s="55">
        <v>0</v>
      </c>
      <c r="H333" s="55">
        <v>2</v>
      </c>
      <c r="I333" s="63">
        <v>0</v>
      </c>
      <c r="J333" s="55">
        <v>0</v>
      </c>
      <c r="K333" s="55">
        <v>0</v>
      </c>
      <c r="L333" s="55">
        <v>0</v>
      </c>
      <c r="M333" s="55">
        <v>0</v>
      </c>
      <c r="N333" s="55">
        <v>1</v>
      </c>
      <c r="O333" s="55">
        <v>0</v>
      </c>
      <c r="P333" s="55">
        <v>0</v>
      </c>
      <c r="Q333" s="56">
        <v>17</v>
      </c>
    </row>
    <row r="334" spans="2:17">
      <c r="B334" s="54">
        <v>41055</v>
      </c>
      <c r="C334" s="55">
        <v>39</v>
      </c>
      <c r="D334" s="55">
        <v>0</v>
      </c>
      <c r="E334" s="55">
        <v>0</v>
      </c>
      <c r="F334" s="55">
        <v>2</v>
      </c>
      <c r="G334" s="55">
        <v>1</v>
      </c>
      <c r="H334" s="55">
        <v>6</v>
      </c>
      <c r="I334" s="63">
        <v>0</v>
      </c>
      <c r="J334" s="55">
        <v>0</v>
      </c>
      <c r="K334" s="55">
        <v>0</v>
      </c>
      <c r="L334" s="55">
        <v>0</v>
      </c>
      <c r="M334" s="55">
        <v>0</v>
      </c>
      <c r="N334" s="55">
        <v>0</v>
      </c>
      <c r="O334" s="55">
        <v>1</v>
      </c>
      <c r="P334" s="55">
        <v>0</v>
      </c>
      <c r="Q334" s="56">
        <v>31</v>
      </c>
    </row>
    <row r="335" spans="2:17">
      <c r="B335" s="54">
        <v>41056</v>
      </c>
      <c r="C335" s="55">
        <v>32</v>
      </c>
      <c r="D335" s="55">
        <v>0</v>
      </c>
      <c r="E335" s="55">
        <v>0</v>
      </c>
      <c r="F335" s="55">
        <v>1</v>
      </c>
      <c r="G335" s="55">
        <v>1</v>
      </c>
      <c r="H335" s="55">
        <v>4</v>
      </c>
      <c r="I335" s="63">
        <v>0</v>
      </c>
      <c r="J335" s="55">
        <v>0</v>
      </c>
      <c r="K335" s="55">
        <v>0</v>
      </c>
      <c r="L335" s="55">
        <v>0</v>
      </c>
      <c r="M335" s="55">
        <v>0</v>
      </c>
      <c r="N335" s="55">
        <v>0</v>
      </c>
      <c r="O335" s="55">
        <v>0</v>
      </c>
      <c r="P335" s="55">
        <v>0</v>
      </c>
      <c r="Q335" s="56">
        <v>24</v>
      </c>
    </row>
    <row r="336" spans="2:17">
      <c r="B336" s="54">
        <v>41057</v>
      </c>
      <c r="C336" s="55">
        <v>30</v>
      </c>
      <c r="D336" s="55">
        <v>0</v>
      </c>
      <c r="E336" s="55">
        <v>0</v>
      </c>
      <c r="F336" s="55">
        <v>1</v>
      </c>
      <c r="G336" s="55">
        <v>0</v>
      </c>
      <c r="H336" s="55">
        <v>2</v>
      </c>
      <c r="I336" s="63">
        <v>0</v>
      </c>
      <c r="J336" s="55">
        <v>1</v>
      </c>
      <c r="K336" s="55">
        <v>0</v>
      </c>
      <c r="L336" s="55">
        <v>0</v>
      </c>
      <c r="M336" s="55">
        <v>0</v>
      </c>
      <c r="N336" s="55">
        <v>0</v>
      </c>
      <c r="O336" s="55">
        <v>0</v>
      </c>
      <c r="P336" s="55">
        <v>0</v>
      </c>
      <c r="Q336" s="56">
        <v>24</v>
      </c>
    </row>
    <row r="337" spans="2:17">
      <c r="B337" s="54">
        <v>41058</v>
      </c>
      <c r="C337" s="55">
        <v>33</v>
      </c>
      <c r="D337" s="55">
        <v>0</v>
      </c>
      <c r="E337" s="55">
        <v>0</v>
      </c>
      <c r="F337" s="55">
        <v>0</v>
      </c>
      <c r="G337" s="55">
        <v>0</v>
      </c>
      <c r="H337" s="55">
        <v>1</v>
      </c>
      <c r="I337" s="63">
        <v>0</v>
      </c>
      <c r="J337" s="55">
        <v>0</v>
      </c>
      <c r="K337" s="55">
        <v>1</v>
      </c>
      <c r="L337" s="55">
        <v>0</v>
      </c>
      <c r="M337" s="55">
        <v>0</v>
      </c>
      <c r="N337" s="55">
        <v>0</v>
      </c>
      <c r="O337" s="55">
        <v>0</v>
      </c>
      <c r="P337" s="55">
        <v>0</v>
      </c>
      <c r="Q337" s="56">
        <v>25</v>
      </c>
    </row>
    <row r="338" spans="2:17">
      <c r="B338" s="54">
        <v>41059</v>
      </c>
      <c r="C338" s="55">
        <v>27</v>
      </c>
      <c r="D338" s="55">
        <v>0</v>
      </c>
      <c r="E338" s="55">
        <v>0</v>
      </c>
      <c r="F338" s="55">
        <v>1</v>
      </c>
      <c r="G338" s="55">
        <v>0</v>
      </c>
      <c r="H338" s="55">
        <v>2</v>
      </c>
      <c r="I338" s="63">
        <v>0</v>
      </c>
      <c r="J338" s="55">
        <v>0</v>
      </c>
      <c r="K338" s="55">
        <v>0</v>
      </c>
      <c r="L338" s="55">
        <v>1</v>
      </c>
      <c r="M338" s="55">
        <v>0</v>
      </c>
      <c r="N338" s="55">
        <v>0</v>
      </c>
      <c r="O338" s="55">
        <v>0</v>
      </c>
      <c r="P338" s="55">
        <v>0</v>
      </c>
      <c r="Q338" s="56">
        <v>14</v>
      </c>
    </row>
    <row r="339" spans="2:17">
      <c r="B339" s="54">
        <v>41060</v>
      </c>
      <c r="C339" s="55">
        <v>35</v>
      </c>
      <c r="D339" s="55">
        <v>0</v>
      </c>
      <c r="E339" s="55">
        <v>0</v>
      </c>
      <c r="F339" s="55">
        <v>1</v>
      </c>
      <c r="G339" s="55">
        <v>1</v>
      </c>
      <c r="H339" s="55">
        <v>4</v>
      </c>
      <c r="I339" s="63">
        <v>0</v>
      </c>
      <c r="J339" s="55">
        <v>0</v>
      </c>
      <c r="K339" s="55">
        <v>0</v>
      </c>
      <c r="L339" s="55">
        <v>0</v>
      </c>
      <c r="M339" s="55">
        <v>1</v>
      </c>
      <c r="N339" s="55">
        <v>0</v>
      </c>
      <c r="O339" s="55">
        <v>0</v>
      </c>
      <c r="P339" s="55">
        <v>0</v>
      </c>
      <c r="Q339" s="56">
        <v>15</v>
      </c>
    </row>
    <row r="340" spans="2:17">
      <c r="B340" s="54">
        <v>41061</v>
      </c>
      <c r="C340" s="55">
        <v>30</v>
      </c>
      <c r="D340" s="55">
        <v>0</v>
      </c>
      <c r="E340" s="55">
        <v>0</v>
      </c>
      <c r="F340" s="55">
        <v>0</v>
      </c>
      <c r="G340" s="55">
        <v>0</v>
      </c>
      <c r="H340" s="55">
        <v>1</v>
      </c>
      <c r="I340" s="63">
        <v>0</v>
      </c>
      <c r="J340" s="55">
        <v>0</v>
      </c>
      <c r="K340" s="55">
        <v>0</v>
      </c>
      <c r="L340" s="55">
        <v>0</v>
      </c>
      <c r="M340" s="55">
        <v>0</v>
      </c>
      <c r="N340" s="55">
        <v>1</v>
      </c>
      <c r="O340" s="55">
        <v>0</v>
      </c>
      <c r="P340" s="55">
        <v>0</v>
      </c>
      <c r="Q340" s="56">
        <v>13</v>
      </c>
    </row>
    <row r="341" spans="2:17">
      <c r="B341" s="54">
        <v>41062</v>
      </c>
      <c r="C341" s="55">
        <v>36</v>
      </c>
      <c r="D341" s="55">
        <v>0</v>
      </c>
      <c r="E341" s="55">
        <v>0</v>
      </c>
      <c r="F341" s="55">
        <v>1</v>
      </c>
      <c r="G341" s="55">
        <v>1</v>
      </c>
      <c r="H341" s="55">
        <v>4</v>
      </c>
      <c r="I341" s="63">
        <v>0</v>
      </c>
      <c r="J341" s="55">
        <v>0</v>
      </c>
      <c r="K341" s="55">
        <v>0</v>
      </c>
      <c r="L341" s="55">
        <v>0</v>
      </c>
      <c r="M341" s="55">
        <v>0</v>
      </c>
      <c r="N341" s="55">
        <v>0</v>
      </c>
      <c r="O341" s="55">
        <v>1</v>
      </c>
      <c r="P341" s="55">
        <v>0</v>
      </c>
      <c r="Q341" s="56">
        <v>25</v>
      </c>
    </row>
    <row r="342" spans="2:17">
      <c r="B342" s="54">
        <v>41063</v>
      </c>
      <c r="C342" s="55">
        <v>28</v>
      </c>
      <c r="D342" s="55">
        <v>0</v>
      </c>
      <c r="E342" s="55">
        <v>0</v>
      </c>
      <c r="F342" s="55">
        <v>1</v>
      </c>
      <c r="G342" s="55">
        <v>1</v>
      </c>
      <c r="H342" s="55">
        <v>4</v>
      </c>
      <c r="I342" s="63">
        <v>0</v>
      </c>
      <c r="J342" s="55">
        <v>0</v>
      </c>
      <c r="K342" s="55">
        <v>0</v>
      </c>
      <c r="L342" s="55">
        <v>0</v>
      </c>
      <c r="M342" s="55">
        <v>0</v>
      </c>
      <c r="N342" s="55">
        <v>0</v>
      </c>
      <c r="O342" s="55">
        <v>0</v>
      </c>
      <c r="P342" s="55">
        <v>0</v>
      </c>
      <c r="Q342" s="56">
        <v>23</v>
      </c>
    </row>
    <row r="343" spans="2:17">
      <c r="B343" s="54">
        <v>41064</v>
      </c>
      <c r="C343" s="55">
        <v>22</v>
      </c>
      <c r="D343" s="55">
        <v>0</v>
      </c>
      <c r="E343" s="55">
        <v>0</v>
      </c>
      <c r="F343" s="55">
        <v>0</v>
      </c>
      <c r="G343" s="55">
        <v>0</v>
      </c>
      <c r="H343" s="55">
        <v>1</v>
      </c>
      <c r="I343" s="63">
        <v>0</v>
      </c>
      <c r="J343" s="55">
        <v>1</v>
      </c>
      <c r="K343" s="55">
        <v>0</v>
      </c>
      <c r="L343" s="55">
        <v>0</v>
      </c>
      <c r="M343" s="55">
        <v>0</v>
      </c>
      <c r="N343" s="55">
        <v>0</v>
      </c>
      <c r="O343" s="55">
        <v>0</v>
      </c>
      <c r="P343" s="55">
        <v>0</v>
      </c>
      <c r="Q343" s="56">
        <v>7</v>
      </c>
    </row>
    <row r="344" spans="2:17">
      <c r="B344" s="54">
        <v>41065</v>
      </c>
      <c r="C344" s="55">
        <v>23</v>
      </c>
      <c r="D344" s="55">
        <v>0</v>
      </c>
      <c r="E344" s="55">
        <v>0</v>
      </c>
      <c r="F344" s="55">
        <v>0</v>
      </c>
      <c r="G344" s="55">
        <v>0</v>
      </c>
      <c r="H344" s="55">
        <v>1</v>
      </c>
      <c r="I344" s="63">
        <v>0</v>
      </c>
      <c r="J344" s="55">
        <v>0</v>
      </c>
      <c r="K344" s="55">
        <v>1</v>
      </c>
      <c r="L344" s="55">
        <v>0</v>
      </c>
      <c r="M344" s="55">
        <v>0</v>
      </c>
      <c r="N344" s="55">
        <v>0</v>
      </c>
      <c r="O344" s="55">
        <v>0</v>
      </c>
      <c r="P344" s="55">
        <v>0</v>
      </c>
      <c r="Q344" s="56">
        <v>4</v>
      </c>
    </row>
    <row r="345" spans="2:17">
      <c r="B345" s="54">
        <v>41066</v>
      </c>
      <c r="C345" s="55">
        <v>13</v>
      </c>
      <c r="D345" s="55">
        <v>0</v>
      </c>
      <c r="E345" s="55">
        <v>0</v>
      </c>
      <c r="F345" s="55">
        <v>0</v>
      </c>
      <c r="G345" s="55">
        <v>0</v>
      </c>
      <c r="H345" s="55">
        <v>1</v>
      </c>
      <c r="I345" s="63">
        <v>0</v>
      </c>
      <c r="J345" s="55">
        <v>0</v>
      </c>
      <c r="K345" s="55">
        <v>0</v>
      </c>
      <c r="L345" s="55">
        <v>1</v>
      </c>
      <c r="M345" s="55">
        <v>0</v>
      </c>
      <c r="N345" s="55">
        <v>0</v>
      </c>
      <c r="O345" s="55">
        <v>0</v>
      </c>
      <c r="P345" s="55">
        <v>0</v>
      </c>
      <c r="Q345" s="56">
        <v>13</v>
      </c>
    </row>
    <row r="346" spans="2:17">
      <c r="B346" s="54">
        <v>41067</v>
      </c>
      <c r="C346" s="55">
        <v>13</v>
      </c>
      <c r="D346" s="55">
        <v>0</v>
      </c>
      <c r="E346" s="55">
        <v>0</v>
      </c>
      <c r="F346" s="55">
        <v>0</v>
      </c>
      <c r="G346" s="55">
        <v>0</v>
      </c>
      <c r="H346" s="55">
        <v>1</v>
      </c>
      <c r="I346" s="63">
        <v>0</v>
      </c>
      <c r="J346" s="55">
        <v>0</v>
      </c>
      <c r="K346" s="55">
        <v>0</v>
      </c>
      <c r="L346" s="55">
        <v>0</v>
      </c>
      <c r="M346" s="55">
        <v>1</v>
      </c>
      <c r="N346" s="55">
        <v>0</v>
      </c>
      <c r="O346" s="55">
        <v>0</v>
      </c>
      <c r="P346" s="55">
        <v>0</v>
      </c>
      <c r="Q346" s="56">
        <v>14</v>
      </c>
    </row>
    <row r="347" spans="2:17">
      <c r="B347" s="54">
        <v>41068</v>
      </c>
      <c r="C347" s="55">
        <v>12</v>
      </c>
      <c r="D347" s="55">
        <v>0</v>
      </c>
      <c r="E347" s="55">
        <v>0</v>
      </c>
      <c r="F347" s="55">
        <v>0</v>
      </c>
      <c r="G347" s="55">
        <v>0</v>
      </c>
      <c r="H347" s="55">
        <v>1</v>
      </c>
      <c r="I347" s="63">
        <v>0</v>
      </c>
      <c r="J347" s="55">
        <v>0</v>
      </c>
      <c r="K347" s="55">
        <v>0</v>
      </c>
      <c r="L347" s="55">
        <v>0</v>
      </c>
      <c r="M347" s="55">
        <v>0</v>
      </c>
      <c r="N347" s="55">
        <v>1</v>
      </c>
      <c r="O347" s="55">
        <v>0</v>
      </c>
      <c r="P347" s="55">
        <v>0</v>
      </c>
      <c r="Q347" s="56">
        <v>18</v>
      </c>
    </row>
    <row r="348" spans="2:17">
      <c r="B348" s="54">
        <v>41069</v>
      </c>
      <c r="C348" s="55">
        <v>38</v>
      </c>
      <c r="D348" s="55">
        <v>0</v>
      </c>
      <c r="E348" s="55">
        <v>0</v>
      </c>
      <c r="F348" s="55">
        <v>1</v>
      </c>
      <c r="G348" s="55">
        <v>1</v>
      </c>
      <c r="H348" s="55">
        <v>4</v>
      </c>
      <c r="I348" s="63">
        <v>0</v>
      </c>
      <c r="J348" s="55">
        <v>0</v>
      </c>
      <c r="K348" s="55">
        <v>0</v>
      </c>
      <c r="L348" s="55">
        <v>0</v>
      </c>
      <c r="M348" s="55">
        <v>0</v>
      </c>
      <c r="N348" s="55">
        <v>0</v>
      </c>
      <c r="O348" s="55">
        <v>1</v>
      </c>
      <c r="P348" s="55">
        <v>0</v>
      </c>
      <c r="Q348" s="56">
        <v>20</v>
      </c>
    </row>
    <row r="349" spans="2:17">
      <c r="B349" s="54">
        <v>41070</v>
      </c>
      <c r="C349" s="55">
        <v>17</v>
      </c>
      <c r="D349" s="55">
        <v>0</v>
      </c>
      <c r="E349" s="55">
        <v>0</v>
      </c>
      <c r="F349" s="55">
        <v>1</v>
      </c>
      <c r="G349" s="55">
        <v>0</v>
      </c>
      <c r="H349" s="55">
        <v>2</v>
      </c>
      <c r="I349" s="63">
        <v>0</v>
      </c>
      <c r="J349" s="55">
        <v>0</v>
      </c>
      <c r="K349" s="55">
        <v>0</v>
      </c>
      <c r="L349" s="55">
        <v>0</v>
      </c>
      <c r="M349" s="55">
        <v>0</v>
      </c>
      <c r="N349" s="55">
        <v>0</v>
      </c>
      <c r="O349" s="55">
        <v>0</v>
      </c>
      <c r="P349" s="55">
        <v>0</v>
      </c>
      <c r="Q349" s="56">
        <v>11</v>
      </c>
    </row>
    <row r="350" spans="2:17">
      <c r="B350" s="54">
        <v>41071</v>
      </c>
      <c r="C350" s="55">
        <v>22</v>
      </c>
      <c r="D350" s="55">
        <v>0</v>
      </c>
      <c r="E350" s="55">
        <v>0</v>
      </c>
      <c r="F350" s="55">
        <v>0</v>
      </c>
      <c r="G350" s="55">
        <v>0</v>
      </c>
      <c r="H350" s="55">
        <v>1</v>
      </c>
      <c r="I350" s="63">
        <v>0</v>
      </c>
      <c r="J350" s="55">
        <v>1</v>
      </c>
      <c r="K350" s="55">
        <v>0</v>
      </c>
      <c r="L350" s="55">
        <v>0</v>
      </c>
      <c r="M350" s="55">
        <v>0</v>
      </c>
      <c r="N350" s="55">
        <v>0</v>
      </c>
      <c r="O350" s="55">
        <v>0</v>
      </c>
      <c r="P350" s="55">
        <v>0</v>
      </c>
      <c r="Q350" s="56">
        <v>8</v>
      </c>
    </row>
    <row r="351" spans="2:17">
      <c r="B351" s="54">
        <v>41072</v>
      </c>
      <c r="C351" s="55">
        <v>12</v>
      </c>
      <c r="D351" s="55">
        <v>0</v>
      </c>
      <c r="E351" s="55">
        <v>0</v>
      </c>
      <c r="F351" s="55">
        <v>0</v>
      </c>
      <c r="G351" s="55">
        <v>0</v>
      </c>
      <c r="H351" s="55">
        <v>1</v>
      </c>
      <c r="I351" s="63">
        <v>0</v>
      </c>
      <c r="J351" s="55">
        <v>0</v>
      </c>
      <c r="K351" s="55">
        <v>1</v>
      </c>
      <c r="L351" s="55">
        <v>0</v>
      </c>
      <c r="M351" s="55">
        <v>0</v>
      </c>
      <c r="N351" s="55">
        <v>0</v>
      </c>
      <c r="O351" s="55">
        <v>0</v>
      </c>
      <c r="P351" s="55">
        <v>0</v>
      </c>
      <c r="Q351" s="56">
        <v>9</v>
      </c>
    </row>
    <row r="352" spans="2:17">
      <c r="B352" s="54">
        <v>41073</v>
      </c>
      <c r="C352" s="55">
        <v>22</v>
      </c>
      <c r="D352" s="55">
        <v>0</v>
      </c>
      <c r="E352" s="55">
        <v>0</v>
      </c>
      <c r="F352" s="55">
        <v>0</v>
      </c>
      <c r="G352" s="55">
        <v>0</v>
      </c>
      <c r="H352" s="55">
        <v>1</v>
      </c>
      <c r="I352" s="63">
        <v>0</v>
      </c>
      <c r="J352" s="55">
        <v>0</v>
      </c>
      <c r="K352" s="55">
        <v>0</v>
      </c>
      <c r="L352" s="55">
        <v>1</v>
      </c>
      <c r="M352" s="55">
        <v>0</v>
      </c>
      <c r="N352" s="55">
        <v>0</v>
      </c>
      <c r="O352" s="55">
        <v>0</v>
      </c>
      <c r="P352" s="55">
        <v>0</v>
      </c>
      <c r="Q352" s="56">
        <v>11</v>
      </c>
    </row>
    <row r="353" spans="2:17">
      <c r="B353" s="54">
        <v>41074</v>
      </c>
      <c r="C353" s="55">
        <v>20</v>
      </c>
      <c r="D353" s="55">
        <v>0</v>
      </c>
      <c r="E353" s="55">
        <v>0</v>
      </c>
      <c r="F353" s="55">
        <v>0</v>
      </c>
      <c r="G353" s="55">
        <v>0</v>
      </c>
      <c r="H353" s="55">
        <v>1</v>
      </c>
      <c r="I353" s="63">
        <v>0</v>
      </c>
      <c r="J353" s="55">
        <v>0</v>
      </c>
      <c r="K353" s="55">
        <v>0</v>
      </c>
      <c r="L353" s="55">
        <v>0</v>
      </c>
      <c r="M353" s="55">
        <v>1</v>
      </c>
      <c r="N353" s="55">
        <v>0</v>
      </c>
      <c r="O353" s="55">
        <v>0</v>
      </c>
      <c r="P353" s="55">
        <v>0</v>
      </c>
      <c r="Q353" s="56">
        <v>15</v>
      </c>
    </row>
    <row r="354" spans="2:17">
      <c r="B354" s="54">
        <v>41075</v>
      </c>
      <c r="C354" s="55">
        <v>20</v>
      </c>
      <c r="D354" s="55">
        <v>0</v>
      </c>
      <c r="E354" s="55">
        <v>0</v>
      </c>
      <c r="F354" s="55">
        <v>0</v>
      </c>
      <c r="G354" s="55">
        <v>0</v>
      </c>
      <c r="H354" s="55">
        <v>1</v>
      </c>
      <c r="I354" s="63">
        <v>0</v>
      </c>
      <c r="J354" s="55">
        <v>0</v>
      </c>
      <c r="K354" s="55">
        <v>0</v>
      </c>
      <c r="L354" s="55">
        <v>0</v>
      </c>
      <c r="M354" s="55">
        <v>0</v>
      </c>
      <c r="N354" s="55">
        <v>1</v>
      </c>
      <c r="O354" s="55">
        <v>0</v>
      </c>
      <c r="P354" s="55">
        <v>0</v>
      </c>
      <c r="Q354" s="56">
        <v>13</v>
      </c>
    </row>
    <row r="355" spans="2:17">
      <c r="B355" s="54">
        <v>41076</v>
      </c>
      <c r="C355" s="55">
        <v>42</v>
      </c>
      <c r="D355" s="55">
        <v>0</v>
      </c>
      <c r="E355" s="55">
        <v>0</v>
      </c>
      <c r="F355" s="55">
        <v>1</v>
      </c>
      <c r="G355" s="55">
        <v>1</v>
      </c>
      <c r="H355" s="55">
        <v>4</v>
      </c>
      <c r="I355" s="63">
        <v>0</v>
      </c>
      <c r="J355" s="55">
        <v>0</v>
      </c>
      <c r="K355" s="55">
        <v>0</v>
      </c>
      <c r="L355" s="55">
        <v>0</v>
      </c>
      <c r="M355" s="55">
        <v>0</v>
      </c>
      <c r="N355" s="55">
        <v>0</v>
      </c>
      <c r="O355" s="55">
        <v>1</v>
      </c>
      <c r="P355" s="55">
        <v>0</v>
      </c>
      <c r="Q355" s="56">
        <v>20</v>
      </c>
    </row>
    <row r="356" spans="2:17">
      <c r="B356" s="54">
        <v>41077</v>
      </c>
      <c r="C356" s="55">
        <v>22</v>
      </c>
      <c r="D356" s="55">
        <v>0</v>
      </c>
      <c r="E356" s="55">
        <v>0</v>
      </c>
      <c r="F356" s="55">
        <v>1</v>
      </c>
      <c r="G356" s="55">
        <v>0</v>
      </c>
      <c r="H356" s="55">
        <v>2</v>
      </c>
      <c r="I356" s="63">
        <v>0</v>
      </c>
      <c r="J356" s="55">
        <v>0</v>
      </c>
      <c r="K356" s="55">
        <v>0</v>
      </c>
      <c r="L356" s="55">
        <v>0</v>
      </c>
      <c r="M356" s="55">
        <v>0</v>
      </c>
      <c r="N356" s="55">
        <v>0</v>
      </c>
      <c r="O356" s="55">
        <v>0</v>
      </c>
      <c r="P356" s="55">
        <v>0</v>
      </c>
      <c r="Q356" s="56">
        <v>16</v>
      </c>
    </row>
    <row r="357" spans="2:17">
      <c r="B357" s="54">
        <v>41078</v>
      </c>
      <c r="C357" s="55">
        <v>23</v>
      </c>
      <c r="D357" s="55">
        <v>0</v>
      </c>
      <c r="E357" s="55">
        <v>0</v>
      </c>
      <c r="F357" s="55">
        <v>0</v>
      </c>
      <c r="G357" s="55">
        <v>0</v>
      </c>
      <c r="H357" s="55">
        <v>1</v>
      </c>
      <c r="I357" s="63">
        <v>0</v>
      </c>
      <c r="J357" s="55">
        <v>1</v>
      </c>
      <c r="K357" s="55">
        <v>0</v>
      </c>
      <c r="L357" s="55">
        <v>0</v>
      </c>
      <c r="M357" s="55">
        <v>0</v>
      </c>
      <c r="N357" s="55">
        <v>0</v>
      </c>
      <c r="O357" s="55">
        <v>0</v>
      </c>
      <c r="P357" s="55">
        <v>0</v>
      </c>
      <c r="Q357" s="56">
        <v>18</v>
      </c>
    </row>
    <row r="358" spans="2:17">
      <c r="B358" s="54">
        <v>41079</v>
      </c>
      <c r="C358" s="55">
        <v>19</v>
      </c>
      <c r="D358" s="55">
        <v>0</v>
      </c>
      <c r="E358" s="55">
        <v>0</v>
      </c>
      <c r="F358" s="55">
        <v>0</v>
      </c>
      <c r="G358" s="55">
        <v>0</v>
      </c>
      <c r="H358" s="55">
        <v>1</v>
      </c>
      <c r="I358" s="63">
        <v>0</v>
      </c>
      <c r="J358" s="55">
        <v>0</v>
      </c>
      <c r="K358" s="55">
        <v>1</v>
      </c>
      <c r="L358" s="55">
        <v>0</v>
      </c>
      <c r="M358" s="55">
        <v>0</v>
      </c>
      <c r="N358" s="55">
        <v>0</v>
      </c>
      <c r="O358" s="55">
        <v>0</v>
      </c>
      <c r="P358" s="55">
        <v>0</v>
      </c>
      <c r="Q358" s="56">
        <v>11</v>
      </c>
    </row>
    <row r="359" spans="2:17">
      <c r="B359" s="54">
        <v>41080</v>
      </c>
      <c r="C359" s="55">
        <v>21</v>
      </c>
      <c r="D359" s="55">
        <v>0</v>
      </c>
      <c r="E359" s="55">
        <v>0</v>
      </c>
      <c r="F359" s="55">
        <v>0</v>
      </c>
      <c r="G359" s="55">
        <v>0</v>
      </c>
      <c r="H359" s="55">
        <v>1</v>
      </c>
      <c r="I359" s="63">
        <v>0</v>
      </c>
      <c r="J359" s="55">
        <v>0</v>
      </c>
      <c r="K359" s="55">
        <v>0</v>
      </c>
      <c r="L359" s="55">
        <v>1</v>
      </c>
      <c r="M359" s="55">
        <v>0</v>
      </c>
      <c r="N359" s="55">
        <v>0</v>
      </c>
      <c r="O359" s="55">
        <v>0</v>
      </c>
      <c r="P359" s="55">
        <v>0</v>
      </c>
      <c r="Q359" s="56">
        <v>7</v>
      </c>
    </row>
    <row r="360" spans="2:17">
      <c r="B360" s="54">
        <v>41081</v>
      </c>
      <c r="C360" s="55">
        <v>20</v>
      </c>
      <c r="D360" s="55">
        <v>0</v>
      </c>
      <c r="E360" s="55">
        <v>0</v>
      </c>
      <c r="F360" s="55">
        <v>0</v>
      </c>
      <c r="G360" s="55">
        <v>0</v>
      </c>
      <c r="H360" s="55">
        <v>1</v>
      </c>
      <c r="I360" s="63">
        <v>0</v>
      </c>
      <c r="J360" s="55">
        <v>0</v>
      </c>
      <c r="K360" s="55">
        <v>0</v>
      </c>
      <c r="L360" s="55">
        <v>0</v>
      </c>
      <c r="M360" s="55">
        <v>1</v>
      </c>
      <c r="N360" s="55">
        <v>0</v>
      </c>
      <c r="O360" s="55">
        <v>0</v>
      </c>
      <c r="P360" s="55">
        <v>0</v>
      </c>
      <c r="Q360" s="56">
        <v>12</v>
      </c>
    </row>
    <row r="361" spans="2:17">
      <c r="B361" s="54">
        <v>41082</v>
      </c>
      <c r="C361" s="55">
        <v>32</v>
      </c>
      <c r="D361" s="55">
        <v>0</v>
      </c>
      <c r="E361" s="55">
        <v>0</v>
      </c>
      <c r="F361" s="55">
        <v>0</v>
      </c>
      <c r="G361" s="55">
        <v>0</v>
      </c>
      <c r="H361" s="55">
        <v>1</v>
      </c>
      <c r="I361" s="63">
        <v>0</v>
      </c>
      <c r="J361" s="55">
        <v>0</v>
      </c>
      <c r="K361" s="55">
        <v>0</v>
      </c>
      <c r="L361" s="55">
        <v>0</v>
      </c>
      <c r="M361" s="55">
        <v>0</v>
      </c>
      <c r="N361" s="55">
        <v>1</v>
      </c>
      <c r="O361" s="55">
        <v>0</v>
      </c>
      <c r="P361" s="55">
        <v>0</v>
      </c>
      <c r="Q361" s="56">
        <v>20</v>
      </c>
    </row>
    <row r="362" spans="2:17">
      <c r="B362" s="54">
        <v>41083</v>
      </c>
      <c r="C362" s="55">
        <v>38</v>
      </c>
      <c r="D362" s="55">
        <v>0</v>
      </c>
      <c r="E362" s="55">
        <v>0</v>
      </c>
      <c r="F362" s="55">
        <v>2</v>
      </c>
      <c r="G362" s="55">
        <v>1</v>
      </c>
      <c r="H362" s="55">
        <v>6</v>
      </c>
      <c r="I362" s="63">
        <v>0</v>
      </c>
      <c r="J362" s="55">
        <v>0</v>
      </c>
      <c r="K362" s="55">
        <v>0</v>
      </c>
      <c r="L362" s="55">
        <v>0</v>
      </c>
      <c r="M362" s="55">
        <v>0</v>
      </c>
      <c r="N362" s="55">
        <v>0</v>
      </c>
      <c r="O362" s="55">
        <v>1</v>
      </c>
      <c r="P362" s="55">
        <v>0</v>
      </c>
      <c r="Q362" s="56">
        <v>23</v>
      </c>
    </row>
    <row r="363" spans="2:17">
      <c r="B363" s="54">
        <v>41084</v>
      </c>
      <c r="C363" s="55">
        <v>34</v>
      </c>
      <c r="D363" s="55">
        <v>0</v>
      </c>
      <c r="E363" s="55">
        <v>0</v>
      </c>
      <c r="F363" s="55">
        <v>1</v>
      </c>
      <c r="G363" s="55">
        <v>1</v>
      </c>
      <c r="H363" s="55">
        <v>4</v>
      </c>
      <c r="I363" s="63">
        <v>0</v>
      </c>
      <c r="J363" s="55">
        <v>0</v>
      </c>
      <c r="K363" s="55">
        <v>0</v>
      </c>
      <c r="L363" s="55">
        <v>0</v>
      </c>
      <c r="M363" s="55">
        <v>0</v>
      </c>
      <c r="N363" s="55">
        <v>0</v>
      </c>
      <c r="O363" s="55">
        <v>0</v>
      </c>
      <c r="P363" s="55">
        <v>0</v>
      </c>
      <c r="Q363" s="56">
        <v>23</v>
      </c>
    </row>
    <row r="364" spans="2:17">
      <c r="B364" s="54">
        <v>41085</v>
      </c>
      <c r="C364" s="55">
        <v>31</v>
      </c>
      <c r="D364" s="55">
        <v>0</v>
      </c>
      <c r="E364" s="55">
        <v>0</v>
      </c>
      <c r="F364" s="55">
        <v>0</v>
      </c>
      <c r="G364" s="55">
        <v>0</v>
      </c>
      <c r="H364" s="55">
        <v>1</v>
      </c>
      <c r="I364" s="63">
        <v>0</v>
      </c>
      <c r="J364" s="55">
        <v>1</v>
      </c>
      <c r="K364" s="55">
        <v>0</v>
      </c>
      <c r="L364" s="55">
        <v>0</v>
      </c>
      <c r="M364" s="55">
        <v>0</v>
      </c>
      <c r="N364" s="55">
        <v>0</v>
      </c>
      <c r="O364" s="55">
        <v>0</v>
      </c>
      <c r="P364" s="55">
        <v>0</v>
      </c>
      <c r="Q364" s="56">
        <v>18</v>
      </c>
    </row>
    <row r="365" spans="2:17">
      <c r="B365" s="54">
        <v>41086</v>
      </c>
      <c r="C365" s="55">
        <v>33</v>
      </c>
      <c r="D365" s="55">
        <v>0</v>
      </c>
      <c r="E365" s="55">
        <v>0</v>
      </c>
      <c r="F365" s="55">
        <v>1</v>
      </c>
      <c r="G365" s="55">
        <v>0</v>
      </c>
      <c r="H365" s="55">
        <v>2</v>
      </c>
      <c r="I365" s="63">
        <v>0</v>
      </c>
      <c r="J365" s="55">
        <v>0</v>
      </c>
      <c r="K365" s="55">
        <v>1</v>
      </c>
      <c r="L365" s="55">
        <v>0</v>
      </c>
      <c r="M365" s="55">
        <v>0</v>
      </c>
      <c r="N365" s="55">
        <v>0</v>
      </c>
      <c r="O365" s="55">
        <v>0</v>
      </c>
      <c r="P365" s="55">
        <v>0</v>
      </c>
      <c r="Q365" s="56">
        <v>21</v>
      </c>
    </row>
    <row r="366" spans="2:17">
      <c r="B366" s="54">
        <v>41087</v>
      </c>
      <c r="C366" s="55">
        <v>31</v>
      </c>
      <c r="D366" s="55">
        <v>0</v>
      </c>
      <c r="E366" s="55">
        <v>0</v>
      </c>
      <c r="F366" s="55">
        <v>0</v>
      </c>
      <c r="G366" s="55">
        <v>0</v>
      </c>
      <c r="H366" s="55">
        <v>1</v>
      </c>
      <c r="I366" s="63">
        <v>0</v>
      </c>
      <c r="J366" s="55">
        <v>0</v>
      </c>
      <c r="K366" s="55">
        <v>0</v>
      </c>
      <c r="L366" s="55">
        <v>1</v>
      </c>
      <c r="M366" s="55">
        <v>0</v>
      </c>
      <c r="N366" s="55">
        <v>0</v>
      </c>
      <c r="O366" s="55">
        <v>0</v>
      </c>
      <c r="P366" s="55">
        <v>0</v>
      </c>
      <c r="Q366" s="56">
        <v>25</v>
      </c>
    </row>
    <row r="367" spans="2:17">
      <c r="B367" s="54">
        <v>41088</v>
      </c>
      <c r="C367" s="55">
        <v>42</v>
      </c>
      <c r="D367" s="55">
        <v>0</v>
      </c>
      <c r="E367" s="55">
        <v>0</v>
      </c>
      <c r="F367" s="55">
        <v>1</v>
      </c>
      <c r="G367" s="55">
        <v>0</v>
      </c>
      <c r="H367" s="55">
        <v>2</v>
      </c>
      <c r="I367" s="63">
        <v>0</v>
      </c>
      <c r="J367" s="55">
        <v>0</v>
      </c>
      <c r="K367" s="55">
        <v>0</v>
      </c>
      <c r="L367" s="55">
        <v>0</v>
      </c>
      <c r="M367" s="55">
        <v>1</v>
      </c>
      <c r="N367" s="55">
        <v>0</v>
      </c>
      <c r="O367" s="55">
        <v>0</v>
      </c>
      <c r="P367" s="55">
        <v>0</v>
      </c>
      <c r="Q367" s="56">
        <v>24</v>
      </c>
    </row>
    <row r="368" spans="2:17">
      <c r="B368" s="54">
        <v>41089</v>
      </c>
      <c r="C368" s="55">
        <v>52</v>
      </c>
      <c r="D368" s="55">
        <v>0</v>
      </c>
      <c r="E368" s="55">
        <v>0</v>
      </c>
      <c r="F368" s="55">
        <v>1</v>
      </c>
      <c r="G368" s="55">
        <v>1</v>
      </c>
      <c r="H368" s="55">
        <v>4</v>
      </c>
      <c r="I368" s="63">
        <v>0</v>
      </c>
      <c r="J368" s="55">
        <v>0</v>
      </c>
      <c r="K368" s="55">
        <v>0</v>
      </c>
      <c r="L368" s="55">
        <v>0</v>
      </c>
      <c r="M368" s="55">
        <v>0</v>
      </c>
      <c r="N368" s="55">
        <v>1</v>
      </c>
      <c r="O368" s="55">
        <v>0</v>
      </c>
      <c r="P368" s="55">
        <v>0</v>
      </c>
      <c r="Q368" s="56">
        <v>16</v>
      </c>
    </row>
    <row r="369" spans="2:17" ht="21" thickBot="1">
      <c r="B369" s="57">
        <v>41090</v>
      </c>
      <c r="C369" s="58">
        <v>55</v>
      </c>
      <c r="D369" s="58">
        <v>0</v>
      </c>
      <c r="E369" s="58">
        <v>0</v>
      </c>
      <c r="F369" s="58">
        <v>2</v>
      </c>
      <c r="G369" s="58">
        <v>2</v>
      </c>
      <c r="H369" s="58">
        <v>9</v>
      </c>
      <c r="I369" s="64">
        <v>0</v>
      </c>
      <c r="J369" s="58">
        <v>0</v>
      </c>
      <c r="K369" s="58">
        <v>0</v>
      </c>
      <c r="L369" s="58">
        <v>0</v>
      </c>
      <c r="M369" s="58">
        <v>0</v>
      </c>
      <c r="N369" s="58">
        <v>0</v>
      </c>
      <c r="O369" s="58">
        <v>1</v>
      </c>
      <c r="P369" s="58">
        <v>0</v>
      </c>
      <c r="Q369" s="59">
        <v>25</v>
      </c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0DB10-AAB4-A742-A773-800FC560ED7C}">
  <dimension ref="A2:AJ369"/>
  <sheetViews>
    <sheetView topLeftCell="G1" workbookViewId="0">
      <selection activeCell="U11" sqref="U11"/>
    </sheetView>
  </sheetViews>
  <sheetFormatPr baseColWidth="10" defaultRowHeight="20"/>
  <sheetData>
    <row r="2" spans="1:24" ht="21" thickBot="1">
      <c r="B2" s="78" t="s">
        <v>61</v>
      </c>
      <c r="C2" s="79">
        <v>5.3656205887659176</v>
      </c>
      <c r="D2" s="79">
        <v>0</v>
      </c>
      <c r="E2" s="79">
        <v>0</v>
      </c>
      <c r="F2" s="79">
        <v>5.3179073766994058</v>
      </c>
      <c r="G2" s="79">
        <v>3.8074290823476789</v>
      </c>
      <c r="H2" s="79">
        <v>-0.75404490265982793</v>
      </c>
      <c r="I2" s="79">
        <v>-0.9661306496536447</v>
      </c>
      <c r="J2" s="79">
        <v>4.914951809728664</v>
      </c>
      <c r="K2" s="79">
        <v>4.9235459496112179</v>
      </c>
      <c r="L2" s="79">
        <v>4.5246396658135168</v>
      </c>
      <c r="M2" s="79">
        <v>3.1591336869211086</v>
      </c>
      <c r="N2" s="79">
        <v>4.5865655790482771</v>
      </c>
      <c r="O2" s="79">
        <v>2.7009262610823073</v>
      </c>
      <c r="P2" s="79">
        <v>8.1332181007052498</v>
      </c>
      <c r="Q2" s="79">
        <v>0.57512576934356696</v>
      </c>
    </row>
    <row r="3" spans="1:24" ht="21" thickBot="1">
      <c r="A3" s="76" t="s">
        <v>0</v>
      </c>
      <c r="B3" s="75" t="s">
        <v>1</v>
      </c>
      <c r="C3" s="77" t="s">
        <v>60</v>
      </c>
      <c r="D3" s="77" t="s">
        <v>2</v>
      </c>
      <c r="E3" s="77" t="s">
        <v>3</v>
      </c>
      <c r="F3" s="77" t="s">
        <v>4</v>
      </c>
      <c r="G3" s="77" t="s">
        <v>5</v>
      </c>
      <c r="H3" s="77" t="s">
        <v>35</v>
      </c>
      <c r="I3" s="77" t="s">
        <v>42</v>
      </c>
      <c r="J3" s="77" t="s">
        <v>43</v>
      </c>
      <c r="K3" s="77" t="s">
        <v>44</v>
      </c>
      <c r="L3" s="77" t="s">
        <v>45</v>
      </c>
      <c r="M3" s="77" t="s">
        <v>46</v>
      </c>
      <c r="N3" s="77" t="s">
        <v>47</v>
      </c>
      <c r="O3" s="77" t="s">
        <v>48</v>
      </c>
      <c r="P3" s="77" t="s">
        <v>49</v>
      </c>
      <c r="Q3" s="19" t="s">
        <v>50</v>
      </c>
      <c r="R3" s="80" t="s">
        <v>62</v>
      </c>
      <c r="S3" s="81"/>
      <c r="T3" s="81"/>
      <c r="U3" s="82" t="s">
        <v>41</v>
      </c>
      <c r="W3" s="72"/>
      <c r="X3" s="72" t="s">
        <v>28</v>
      </c>
    </row>
    <row r="4" spans="1:24">
      <c r="A4" s="32">
        <v>41091</v>
      </c>
      <c r="B4" s="42">
        <v>45</v>
      </c>
      <c r="C4" s="33">
        <v>1</v>
      </c>
      <c r="D4" s="33">
        <v>0</v>
      </c>
      <c r="E4" s="33">
        <v>0</v>
      </c>
      <c r="F4" s="33">
        <v>2</v>
      </c>
      <c r="G4" s="33">
        <v>1</v>
      </c>
      <c r="H4" s="33">
        <v>6</v>
      </c>
      <c r="I4" s="33">
        <v>0</v>
      </c>
      <c r="J4" s="33">
        <v>0</v>
      </c>
      <c r="K4" s="33">
        <v>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21">
        <v>17</v>
      </c>
      <c r="R4">
        <f t="shared" ref="R4:R35" si="0">SUMPRODUCT($C$2:$Q$2,C4:Q4)</f>
        <v>25.061733087394078</v>
      </c>
      <c r="S4">
        <f>(R4-B4)^2</f>
        <v>397.53448747831607</v>
      </c>
      <c r="U4">
        <f>SUM(S4:S369)</f>
        <v>61226.719255941069</v>
      </c>
      <c r="W4" s="73" t="s">
        <v>22</v>
      </c>
      <c r="X4" s="73">
        <v>5.3656205887659176</v>
      </c>
    </row>
    <row r="5" spans="1:24">
      <c r="A5" s="32">
        <v>41092</v>
      </c>
      <c r="B5" s="42">
        <v>31</v>
      </c>
      <c r="C5" s="33">
        <v>1</v>
      </c>
      <c r="D5" s="33">
        <v>0</v>
      </c>
      <c r="E5" s="33">
        <v>0</v>
      </c>
      <c r="F5" s="33">
        <v>1</v>
      </c>
      <c r="G5" s="33">
        <v>1</v>
      </c>
      <c r="H5" s="33">
        <v>4</v>
      </c>
      <c r="I5" s="33">
        <v>0</v>
      </c>
      <c r="J5" s="33">
        <v>1</v>
      </c>
      <c r="K5" s="33">
        <v>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21">
        <v>11</v>
      </c>
      <c r="R5">
        <f t="shared" si="0"/>
        <v>22.716112709681589</v>
      </c>
      <c r="S5">
        <f t="shared" ref="S5:S68" si="1">(R5-B5)^2</f>
        <v>68.622788638698907</v>
      </c>
      <c r="U5">
        <f>U4/COUNTA(S4:S369)</f>
        <v>167.28611818563132</v>
      </c>
      <c r="W5" s="73" t="s">
        <v>4</v>
      </c>
      <c r="X5" s="73">
        <v>5.3179073766994058</v>
      </c>
    </row>
    <row r="6" spans="1:24">
      <c r="A6" s="32">
        <v>41093</v>
      </c>
      <c r="B6" s="42">
        <v>12</v>
      </c>
      <c r="C6" s="33">
        <v>1</v>
      </c>
      <c r="D6" s="33">
        <v>0</v>
      </c>
      <c r="E6" s="33">
        <v>0</v>
      </c>
      <c r="F6" s="33">
        <v>1</v>
      </c>
      <c r="G6" s="33">
        <v>0</v>
      </c>
      <c r="H6" s="33">
        <v>2</v>
      </c>
      <c r="I6" s="33">
        <v>0</v>
      </c>
      <c r="J6" s="33">
        <v>0</v>
      </c>
      <c r="K6" s="33">
        <v>1</v>
      </c>
      <c r="L6" s="33">
        <v>0</v>
      </c>
      <c r="M6" s="33">
        <v>0</v>
      </c>
      <c r="N6" s="33">
        <v>0</v>
      </c>
      <c r="O6" s="33">
        <v>0</v>
      </c>
      <c r="P6" s="33">
        <v>0</v>
      </c>
      <c r="Q6" s="21">
        <v>8</v>
      </c>
      <c r="R6">
        <f t="shared" si="0"/>
        <v>18.69999026450542</v>
      </c>
      <c r="S6">
        <f t="shared" si="1"/>
        <v>44.889869544467409</v>
      </c>
      <c r="U6" s="24">
        <f>SQRT(U5)</f>
        <v>12.933913490727829</v>
      </c>
      <c r="W6" s="73" t="s">
        <v>5</v>
      </c>
      <c r="X6" s="73">
        <v>3.8074290823476789</v>
      </c>
    </row>
    <row r="7" spans="1:24">
      <c r="A7" s="32">
        <v>41094</v>
      </c>
      <c r="B7" s="42">
        <v>19</v>
      </c>
      <c r="C7" s="33">
        <v>1</v>
      </c>
      <c r="D7" s="33">
        <v>0</v>
      </c>
      <c r="E7" s="33">
        <v>0</v>
      </c>
      <c r="F7" s="33">
        <v>0</v>
      </c>
      <c r="G7" s="33">
        <v>0</v>
      </c>
      <c r="H7" s="33">
        <v>1</v>
      </c>
      <c r="I7" s="33">
        <v>0</v>
      </c>
      <c r="J7" s="33">
        <v>0</v>
      </c>
      <c r="K7" s="33">
        <v>0</v>
      </c>
      <c r="L7" s="33">
        <v>1</v>
      </c>
      <c r="M7" s="33">
        <v>0</v>
      </c>
      <c r="N7" s="33">
        <v>0</v>
      </c>
      <c r="O7" s="33">
        <v>0</v>
      </c>
      <c r="P7" s="33">
        <v>0</v>
      </c>
      <c r="Q7" s="21">
        <v>11</v>
      </c>
      <c r="R7">
        <f t="shared" si="0"/>
        <v>15.462598814698843</v>
      </c>
      <c r="S7">
        <f t="shared" si="1"/>
        <v>12.513207145770028</v>
      </c>
      <c r="W7" s="73" t="s">
        <v>6</v>
      </c>
      <c r="X7" s="73">
        <v>-0.75404490265982793</v>
      </c>
    </row>
    <row r="8" spans="1:24">
      <c r="A8" s="32">
        <v>41095</v>
      </c>
      <c r="B8" s="42">
        <v>16</v>
      </c>
      <c r="C8" s="33">
        <v>1</v>
      </c>
      <c r="D8" s="33">
        <v>0</v>
      </c>
      <c r="E8" s="33">
        <v>0</v>
      </c>
      <c r="F8" s="33">
        <v>0</v>
      </c>
      <c r="G8" s="33">
        <v>0</v>
      </c>
      <c r="H8" s="33">
        <v>1</v>
      </c>
      <c r="I8" s="33">
        <v>0</v>
      </c>
      <c r="J8" s="33">
        <v>0</v>
      </c>
      <c r="K8" s="33">
        <v>0</v>
      </c>
      <c r="L8" s="33">
        <v>0</v>
      </c>
      <c r="M8" s="33">
        <v>1</v>
      </c>
      <c r="N8" s="33">
        <v>0</v>
      </c>
      <c r="O8" s="33">
        <v>0</v>
      </c>
      <c r="P8" s="33">
        <v>0</v>
      </c>
      <c r="Q8" s="21">
        <v>10</v>
      </c>
      <c r="R8">
        <f t="shared" si="0"/>
        <v>13.521967066462867</v>
      </c>
      <c r="S8">
        <f t="shared" si="1"/>
        <v>6.1406472196946478</v>
      </c>
      <c r="W8" s="73" t="s">
        <v>57</v>
      </c>
      <c r="X8" s="73">
        <v>-0.9661306496536447</v>
      </c>
    </row>
    <row r="9" spans="1:24">
      <c r="A9" s="32">
        <v>41096</v>
      </c>
      <c r="B9" s="42">
        <v>23</v>
      </c>
      <c r="C9" s="33">
        <v>1</v>
      </c>
      <c r="D9" s="33">
        <v>0</v>
      </c>
      <c r="E9" s="33">
        <v>0</v>
      </c>
      <c r="F9" s="33">
        <v>0</v>
      </c>
      <c r="G9" s="33">
        <v>0</v>
      </c>
      <c r="H9" s="33">
        <v>1</v>
      </c>
      <c r="I9" s="33">
        <v>0</v>
      </c>
      <c r="J9" s="33">
        <v>0</v>
      </c>
      <c r="K9" s="33">
        <v>0</v>
      </c>
      <c r="L9" s="33">
        <v>0</v>
      </c>
      <c r="M9" s="33">
        <v>0</v>
      </c>
      <c r="N9" s="33">
        <v>1</v>
      </c>
      <c r="O9" s="33">
        <v>0</v>
      </c>
      <c r="P9" s="33">
        <v>0</v>
      </c>
      <c r="Q9" s="21">
        <v>16</v>
      </c>
      <c r="R9">
        <f t="shared" si="0"/>
        <v>18.400153574651437</v>
      </c>
      <c r="S9">
        <f t="shared" si="1"/>
        <v>21.158587136791951</v>
      </c>
      <c r="W9" s="73" t="s">
        <v>56</v>
      </c>
      <c r="X9" s="73">
        <v>4.914951809728664</v>
      </c>
    </row>
    <row r="10" spans="1:24">
      <c r="A10" s="32">
        <v>41097</v>
      </c>
      <c r="B10" s="42">
        <v>34</v>
      </c>
      <c r="C10" s="33">
        <v>1</v>
      </c>
      <c r="D10" s="33">
        <v>0</v>
      </c>
      <c r="E10" s="33">
        <v>0</v>
      </c>
      <c r="F10" s="33">
        <v>1</v>
      </c>
      <c r="G10" s="33">
        <v>1</v>
      </c>
      <c r="H10" s="33">
        <v>4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1</v>
      </c>
      <c r="P10" s="33">
        <v>0</v>
      </c>
      <c r="Q10" s="21">
        <v>19</v>
      </c>
      <c r="R10">
        <f t="shared" si="0"/>
        <v>25.103093315783767</v>
      </c>
      <c r="S10">
        <f t="shared" si="1"/>
        <v>79.1549485476515</v>
      </c>
      <c r="W10" s="73" t="s">
        <v>55</v>
      </c>
      <c r="X10" s="73">
        <v>4.9235459496112179</v>
      </c>
    </row>
    <row r="11" spans="1:24">
      <c r="A11" s="32">
        <v>41098</v>
      </c>
      <c r="B11" s="42">
        <v>20</v>
      </c>
      <c r="C11" s="33">
        <v>1</v>
      </c>
      <c r="D11" s="33">
        <v>0</v>
      </c>
      <c r="E11" s="33">
        <v>0</v>
      </c>
      <c r="F11" s="33">
        <v>1</v>
      </c>
      <c r="G11" s="33">
        <v>1</v>
      </c>
      <c r="H11" s="33">
        <v>4</v>
      </c>
      <c r="I11" s="33">
        <v>0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0</v>
      </c>
      <c r="P11" s="33">
        <v>0</v>
      </c>
      <c r="Q11" s="21">
        <v>20</v>
      </c>
      <c r="R11">
        <f t="shared" si="0"/>
        <v>22.97729282404503</v>
      </c>
      <c r="S11">
        <f t="shared" si="1"/>
        <v>8.8642725601100292</v>
      </c>
      <c r="W11" s="73" t="s">
        <v>54</v>
      </c>
      <c r="X11" s="73">
        <v>4.5246396658135168</v>
      </c>
    </row>
    <row r="12" spans="1:24">
      <c r="A12" s="32">
        <v>41099</v>
      </c>
      <c r="B12" s="42">
        <v>17</v>
      </c>
      <c r="C12" s="33">
        <v>1</v>
      </c>
      <c r="D12" s="33">
        <v>0</v>
      </c>
      <c r="E12" s="33">
        <v>0</v>
      </c>
      <c r="F12" s="33">
        <v>0</v>
      </c>
      <c r="G12" s="33">
        <v>0</v>
      </c>
      <c r="H12" s="33">
        <v>1</v>
      </c>
      <c r="I12" s="33">
        <v>0</v>
      </c>
      <c r="J12" s="33">
        <v>1</v>
      </c>
      <c r="K12" s="33">
        <v>0</v>
      </c>
      <c r="L12" s="33">
        <v>0</v>
      </c>
      <c r="M12" s="33">
        <v>0</v>
      </c>
      <c r="N12" s="33">
        <v>0</v>
      </c>
      <c r="O12" s="33">
        <v>0</v>
      </c>
      <c r="P12" s="33">
        <v>0</v>
      </c>
      <c r="Q12" s="21">
        <v>17</v>
      </c>
      <c r="R12">
        <f t="shared" si="0"/>
        <v>19.303665574675392</v>
      </c>
      <c r="S12">
        <f t="shared" si="1"/>
        <v>5.306875079944505</v>
      </c>
      <c r="W12" s="73" t="s">
        <v>53</v>
      </c>
      <c r="X12" s="73">
        <v>3.1591336869211086</v>
      </c>
    </row>
    <row r="13" spans="1:24">
      <c r="A13" s="32">
        <v>41100</v>
      </c>
      <c r="B13" s="42">
        <v>9</v>
      </c>
      <c r="C13" s="33">
        <v>1</v>
      </c>
      <c r="D13" s="33">
        <v>0</v>
      </c>
      <c r="E13" s="33">
        <v>0</v>
      </c>
      <c r="F13" s="33">
        <v>0</v>
      </c>
      <c r="G13" s="33">
        <v>0</v>
      </c>
      <c r="H13" s="33">
        <v>1</v>
      </c>
      <c r="I13" s="33">
        <v>0</v>
      </c>
      <c r="J13" s="33">
        <v>0</v>
      </c>
      <c r="K13" s="33">
        <v>1</v>
      </c>
      <c r="L13" s="33">
        <v>0</v>
      </c>
      <c r="M13" s="33">
        <v>0</v>
      </c>
      <c r="N13" s="33">
        <v>0</v>
      </c>
      <c r="O13" s="33">
        <v>0</v>
      </c>
      <c r="P13" s="33">
        <v>0</v>
      </c>
      <c r="Q13" s="21">
        <v>10</v>
      </c>
      <c r="R13">
        <f t="shared" si="0"/>
        <v>15.286379329152975</v>
      </c>
      <c r="S13">
        <f t="shared" si="1"/>
        <v>39.518565070001813</v>
      </c>
      <c r="W13" s="73" t="s">
        <v>52</v>
      </c>
      <c r="X13" s="73">
        <v>4.5865655790482771</v>
      </c>
    </row>
    <row r="14" spans="1:24">
      <c r="A14" s="32">
        <v>41101</v>
      </c>
      <c r="B14" s="42">
        <v>21</v>
      </c>
      <c r="C14" s="33">
        <v>1</v>
      </c>
      <c r="D14" s="33">
        <v>0</v>
      </c>
      <c r="E14" s="33">
        <v>0</v>
      </c>
      <c r="F14" s="33">
        <v>0</v>
      </c>
      <c r="G14" s="33">
        <v>0</v>
      </c>
      <c r="H14" s="33">
        <v>1</v>
      </c>
      <c r="I14" s="33">
        <v>0</v>
      </c>
      <c r="J14" s="33">
        <v>0</v>
      </c>
      <c r="K14" s="33">
        <v>0</v>
      </c>
      <c r="L14" s="33">
        <v>1</v>
      </c>
      <c r="M14" s="33">
        <v>0</v>
      </c>
      <c r="N14" s="33">
        <v>0</v>
      </c>
      <c r="O14" s="33">
        <v>0</v>
      </c>
      <c r="P14" s="33">
        <v>0</v>
      </c>
      <c r="Q14" s="21">
        <v>9</v>
      </c>
      <c r="R14">
        <f t="shared" si="0"/>
        <v>14.312347276011709</v>
      </c>
      <c r="S14">
        <f t="shared" si="1"/>
        <v>44.724698956668014</v>
      </c>
      <c r="W14" s="73" t="s">
        <v>51</v>
      </c>
      <c r="X14" s="73">
        <v>2.7009262610823073</v>
      </c>
    </row>
    <row r="15" spans="1:24">
      <c r="A15" s="32">
        <v>41102</v>
      </c>
      <c r="B15" s="42">
        <v>21</v>
      </c>
      <c r="C15" s="33">
        <v>1</v>
      </c>
      <c r="D15" s="33">
        <v>0</v>
      </c>
      <c r="E15" s="33">
        <v>0</v>
      </c>
      <c r="F15" s="33">
        <v>0</v>
      </c>
      <c r="G15" s="33">
        <v>0</v>
      </c>
      <c r="H15" s="33">
        <v>1</v>
      </c>
      <c r="I15" s="33">
        <v>0</v>
      </c>
      <c r="J15" s="33">
        <v>0</v>
      </c>
      <c r="K15" s="33">
        <v>0</v>
      </c>
      <c r="L15" s="33">
        <v>0</v>
      </c>
      <c r="M15" s="33">
        <v>1</v>
      </c>
      <c r="N15" s="33">
        <v>0</v>
      </c>
      <c r="O15" s="33">
        <v>0</v>
      </c>
      <c r="P15" s="33">
        <v>0</v>
      </c>
      <c r="Q15" s="21">
        <v>16</v>
      </c>
      <c r="R15">
        <f t="shared" si="0"/>
        <v>16.97272168252427</v>
      </c>
      <c r="S15">
        <f t="shared" si="1"/>
        <v>16.218970646410146</v>
      </c>
      <c r="W15" s="73" t="s">
        <v>49</v>
      </c>
      <c r="X15" s="73">
        <v>8.1332181007052498</v>
      </c>
    </row>
    <row r="16" spans="1:24" ht="21" thickBot="1">
      <c r="A16" s="32">
        <v>41103</v>
      </c>
      <c r="B16" s="42">
        <v>23</v>
      </c>
      <c r="C16" s="33">
        <v>1</v>
      </c>
      <c r="D16" s="33">
        <v>0</v>
      </c>
      <c r="E16" s="33">
        <v>0</v>
      </c>
      <c r="F16" s="33">
        <v>0</v>
      </c>
      <c r="G16" s="33">
        <v>0</v>
      </c>
      <c r="H16" s="33">
        <v>1</v>
      </c>
      <c r="I16" s="33">
        <v>0</v>
      </c>
      <c r="J16" s="33">
        <v>0</v>
      </c>
      <c r="K16" s="33">
        <v>0</v>
      </c>
      <c r="L16" s="33">
        <v>0</v>
      </c>
      <c r="M16" s="33">
        <v>0</v>
      </c>
      <c r="N16" s="33">
        <v>1</v>
      </c>
      <c r="O16" s="33">
        <v>0</v>
      </c>
      <c r="P16" s="33">
        <v>0</v>
      </c>
      <c r="Q16" s="21">
        <v>19</v>
      </c>
      <c r="R16">
        <f t="shared" si="0"/>
        <v>20.125530882682138</v>
      </c>
      <c r="S16">
        <f t="shared" si="1"/>
        <v>8.2625727064141259</v>
      </c>
      <c r="W16" s="74" t="s">
        <v>50</v>
      </c>
      <c r="X16" s="74">
        <v>0.57512576934356696</v>
      </c>
    </row>
    <row r="17" spans="1:36">
      <c r="A17" s="32">
        <v>41104</v>
      </c>
      <c r="B17" s="42">
        <v>38</v>
      </c>
      <c r="C17" s="33">
        <v>1</v>
      </c>
      <c r="D17" s="33">
        <v>0</v>
      </c>
      <c r="E17" s="33">
        <v>0</v>
      </c>
      <c r="F17" s="33">
        <v>2</v>
      </c>
      <c r="G17" s="33">
        <v>1</v>
      </c>
      <c r="H17" s="33">
        <v>6</v>
      </c>
      <c r="I17" s="33">
        <v>0</v>
      </c>
      <c r="J17" s="33">
        <v>0</v>
      </c>
      <c r="K17" s="33">
        <v>0</v>
      </c>
      <c r="L17" s="33">
        <v>0</v>
      </c>
      <c r="M17" s="33">
        <v>0</v>
      </c>
      <c r="N17" s="33">
        <v>0</v>
      </c>
      <c r="O17" s="33">
        <v>1</v>
      </c>
      <c r="P17" s="33">
        <v>0</v>
      </c>
      <c r="Q17" s="21">
        <v>17</v>
      </c>
      <c r="R17">
        <f t="shared" si="0"/>
        <v>27.762659348476383</v>
      </c>
      <c r="S17">
        <f t="shared" si="1"/>
        <v>104.80314361533799</v>
      </c>
    </row>
    <row r="18" spans="1:36">
      <c r="A18" s="32">
        <v>41105</v>
      </c>
      <c r="B18" s="42">
        <v>38</v>
      </c>
      <c r="C18" s="33">
        <v>1</v>
      </c>
      <c r="D18" s="33">
        <v>0</v>
      </c>
      <c r="E18" s="33">
        <v>0</v>
      </c>
      <c r="F18" s="33">
        <v>2</v>
      </c>
      <c r="G18" s="33">
        <v>1</v>
      </c>
      <c r="H18" s="33">
        <v>6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>
        <v>0</v>
      </c>
      <c r="Q18" s="21">
        <v>23</v>
      </c>
      <c r="R18">
        <f t="shared" si="0"/>
        <v>28.512487703455481</v>
      </c>
      <c r="S18">
        <f t="shared" si="1"/>
        <v>90.012889577083456</v>
      </c>
    </row>
    <row r="19" spans="1:36">
      <c r="A19" s="32">
        <v>41106</v>
      </c>
      <c r="B19" s="42">
        <v>25</v>
      </c>
      <c r="C19" s="33">
        <v>1</v>
      </c>
      <c r="D19" s="33">
        <v>0</v>
      </c>
      <c r="E19" s="33">
        <v>0</v>
      </c>
      <c r="F19" s="33">
        <v>1</v>
      </c>
      <c r="G19" s="33">
        <v>0</v>
      </c>
      <c r="H19" s="33">
        <v>2</v>
      </c>
      <c r="I19" s="33">
        <v>1</v>
      </c>
      <c r="J19" s="33">
        <v>1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>
        <v>0</v>
      </c>
      <c r="Q19" s="21">
        <v>19</v>
      </c>
      <c r="R19">
        <f t="shared" si="0"/>
        <v>24.05164893774846</v>
      </c>
      <c r="S19">
        <f t="shared" si="1"/>
        <v>0.89936973727362357</v>
      </c>
      <c r="X19" cm="1">
        <f t="array" ref="X19:AJ19">TRANSPOSE(X4:X16)</f>
        <v>5.3656205887659176</v>
      </c>
      <c r="Y19">
        <v>5.3179073766994058</v>
      </c>
      <c r="Z19">
        <v>3.8074290823476789</v>
      </c>
      <c r="AA19">
        <v>-0.75404490265982793</v>
      </c>
      <c r="AB19">
        <v>-0.9661306496536447</v>
      </c>
      <c r="AC19">
        <v>4.914951809728664</v>
      </c>
      <c r="AD19">
        <v>4.9235459496112179</v>
      </c>
      <c r="AE19">
        <v>4.5246396658135168</v>
      </c>
      <c r="AF19">
        <v>3.1591336869211086</v>
      </c>
      <c r="AG19">
        <v>4.5865655790482771</v>
      </c>
      <c r="AH19">
        <v>2.7009262610823073</v>
      </c>
      <c r="AI19">
        <v>8.1332181007052498</v>
      </c>
      <c r="AJ19">
        <v>0.57512576934356696</v>
      </c>
    </row>
    <row r="20" spans="1:36">
      <c r="A20" s="32">
        <v>41107</v>
      </c>
      <c r="B20" s="42">
        <v>24</v>
      </c>
      <c r="C20" s="33">
        <v>1</v>
      </c>
      <c r="D20" s="33">
        <v>0</v>
      </c>
      <c r="E20" s="33">
        <v>0</v>
      </c>
      <c r="F20" s="33">
        <v>0</v>
      </c>
      <c r="G20" s="33">
        <v>0</v>
      </c>
      <c r="H20" s="33">
        <v>1</v>
      </c>
      <c r="I20" s="33">
        <v>0</v>
      </c>
      <c r="J20" s="33">
        <v>0</v>
      </c>
      <c r="K20" s="33">
        <v>1</v>
      </c>
      <c r="L20" s="33">
        <v>0</v>
      </c>
      <c r="M20" s="33">
        <v>0</v>
      </c>
      <c r="N20" s="33">
        <v>0</v>
      </c>
      <c r="O20" s="33">
        <v>0</v>
      </c>
      <c r="P20" s="33">
        <v>0</v>
      </c>
      <c r="Q20" s="21">
        <v>13</v>
      </c>
      <c r="R20">
        <f t="shared" si="0"/>
        <v>17.011756637183677</v>
      </c>
      <c r="S20">
        <f t="shared" si="1"/>
        <v>48.835545297946396</v>
      </c>
    </row>
    <row r="21" spans="1:36">
      <c r="A21" s="32">
        <v>41108</v>
      </c>
      <c r="B21" s="42">
        <v>11</v>
      </c>
      <c r="C21" s="33">
        <v>1</v>
      </c>
      <c r="D21" s="33">
        <v>0</v>
      </c>
      <c r="E21" s="33">
        <v>0</v>
      </c>
      <c r="F21" s="33">
        <v>0</v>
      </c>
      <c r="G21" s="33">
        <v>0</v>
      </c>
      <c r="H21" s="33">
        <v>1</v>
      </c>
      <c r="I21" s="33">
        <v>0</v>
      </c>
      <c r="J21" s="33">
        <v>0</v>
      </c>
      <c r="K21" s="33">
        <v>0</v>
      </c>
      <c r="L21" s="33">
        <v>1</v>
      </c>
      <c r="M21" s="33">
        <v>0</v>
      </c>
      <c r="N21" s="33">
        <v>0</v>
      </c>
      <c r="O21" s="33">
        <v>0</v>
      </c>
      <c r="P21" s="33">
        <v>0</v>
      </c>
      <c r="Q21" s="21">
        <v>15</v>
      </c>
      <c r="R21">
        <f t="shared" si="0"/>
        <v>17.763101892073109</v>
      </c>
      <c r="S21">
        <f t="shared" si="1"/>
        <v>45.739547202562875</v>
      </c>
    </row>
    <row r="22" spans="1:36">
      <c r="A22" s="32">
        <v>41109</v>
      </c>
      <c r="B22" s="42">
        <v>19</v>
      </c>
      <c r="C22" s="33">
        <v>1</v>
      </c>
      <c r="D22" s="33">
        <v>0</v>
      </c>
      <c r="E22" s="33">
        <v>0</v>
      </c>
      <c r="F22" s="33">
        <v>0</v>
      </c>
      <c r="G22" s="33">
        <v>0</v>
      </c>
      <c r="H22" s="33">
        <v>1</v>
      </c>
      <c r="I22" s="33">
        <v>0</v>
      </c>
      <c r="J22" s="33">
        <v>0</v>
      </c>
      <c r="K22" s="33">
        <v>0</v>
      </c>
      <c r="L22" s="33">
        <v>0</v>
      </c>
      <c r="M22" s="33">
        <v>1</v>
      </c>
      <c r="N22" s="33">
        <v>0</v>
      </c>
      <c r="O22" s="33">
        <v>0</v>
      </c>
      <c r="P22" s="33">
        <v>0</v>
      </c>
      <c r="Q22" s="21">
        <v>14</v>
      </c>
      <c r="R22">
        <f t="shared" si="0"/>
        <v>15.822470143837137</v>
      </c>
      <c r="S22">
        <f t="shared" si="1"/>
        <v>10.096695986806385</v>
      </c>
    </row>
    <row r="23" spans="1:36">
      <c r="A23" s="32">
        <v>41110</v>
      </c>
      <c r="B23" s="42">
        <v>24</v>
      </c>
      <c r="C23" s="33">
        <v>1</v>
      </c>
      <c r="D23" s="33">
        <v>0</v>
      </c>
      <c r="E23" s="33">
        <v>0</v>
      </c>
      <c r="F23" s="33">
        <v>0</v>
      </c>
      <c r="G23" s="33">
        <v>0</v>
      </c>
      <c r="H23" s="33">
        <v>1</v>
      </c>
      <c r="I23" s="33">
        <v>0</v>
      </c>
      <c r="J23" s="33">
        <v>0</v>
      </c>
      <c r="K23" s="33">
        <v>0</v>
      </c>
      <c r="L23" s="33">
        <v>0</v>
      </c>
      <c r="M23" s="33">
        <v>0</v>
      </c>
      <c r="N23" s="33">
        <v>1</v>
      </c>
      <c r="O23" s="33">
        <v>0</v>
      </c>
      <c r="P23" s="33">
        <v>0</v>
      </c>
      <c r="Q23" s="21">
        <v>18</v>
      </c>
      <c r="R23">
        <f t="shared" si="0"/>
        <v>19.55040511333857</v>
      </c>
      <c r="S23">
        <f t="shared" si="1"/>
        <v>19.798894655403544</v>
      </c>
    </row>
    <row r="24" spans="1:36">
      <c r="A24" s="32">
        <v>41111</v>
      </c>
      <c r="B24" s="42">
        <v>37</v>
      </c>
      <c r="C24" s="33">
        <v>1</v>
      </c>
      <c r="D24" s="33">
        <v>0</v>
      </c>
      <c r="E24" s="33">
        <v>0</v>
      </c>
      <c r="F24" s="33">
        <v>1</v>
      </c>
      <c r="G24" s="33">
        <v>1</v>
      </c>
      <c r="H24" s="33">
        <v>4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33">
        <v>0</v>
      </c>
      <c r="O24" s="33">
        <v>1</v>
      </c>
      <c r="P24" s="33">
        <v>0</v>
      </c>
      <c r="Q24" s="21">
        <v>22</v>
      </c>
      <c r="R24">
        <f t="shared" si="0"/>
        <v>26.828470623814468</v>
      </c>
      <c r="S24">
        <f t="shared" si="1"/>
        <v>103.46000985060525</v>
      </c>
    </row>
    <row r="25" spans="1:36">
      <c r="A25" s="32">
        <v>41112</v>
      </c>
      <c r="B25" s="42">
        <v>23</v>
      </c>
      <c r="C25" s="33">
        <v>1</v>
      </c>
      <c r="D25" s="33">
        <v>0</v>
      </c>
      <c r="E25" s="33">
        <v>0</v>
      </c>
      <c r="F25" s="33">
        <v>1</v>
      </c>
      <c r="G25" s="33">
        <v>1</v>
      </c>
      <c r="H25" s="33">
        <v>4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33">
        <v>0</v>
      </c>
      <c r="O25" s="33">
        <v>0</v>
      </c>
      <c r="P25" s="33">
        <v>0</v>
      </c>
      <c r="Q25" s="21">
        <v>23</v>
      </c>
      <c r="R25">
        <f t="shared" si="0"/>
        <v>24.702670132075731</v>
      </c>
      <c r="S25">
        <f t="shared" si="1"/>
        <v>2.8990855786627878</v>
      </c>
    </row>
    <row r="26" spans="1:36">
      <c r="A26" s="32">
        <v>41113</v>
      </c>
      <c r="B26" s="42">
        <v>27</v>
      </c>
      <c r="C26" s="33">
        <v>1</v>
      </c>
      <c r="D26" s="33">
        <v>0</v>
      </c>
      <c r="E26" s="33">
        <v>0</v>
      </c>
      <c r="F26" s="33">
        <v>0</v>
      </c>
      <c r="G26" s="33">
        <v>0</v>
      </c>
      <c r="H26" s="33">
        <v>1</v>
      </c>
      <c r="I26" s="33">
        <v>0</v>
      </c>
      <c r="J26" s="33">
        <v>1</v>
      </c>
      <c r="K26" s="33">
        <v>0</v>
      </c>
      <c r="L26" s="33">
        <v>0</v>
      </c>
      <c r="M26" s="33">
        <v>0</v>
      </c>
      <c r="N26" s="33">
        <v>0</v>
      </c>
      <c r="O26" s="33">
        <v>0</v>
      </c>
      <c r="P26" s="33">
        <v>0</v>
      </c>
      <c r="Q26" s="21">
        <v>14</v>
      </c>
      <c r="R26">
        <f t="shared" si="0"/>
        <v>17.578288266644691</v>
      </c>
      <c r="S26">
        <f t="shared" si="1"/>
        <v>88.768651986445107</v>
      </c>
    </row>
    <row r="27" spans="1:36">
      <c r="A27" s="32">
        <v>41114</v>
      </c>
      <c r="B27" s="42">
        <v>31</v>
      </c>
      <c r="C27" s="33">
        <v>1</v>
      </c>
      <c r="D27" s="33">
        <v>0</v>
      </c>
      <c r="E27" s="33">
        <v>0</v>
      </c>
      <c r="F27" s="33">
        <v>1</v>
      </c>
      <c r="G27" s="33">
        <v>0</v>
      </c>
      <c r="H27" s="33">
        <v>2</v>
      </c>
      <c r="I27" s="33">
        <v>0</v>
      </c>
      <c r="J27" s="33">
        <v>0</v>
      </c>
      <c r="K27" s="33">
        <v>1</v>
      </c>
      <c r="L27" s="33">
        <v>0</v>
      </c>
      <c r="M27" s="33">
        <v>0</v>
      </c>
      <c r="N27" s="33">
        <v>0</v>
      </c>
      <c r="O27" s="33">
        <v>0</v>
      </c>
      <c r="P27" s="33">
        <v>0</v>
      </c>
      <c r="Q27" s="21">
        <v>11</v>
      </c>
      <c r="R27">
        <f t="shared" si="0"/>
        <v>20.425367572536121</v>
      </c>
      <c r="S27">
        <f t="shared" si="1"/>
        <v>111.82285097597061</v>
      </c>
    </row>
    <row r="28" spans="1:36">
      <c r="A28" s="32">
        <v>41115</v>
      </c>
      <c r="B28" s="42">
        <v>17</v>
      </c>
      <c r="C28" s="33">
        <v>1</v>
      </c>
      <c r="D28" s="33">
        <v>0</v>
      </c>
      <c r="E28" s="33">
        <v>0</v>
      </c>
      <c r="F28" s="33">
        <v>0</v>
      </c>
      <c r="G28" s="33">
        <v>0</v>
      </c>
      <c r="H28" s="33">
        <v>1</v>
      </c>
      <c r="I28" s="33">
        <v>0</v>
      </c>
      <c r="J28" s="33">
        <v>0</v>
      </c>
      <c r="K28" s="33">
        <v>0</v>
      </c>
      <c r="L28" s="33">
        <v>1</v>
      </c>
      <c r="M28" s="33">
        <v>0</v>
      </c>
      <c r="N28" s="33">
        <v>0</v>
      </c>
      <c r="O28" s="33">
        <v>0</v>
      </c>
      <c r="P28" s="33">
        <v>0</v>
      </c>
      <c r="Q28" s="21">
        <v>14</v>
      </c>
      <c r="R28">
        <f t="shared" si="0"/>
        <v>17.187976122729545</v>
      </c>
      <c r="S28">
        <f t="shared" si="1"/>
        <v>3.5335022716432837E-2</v>
      </c>
    </row>
    <row r="29" spans="1:36">
      <c r="A29" s="32">
        <v>41116</v>
      </c>
      <c r="B29" s="42">
        <v>22</v>
      </c>
      <c r="C29" s="33">
        <v>1</v>
      </c>
      <c r="D29" s="33">
        <v>0</v>
      </c>
      <c r="E29" s="33">
        <v>0</v>
      </c>
      <c r="F29" s="33">
        <v>0</v>
      </c>
      <c r="G29" s="33">
        <v>0</v>
      </c>
      <c r="H29" s="33">
        <v>1</v>
      </c>
      <c r="I29" s="33">
        <v>0</v>
      </c>
      <c r="J29" s="33">
        <v>0</v>
      </c>
      <c r="K29" s="33">
        <v>0</v>
      </c>
      <c r="L29" s="33">
        <v>0</v>
      </c>
      <c r="M29" s="33">
        <v>1</v>
      </c>
      <c r="N29" s="33">
        <v>0</v>
      </c>
      <c r="O29" s="33">
        <v>0</v>
      </c>
      <c r="P29" s="33">
        <v>0</v>
      </c>
      <c r="Q29" s="21">
        <v>17</v>
      </c>
      <c r="R29">
        <f t="shared" si="0"/>
        <v>17.547847451867838</v>
      </c>
      <c r="S29">
        <f t="shared" si="1"/>
        <v>19.821662311839702</v>
      </c>
    </row>
    <row r="30" spans="1:36">
      <c r="A30" s="32">
        <v>41117</v>
      </c>
      <c r="B30" s="42">
        <v>25</v>
      </c>
      <c r="C30" s="33">
        <v>1</v>
      </c>
      <c r="D30" s="33">
        <v>0</v>
      </c>
      <c r="E30" s="33">
        <v>0</v>
      </c>
      <c r="F30" s="33">
        <v>1</v>
      </c>
      <c r="G30" s="33">
        <v>1</v>
      </c>
      <c r="H30" s="33">
        <v>4</v>
      </c>
      <c r="I30" s="33">
        <v>0</v>
      </c>
      <c r="J30" s="33">
        <v>0</v>
      </c>
      <c r="K30" s="33">
        <v>0</v>
      </c>
      <c r="L30" s="33">
        <v>0</v>
      </c>
      <c r="M30" s="33">
        <v>0</v>
      </c>
      <c r="N30" s="33">
        <v>1</v>
      </c>
      <c r="O30" s="33">
        <v>0</v>
      </c>
      <c r="P30" s="33">
        <v>0</v>
      </c>
      <c r="Q30" s="21">
        <v>24</v>
      </c>
      <c r="R30">
        <f t="shared" si="0"/>
        <v>29.864361480467572</v>
      </c>
      <c r="S30">
        <f t="shared" si="1"/>
        <v>23.662012612656671</v>
      </c>
    </row>
    <row r="31" spans="1:36">
      <c r="A31" s="32">
        <v>41118</v>
      </c>
      <c r="B31" s="42">
        <v>48</v>
      </c>
      <c r="C31" s="33">
        <v>1</v>
      </c>
      <c r="D31" s="33">
        <v>0</v>
      </c>
      <c r="E31" s="33">
        <v>0</v>
      </c>
      <c r="F31" s="33">
        <v>3</v>
      </c>
      <c r="G31" s="33">
        <v>2</v>
      </c>
      <c r="H31" s="33">
        <v>12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1</v>
      </c>
      <c r="P31" s="33">
        <v>0</v>
      </c>
      <c r="Q31" s="21">
        <v>23</v>
      </c>
      <c r="R31">
        <f t="shared" si="0"/>
        <v>35.814481007625908</v>
      </c>
      <c r="S31">
        <f t="shared" si="1"/>
        <v>148.48687311350972</v>
      </c>
    </row>
    <row r="32" spans="1:36">
      <c r="A32" s="32">
        <v>41119</v>
      </c>
      <c r="B32" s="42">
        <v>43</v>
      </c>
      <c r="C32" s="33">
        <v>1</v>
      </c>
      <c r="D32" s="33">
        <v>0</v>
      </c>
      <c r="E32" s="33">
        <v>0</v>
      </c>
      <c r="F32" s="33">
        <v>2</v>
      </c>
      <c r="G32" s="33">
        <v>1</v>
      </c>
      <c r="H32" s="33">
        <v>6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  <c r="N32" s="33">
        <v>0</v>
      </c>
      <c r="O32" s="33">
        <v>0</v>
      </c>
      <c r="P32" s="33">
        <v>0</v>
      </c>
      <c r="Q32" s="21">
        <v>31</v>
      </c>
      <c r="R32">
        <f t="shared" si="0"/>
        <v>33.113493858204016</v>
      </c>
      <c r="S32">
        <f t="shared" si="1"/>
        <v>97.743003691769701</v>
      </c>
    </row>
    <row r="33" spans="1:19">
      <c r="A33" s="32">
        <v>41120</v>
      </c>
      <c r="B33" s="42">
        <v>31</v>
      </c>
      <c r="C33" s="33">
        <v>1</v>
      </c>
      <c r="D33" s="33">
        <v>0</v>
      </c>
      <c r="E33" s="33">
        <v>0</v>
      </c>
      <c r="F33" s="33">
        <v>1</v>
      </c>
      <c r="G33" s="33">
        <v>1</v>
      </c>
      <c r="H33" s="33">
        <v>4</v>
      </c>
      <c r="I33" s="33">
        <v>0</v>
      </c>
      <c r="J33" s="33">
        <v>1</v>
      </c>
      <c r="K33" s="33">
        <v>0</v>
      </c>
      <c r="L33" s="33">
        <v>0</v>
      </c>
      <c r="M33" s="33">
        <v>0</v>
      </c>
      <c r="N33" s="33">
        <v>0</v>
      </c>
      <c r="O33" s="33">
        <v>0</v>
      </c>
      <c r="P33" s="33">
        <v>0</v>
      </c>
      <c r="Q33" s="21">
        <v>19</v>
      </c>
      <c r="R33">
        <f t="shared" si="0"/>
        <v>27.317118864430125</v>
      </c>
      <c r="S33">
        <f t="shared" si="1"/>
        <v>13.563613458736455</v>
      </c>
    </row>
    <row r="34" spans="1:19">
      <c r="A34" s="32">
        <v>41121</v>
      </c>
      <c r="B34" s="42">
        <v>42</v>
      </c>
      <c r="C34" s="33">
        <v>1</v>
      </c>
      <c r="D34" s="33">
        <v>0</v>
      </c>
      <c r="E34" s="33">
        <v>0</v>
      </c>
      <c r="F34" s="33">
        <v>1</v>
      </c>
      <c r="G34" s="33">
        <v>1</v>
      </c>
      <c r="H34" s="33">
        <v>4</v>
      </c>
      <c r="I34" s="33">
        <v>0</v>
      </c>
      <c r="J34" s="33">
        <v>0</v>
      </c>
      <c r="K34" s="33">
        <v>1</v>
      </c>
      <c r="L34" s="33">
        <v>0</v>
      </c>
      <c r="M34" s="33">
        <v>0</v>
      </c>
      <c r="N34" s="33">
        <v>0</v>
      </c>
      <c r="O34" s="33">
        <v>0</v>
      </c>
      <c r="P34" s="33">
        <v>0</v>
      </c>
      <c r="Q34" s="21">
        <v>10</v>
      </c>
      <c r="R34">
        <f t="shared" si="0"/>
        <v>22.149581080220575</v>
      </c>
      <c r="S34">
        <f t="shared" si="1"/>
        <v>394.03913129073698</v>
      </c>
    </row>
    <row r="35" spans="1:19">
      <c r="A35" s="32">
        <v>41122</v>
      </c>
      <c r="B35" s="42">
        <v>41</v>
      </c>
      <c r="C35" s="33">
        <v>1</v>
      </c>
      <c r="D35" s="33">
        <v>0</v>
      </c>
      <c r="E35" s="33">
        <v>0</v>
      </c>
      <c r="F35" s="33">
        <v>0</v>
      </c>
      <c r="G35" s="33">
        <v>0</v>
      </c>
      <c r="H35" s="33">
        <v>1</v>
      </c>
      <c r="I35" s="33">
        <v>0</v>
      </c>
      <c r="J35" s="33">
        <v>0</v>
      </c>
      <c r="K35" s="33">
        <v>0</v>
      </c>
      <c r="L35" s="33">
        <v>1</v>
      </c>
      <c r="M35" s="33">
        <v>0</v>
      </c>
      <c r="N35" s="33">
        <v>0</v>
      </c>
      <c r="O35" s="33">
        <v>0</v>
      </c>
      <c r="P35" s="33">
        <v>0</v>
      </c>
      <c r="Q35" s="21">
        <v>11</v>
      </c>
      <c r="R35">
        <f t="shared" si="0"/>
        <v>15.462598814698843</v>
      </c>
      <c r="S35">
        <f t="shared" si="1"/>
        <v>652.15885929902095</v>
      </c>
    </row>
    <row r="36" spans="1:19">
      <c r="A36" s="32">
        <v>41123</v>
      </c>
      <c r="B36" s="42">
        <v>30</v>
      </c>
      <c r="C36" s="33">
        <v>1</v>
      </c>
      <c r="D36" s="33">
        <v>0</v>
      </c>
      <c r="E36" s="33">
        <v>0</v>
      </c>
      <c r="F36" s="33">
        <v>0</v>
      </c>
      <c r="G36" s="33">
        <v>0</v>
      </c>
      <c r="H36" s="33">
        <v>1</v>
      </c>
      <c r="I36" s="33">
        <v>0</v>
      </c>
      <c r="J36" s="33">
        <v>0</v>
      </c>
      <c r="K36" s="33">
        <v>0</v>
      </c>
      <c r="L36" s="33">
        <v>0</v>
      </c>
      <c r="M36" s="33">
        <v>1</v>
      </c>
      <c r="N36" s="33">
        <v>0</v>
      </c>
      <c r="O36" s="33">
        <v>0</v>
      </c>
      <c r="P36" s="33">
        <v>0</v>
      </c>
      <c r="Q36" s="21">
        <v>12</v>
      </c>
      <c r="R36">
        <f t="shared" ref="R36:R67" si="2">SUMPRODUCT($C$2:$Q$2,C36:Q36)</f>
        <v>14.672218605150002</v>
      </c>
      <c r="S36">
        <f t="shared" si="1"/>
        <v>234.94088248830974</v>
      </c>
    </row>
    <row r="37" spans="1:19">
      <c r="A37" s="32">
        <v>41124</v>
      </c>
      <c r="B37" s="42">
        <v>29</v>
      </c>
      <c r="C37" s="33">
        <v>1</v>
      </c>
      <c r="D37" s="33">
        <v>0</v>
      </c>
      <c r="E37" s="33">
        <v>0</v>
      </c>
      <c r="F37" s="33">
        <v>0</v>
      </c>
      <c r="G37" s="33">
        <v>0</v>
      </c>
      <c r="H37" s="33">
        <v>1</v>
      </c>
      <c r="I37" s="33">
        <v>0</v>
      </c>
      <c r="J37" s="33">
        <v>0</v>
      </c>
      <c r="K37" s="33">
        <v>0</v>
      </c>
      <c r="L37" s="33">
        <v>0</v>
      </c>
      <c r="M37" s="33">
        <v>0</v>
      </c>
      <c r="N37" s="33">
        <v>1</v>
      </c>
      <c r="O37" s="33">
        <v>0</v>
      </c>
      <c r="P37" s="33">
        <v>0</v>
      </c>
      <c r="Q37" s="21">
        <v>15</v>
      </c>
      <c r="R37">
        <f t="shared" si="2"/>
        <v>17.825027805307869</v>
      </c>
      <c r="S37">
        <f t="shared" si="1"/>
        <v>124.88000355214227</v>
      </c>
    </row>
    <row r="38" spans="1:19">
      <c r="A38" s="32">
        <v>41125</v>
      </c>
      <c r="B38" s="42">
        <v>31</v>
      </c>
      <c r="C38" s="33">
        <v>1</v>
      </c>
      <c r="D38" s="33">
        <v>0</v>
      </c>
      <c r="E38" s="33">
        <v>0</v>
      </c>
      <c r="F38" s="33">
        <v>1</v>
      </c>
      <c r="G38" s="33">
        <v>1</v>
      </c>
      <c r="H38" s="33">
        <v>4</v>
      </c>
      <c r="I38" s="33">
        <v>0</v>
      </c>
      <c r="J38" s="33">
        <v>0</v>
      </c>
      <c r="K38" s="33">
        <v>0</v>
      </c>
      <c r="L38" s="33">
        <v>0</v>
      </c>
      <c r="M38" s="33">
        <v>0</v>
      </c>
      <c r="N38" s="33">
        <v>0</v>
      </c>
      <c r="O38" s="33">
        <v>1</v>
      </c>
      <c r="P38" s="33">
        <v>0</v>
      </c>
      <c r="Q38" s="21">
        <v>22</v>
      </c>
      <c r="R38">
        <f t="shared" si="2"/>
        <v>26.828470623814468</v>
      </c>
      <c r="S38">
        <f t="shared" si="1"/>
        <v>17.401657336378854</v>
      </c>
    </row>
    <row r="39" spans="1:19">
      <c r="A39" s="32">
        <v>41126</v>
      </c>
      <c r="B39" s="42">
        <v>34</v>
      </c>
      <c r="C39" s="33">
        <v>1</v>
      </c>
      <c r="D39" s="33">
        <v>0</v>
      </c>
      <c r="E39" s="33">
        <v>0</v>
      </c>
      <c r="F39" s="33">
        <v>1</v>
      </c>
      <c r="G39" s="33">
        <v>1</v>
      </c>
      <c r="H39" s="33">
        <v>4</v>
      </c>
      <c r="I39" s="33">
        <v>0</v>
      </c>
      <c r="J39" s="33">
        <v>0</v>
      </c>
      <c r="K39" s="33">
        <v>0</v>
      </c>
      <c r="L39" s="33">
        <v>0</v>
      </c>
      <c r="M39" s="33">
        <v>0</v>
      </c>
      <c r="N39" s="33">
        <v>0</v>
      </c>
      <c r="O39" s="33">
        <v>0</v>
      </c>
      <c r="P39" s="33">
        <v>0</v>
      </c>
      <c r="Q39" s="21">
        <v>12</v>
      </c>
      <c r="R39">
        <f t="shared" si="2"/>
        <v>18.376286669296491</v>
      </c>
      <c r="S39">
        <f t="shared" si="1"/>
        <v>244.10041824000254</v>
      </c>
    </row>
    <row r="40" spans="1:19">
      <c r="A40" s="32">
        <v>41127</v>
      </c>
      <c r="B40" s="42">
        <v>21</v>
      </c>
      <c r="C40" s="33">
        <v>1</v>
      </c>
      <c r="D40" s="33">
        <v>0</v>
      </c>
      <c r="E40" s="33">
        <v>0</v>
      </c>
      <c r="F40" s="33">
        <v>0</v>
      </c>
      <c r="G40" s="33">
        <v>0</v>
      </c>
      <c r="H40" s="33">
        <v>1</v>
      </c>
      <c r="I40" s="33">
        <v>0</v>
      </c>
      <c r="J40" s="33">
        <v>1</v>
      </c>
      <c r="K40" s="33">
        <v>0</v>
      </c>
      <c r="L40" s="33">
        <v>0</v>
      </c>
      <c r="M40" s="33">
        <v>0</v>
      </c>
      <c r="N40" s="33">
        <v>0</v>
      </c>
      <c r="O40" s="33">
        <v>0</v>
      </c>
      <c r="P40" s="33">
        <v>0</v>
      </c>
      <c r="Q40" s="21">
        <v>15</v>
      </c>
      <c r="R40">
        <f t="shared" si="2"/>
        <v>18.153414035988256</v>
      </c>
      <c r="S40">
        <f t="shared" si="1"/>
        <v>8.1030516505086716</v>
      </c>
    </row>
    <row r="41" spans="1:19">
      <c r="A41" s="32">
        <v>41128</v>
      </c>
      <c r="B41" s="42">
        <v>21</v>
      </c>
      <c r="C41" s="33">
        <v>1</v>
      </c>
      <c r="D41" s="33">
        <v>0</v>
      </c>
      <c r="E41" s="33">
        <v>0</v>
      </c>
      <c r="F41" s="33">
        <v>0</v>
      </c>
      <c r="G41" s="33">
        <v>0</v>
      </c>
      <c r="H41" s="33">
        <v>1</v>
      </c>
      <c r="I41" s="33">
        <v>0</v>
      </c>
      <c r="J41" s="33">
        <v>0</v>
      </c>
      <c r="K41" s="33">
        <v>1</v>
      </c>
      <c r="L41" s="33">
        <v>0</v>
      </c>
      <c r="M41" s="33">
        <v>0</v>
      </c>
      <c r="N41" s="33">
        <v>0</v>
      </c>
      <c r="O41" s="33">
        <v>0</v>
      </c>
      <c r="P41" s="33">
        <v>0</v>
      </c>
      <c r="Q41" s="21">
        <v>13</v>
      </c>
      <c r="R41">
        <f t="shared" si="2"/>
        <v>17.011756637183677</v>
      </c>
      <c r="S41">
        <f t="shared" si="1"/>
        <v>15.906085121048456</v>
      </c>
    </row>
    <row r="42" spans="1:19">
      <c r="A42" s="32">
        <v>41129</v>
      </c>
      <c r="B42" s="42">
        <v>22</v>
      </c>
      <c r="C42" s="33">
        <v>1</v>
      </c>
      <c r="D42" s="33">
        <v>0</v>
      </c>
      <c r="E42" s="33">
        <v>0</v>
      </c>
      <c r="F42" s="33">
        <v>0</v>
      </c>
      <c r="G42" s="33">
        <v>0</v>
      </c>
      <c r="H42" s="33">
        <v>1</v>
      </c>
      <c r="I42" s="33">
        <v>0</v>
      </c>
      <c r="J42" s="33">
        <v>0</v>
      </c>
      <c r="K42" s="33">
        <v>0</v>
      </c>
      <c r="L42" s="33">
        <v>1</v>
      </c>
      <c r="M42" s="33">
        <v>0</v>
      </c>
      <c r="N42" s="33">
        <v>0</v>
      </c>
      <c r="O42" s="33">
        <v>0</v>
      </c>
      <c r="P42" s="33">
        <v>0</v>
      </c>
      <c r="Q42" s="21">
        <v>15</v>
      </c>
      <c r="R42">
        <f t="shared" si="2"/>
        <v>17.763101892073109</v>
      </c>
      <c r="S42">
        <f t="shared" si="1"/>
        <v>17.951305576954464</v>
      </c>
    </row>
    <row r="43" spans="1:19">
      <c r="A43" s="32">
        <v>41130</v>
      </c>
      <c r="B43" s="42">
        <v>12</v>
      </c>
      <c r="C43" s="33">
        <v>1</v>
      </c>
      <c r="D43" s="33">
        <v>0</v>
      </c>
      <c r="E43" s="33">
        <v>0</v>
      </c>
      <c r="F43" s="33">
        <v>0</v>
      </c>
      <c r="G43" s="33">
        <v>0</v>
      </c>
      <c r="H43" s="33">
        <v>1</v>
      </c>
      <c r="I43" s="33">
        <v>0</v>
      </c>
      <c r="J43" s="33">
        <v>0</v>
      </c>
      <c r="K43" s="33">
        <v>0</v>
      </c>
      <c r="L43" s="33">
        <v>0</v>
      </c>
      <c r="M43" s="33">
        <v>1</v>
      </c>
      <c r="N43" s="33">
        <v>0</v>
      </c>
      <c r="O43" s="33">
        <v>0</v>
      </c>
      <c r="P43" s="33">
        <v>0</v>
      </c>
      <c r="Q43" s="21">
        <v>11</v>
      </c>
      <c r="R43">
        <f t="shared" si="2"/>
        <v>14.097092835806436</v>
      </c>
      <c r="S43">
        <f t="shared" si="1"/>
        <v>4.3977983619906782</v>
      </c>
    </row>
    <row r="44" spans="1:19">
      <c r="A44" s="32">
        <v>41131</v>
      </c>
      <c r="B44" s="42">
        <v>25</v>
      </c>
      <c r="C44" s="33">
        <v>1</v>
      </c>
      <c r="D44" s="33">
        <v>0</v>
      </c>
      <c r="E44" s="33">
        <v>0</v>
      </c>
      <c r="F44" s="33">
        <v>0</v>
      </c>
      <c r="G44" s="33">
        <v>0</v>
      </c>
      <c r="H44" s="33">
        <v>1</v>
      </c>
      <c r="I44" s="33">
        <v>0</v>
      </c>
      <c r="J44" s="33">
        <v>0</v>
      </c>
      <c r="K44" s="33">
        <v>0</v>
      </c>
      <c r="L44" s="33">
        <v>0</v>
      </c>
      <c r="M44" s="33">
        <v>0</v>
      </c>
      <c r="N44" s="33">
        <v>1</v>
      </c>
      <c r="O44" s="33">
        <v>0</v>
      </c>
      <c r="P44" s="33">
        <v>0</v>
      </c>
      <c r="Q44" s="21">
        <v>16</v>
      </c>
      <c r="R44">
        <f t="shared" si="2"/>
        <v>18.400153574651437</v>
      </c>
      <c r="S44">
        <f t="shared" si="1"/>
        <v>43.557972838186203</v>
      </c>
    </row>
    <row r="45" spans="1:19">
      <c r="A45" s="32">
        <v>41132</v>
      </c>
      <c r="B45" s="42">
        <v>29</v>
      </c>
      <c r="C45" s="33">
        <v>1</v>
      </c>
      <c r="D45" s="33">
        <v>0</v>
      </c>
      <c r="E45" s="33">
        <v>0</v>
      </c>
      <c r="F45" s="33">
        <v>1</v>
      </c>
      <c r="G45" s="33">
        <v>1</v>
      </c>
      <c r="H45" s="33">
        <v>4</v>
      </c>
      <c r="I45" s="33">
        <v>0</v>
      </c>
      <c r="J45" s="33">
        <v>0</v>
      </c>
      <c r="K45" s="33">
        <v>0</v>
      </c>
      <c r="L45" s="33">
        <v>0</v>
      </c>
      <c r="M45" s="33">
        <v>0</v>
      </c>
      <c r="N45" s="33">
        <v>0</v>
      </c>
      <c r="O45" s="33">
        <v>1</v>
      </c>
      <c r="P45" s="33">
        <v>0</v>
      </c>
      <c r="Q45" s="21">
        <v>13</v>
      </c>
      <c r="R45">
        <f t="shared" si="2"/>
        <v>21.652338699722364</v>
      </c>
      <c r="S45">
        <f t="shared" si="1"/>
        <v>53.988126583597641</v>
      </c>
    </row>
    <row r="46" spans="1:19">
      <c r="A46" s="32">
        <v>41133</v>
      </c>
      <c r="B46" s="42">
        <v>14</v>
      </c>
      <c r="C46" s="33">
        <v>1</v>
      </c>
      <c r="D46" s="33">
        <v>0</v>
      </c>
      <c r="E46" s="33">
        <v>0</v>
      </c>
      <c r="F46" s="33">
        <v>0</v>
      </c>
      <c r="G46" s="33">
        <v>0</v>
      </c>
      <c r="H46" s="33">
        <v>1</v>
      </c>
      <c r="I46" s="33">
        <v>0</v>
      </c>
      <c r="J46" s="33">
        <v>0</v>
      </c>
      <c r="K46" s="33">
        <v>0</v>
      </c>
      <c r="L46" s="33">
        <v>0</v>
      </c>
      <c r="M46" s="33">
        <v>0</v>
      </c>
      <c r="N46" s="33">
        <v>0</v>
      </c>
      <c r="O46" s="33">
        <v>0</v>
      </c>
      <c r="P46" s="33">
        <v>0</v>
      </c>
      <c r="Q46" s="21">
        <v>0</v>
      </c>
      <c r="R46">
        <f t="shared" si="2"/>
        <v>4.6115756861060895</v>
      </c>
      <c r="S46">
        <f t="shared" si="1"/>
        <v>88.142511097714348</v>
      </c>
    </row>
    <row r="47" spans="1:19">
      <c r="A47" s="32">
        <v>41134</v>
      </c>
      <c r="B47" s="42">
        <v>29</v>
      </c>
      <c r="C47" s="33">
        <v>1</v>
      </c>
      <c r="D47" s="33">
        <v>0</v>
      </c>
      <c r="E47" s="33">
        <v>0</v>
      </c>
      <c r="F47" s="33">
        <v>0</v>
      </c>
      <c r="G47" s="33">
        <v>0</v>
      </c>
      <c r="H47" s="33">
        <v>1</v>
      </c>
      <c r="I47" s="33">
        <v>0</v>
      </c>
      <c r="J47" s="33">
        <v>1</v>
      </c>
      <c r="K47" s="33">
        <v>0</v>
      </c>
      <c r="L47" s="33">
        <v>0</v>
      </c>
      <c r="M47" s="33">
        <v>0</v>
      </c>
      <c r="N47" s="33">
        <v>0</v>
      </c>
      <c r="O47" s="33">
        <v>0</v>
      </c>
      <c r="P47" s="33">
        <v>0</v>
      </c>
      <c r="Q47" s="21">
        <v>19</v>
      </c>
      <c r="R47">
        <f t="shared" si="2"/>
        <v>20.453917113362525</v>
      </c>
      <c r="S47">
        <f t="shared" si="1"/>
        <v>73.035532705277916</v>
      </c>
    </row>
    <row r="48" spans="1:19">
      <c r="A48" s="32">
        <v>41135</v>
      </c>
      <c r="B48" s="42">
        <v>23</v>
      </c>
      <c r="C48" s="33">
        <v>1</v>
      </c>
      <c r="D48" s="33">
        <v>0</v>
      </c>
      <c r="E48" s="33">
        <v>0</v>
      </c>
      <c r="F48" s="33">
        <v>0</v>
      </c>
      <c r="G48" s="33">
        <v>0</v>
      </c>
      <c r="H48" s="33">
        <v>1</v>
      </c>
      <c r="I48" s="33">
        <v>0</v>
      </c>
      <c r="J48" s="33">
        <v>0</v>
      </c>
      <c r="K48" s="33">
        <v>1</v>
      </c>
      <c r="L48" s="33">
        <v>0</v>
      </c>
      <c r="M48" s="33">
        <v>0</v>
      </c>
      <c r="N48" s="33">
        <v>0</v>
      </c>
      <c r="O48" s="33">
        <v>0</v>
      </c>
      <c r="P48" s="33">
        <v>0</v>
      </c>
      <c r="Q48" s="21">
        <v>17</v>
      </c>
      <c r="R48">
        <f t="shared" si="2"/>
        <v>19.312259714557946</v>
      </c>
      <c r="S48">
        <f t="shared" si="1"/>
        <v>13.599428412872241</v>
      </c>
    </row>
    <row r="49" spans="1:19">
      <c r="A49" s="32">
        <v>41136</v>
      </c>
      <c r="B49" s="42">
        <v>19</v>
      </c>
      <c r="C49" s="33">
        <v>1</v>
      </c>
      <c r="D49" s="33">
        <v>0</v>
      </c>
      <c r="E49" s="33">
        <v>0</v>
      </c>
      <c r="F49" s="33">
        <v>0</v>
      </c>
      <c r="G49" s="33">
        <v>0</v>
      </c>
      <c r="H49" s="33">
        <v>1</v>
      </c>
      <c r="I49" s="33">
        <v>0</v>
      </c>
      <c r="J49" s="33">
        <v>0</v>
      </c>
      <c r="K49" s="33">
        <v>0</v>
      </c>
      <c r="L49" s="33">
        <v>1</v>
      </c>
      <c r="M49" s="33">
        <v>0</v>
      </c>
      <c r="N49" s="33">
        <v>0</v>
      </c>
      <c r="O49" s="33">
        <v>0</v>
      </c>
      <c r="P49" s="33">
        <v>0</v>
      </c>
      <c r="Q49" s="21">
        <v>5</v>
      </c>
      <c r="R49">
        <f t="shared" si="2"/>
        <v>12.011844198637441</v>
      </c>
      <c r="S49">
        <f t="shared" si="1"/>
        <v>48.834321504117192</v>
      </c>
    </row>
    <row r="50" spans="1:19">
      <c r="A50" s="32">
        <v>41137</v>
      </c>
      <c r="B50" s="42">
        <v>16</v>
      </c>
      <c r="C50" s="33">
        <v>1</v>
      </c>
      <c r="D50" s="33">
        <v>0</v>
      </c>
      <c r="E50" s="33">
        <v>0</v>
      </c>
      <c r="F50" s="33">
        <v>0</v>
      </c>
      <c r="G50" s="33">
        <v>0</v>
      </c>
      <c r="H50" s="33">
        <v>1</v>
      </c>
      <c r="I50" s="33">
        <v>0</v>
      </c>
      <c r="J50" s="33">
        <v>0</v>
      </c>
      <c r="K50" s="33">
        <v>0</v>
      </c>
      <c r="L50" s="33">
        <v>0</v>
      </c>
      <c r="M50" s="33">
        <v>1</v>
      </c>
      <c r="N50" s="33">
        <v>0</v>
      </c>
      <c r="O50" s="33">
        <v>0</v>
      </c>
      <c r="P50" s="33">
        <v>0</v>
      </c>
      <c r="Q50" s="21">
        <v>11</v>
      </c>
      <c r="R50">
        <f t="shared" si="2"/>
        <v>14.097092835806436</v>
      </c>
      <c r="S50">
        <f t="shared" si="1"/>
        <v>3.6210556755391932</v>
      </c>
    </row>
    <row r="51" spans="1:19">
      <c r="A51" s="32">
        <v>41138</v>
      </c>
      <c r="B51" s="42">
        <v>29</v>
      </c>
      <c r="C51" s="33">
        <v>1</v>
      </c>
      <c r="D51" s="33">
        <v>0</v>
      </c>
      <c r="E51" s="33">
        <v>0</v>
      </c>
      <c r="F51" s="33">
        <v>0</v>
      </c>
      <c r="G51" s="33">
        <v>0</v>
      </c>
      <c r="H51" s="33">
        <v>1</v>
      </c>
      <c r="I51" s="33">
        <v>0</v>
      </c>
      <c r="J51" s="33">
        <v>0</v>
      </c>
      <c r="K51" s="33">
        <v>0</v>
      </c>
      <c r="L51" s="33">
        <v>0</v>
      </c>
      <c r="M51" s="33">
        <v>0</v>
      </c>
      <c r="N51" s="33">
        <v>1</v>
      </c>
      <c r="O51" s="33">
        <v>0</v>
      </c>
      <c r="P51" s="33">
        <v>0</v>
      </c>
      <c r="Q51" s="21">
        <v>16</v>
      </c>
      <c r="R51">
        <f t="shared" si="2"/>
        <v>18.400153574651437</v>
      </c>
      <c r="S51">
        <f t="shared" si="1"/>
        <v>112.35674424097471</v>
      </c>
    </row>
    <row r="52" spans="1:19">
      <c r="A52" s="32">
        <v>41139</v>
      </c>
      <c r="B52" s="42">
        <v>22</v>
      </c>
      <c r="C52" s="33">
        <v>1</v>
      </c>
      <c r="D52" s="33">
        <v>0</v>
      </c>
      <c r="E52" s="33">
        <v>0</v>
      </c>
      <c r="F52" s="33">
        <v>1</v>
      </c>
      <c r="G52" s="33">
        <v>1</v>
      </c>
      <c r="H52" s="33">
        <v>4</v>
      </c>
      <c r="I52" s="33">
        <v>0</v>
      </c>
      <c r="J52" s="33">
        <v>0</v>
      </c>
      <c r="K52" s="33">
        <v>0</v>
      </c>
      <c r="L52" s="33">
        <v>0</v>
      </c>
      <c r="M52" s="33">
        <v>0</v>
      </c>
      <c r="N52" s="33">
        <v>0</v>
      </c>
      <c r="O52" s="33">
        <v>1</v>
      </c>
      <c r="P52" s="33">
        <v>0</v>
      </c>
      <c r="Q52" s="21">
        <v>16</v>
      </c>
      <c r="R52">
        <f t="shared" si="2"/>
        <v>23.377716007753065</v>
      </c>
      <c r="S52">
        <f t="shared" si="1"/>
        <v>1.8981013980190442</v>
      </c>
    </row>
    <row r="53" spans="1:19">
      <c r="A53" s="32">
        <v>41140</v>
      </c>
      <c r="B53" s="42">
        <v>23</v>
      </c>
      <c r="C53" s="33">
        <v>1</v>
      </c>
      <c r="D53" s="33">
        <v>0</v>
      </c>
      <c r="E53" s="33">
        <v>0</v>
      </c>
      <c r="F53" s="33">
        <v>1</v>
      </c>
      <c r="G53" s="33">
        <v>0</v>
      </c>
      <c r="H53" s="33">
        <v>2</v>
      </c>
      <c r="I53" s="33">
        <v>0</v>
      </c>
      <c r="J53" s="33">
        <v>0</v>
      </c>
      <c r="K53" s="33">
        <v>0</v>
      </c>
      <c r="L53" s="33">
        <v>0</v>
      </c>
      <c r="M53" s="33">
        <v>0</v>
      </c>
      <c r="N53" s="33">
        <v>0</v>
      </c>
      <c r="O53" s="33">
        <v>0</v>
      </c>
      <c r="P53" s="33">
        <v>0</v>
      </c>
      <c r="Q53" s="21">
        <v>13</v>
      </c>
      <c r="R53">
        <f t="shared" si="2"/>
        <v>16.652073161612037</v>
      </c>
      <c r="S53">
        <f t="shared" si="1"/>
        <v>40.296175145526199</v>
      </c>
    </row>
    <row r="54" spans="1:19">
      <c r="A54" s="32">
        <v>41141</v>
      </c>
      <c r="B54" s="42">
        <v>25</v>
      </c>
      <c r="C54" s="33">
        <v>1</v>
      </c>
      <c r="D54" s="33">
        <v>0</v>
      </c>
      <c r="E54" s="33">
        <v>0</v>
      </c>
      <c r="F54" s="33">
        <v>0</v>
      </c>
      <c r="G54" s="33">
        <v>0</v>
      </c>
      <c r="H54" s="33">
        <v>1</v>
      </c>
      <c r="I54" s="33">
        <v>0</v>
      </c>
      <c r="J54" s="33">
        <v>1</v>
      </c>
      <c r="K54" s="33">
        <v>0</v>
      </c>
      <c r="L54" s="33">
        <v>0</v>
      </c>
      <c r="M54" s="33">
        <v>0</v>
      </c>
      <c r="N54" s="33">
        <v>0</v>
      </c>
      <c r="O54" s="33">
        <v>0</v>
      </c>
      <c r="P54" s="33">
        <v>0</v>
      </c>
      <c r="Q54" s="21">
        <v>13</v>
      </c>
      <c r="R54">
        <f t="shared" si="2"/>
        <v>17.003162497301123</v>
      </c>
      <c r="S54">
        <f t="shared" si="1"/>
        <v>63.949410044571216</v>
      </c>
    </row>
    <row r="55" spans="1:19">
      <c r="A55" s="32">
        <v>41142</v>
      </c>
      <c r="B55" s="42">
        <v>19</v>
      </c>
      <c r="C55" s="33">
        <v>1</v>
      </c>
      <c r="D55" s="33">
        <v>0</v>
      </c>
      <c r="E55" s="33">
        <v>0</v>
      </c>
      <c r="F55" s="33">
        <v>0</v>
      </c>
      <c r="G55" s="33">
        <v>0</v>
      </c>
      <c r="H55" s="33">
        <v>1</v>
      </c>
      <c r="I55" s="33">
        <v>0</v>
      </c>
      <c r="J55" s="33">
        <v>0</v>
      </c>
      <c r="K55" s="33">
        <v>1</v>
      </c>
      <c r="L55" s="33">
        <v>0</v>
      </c>
      <c r="M55" s="33">
        <v>0</v>
      </c>
      <c r="N55" s="33">
        <v>0</v>
      </c>
      <c r="O55" s="33">
        <v>0</v>
      </c>
      <c r="P55" s="33">
        <v>0</v>
      </c>
      <c r="Q55" s="21">
        <v>13</v>
      </c>
      <c r="R55">
        <f t="shared" si="2"/>
        <v>17.011756637183677</v>
      </c>
      <c r="S55">
        <f t="shared" si="1"/>
        <v>3.9531116697831621</v>
      </c>
    </row>
    <row r="56" spans="1:19">
      <c r="A56" s="32">
        <v>41143</v>
      </c>
      <c r="B56" s="42">
        <v>21</v>
      </c>
      <c r="C56" s="33">
        <v>1</v>
      </c>
      <c r="D56" s="33">
        <v>0</v>
      </c>
      <c r="E56" s="33">
        <v>0</v>
      </c>
      <c r="F56" s="33">
        <v>0</v>
      </c>
      <c r="G56" s="33">
        <v>0</v>
      </c>
      <c r="H56" s="33">
        <v>1</v>
      </c>
      <c r="I56" s="33">
        <v>0</v>
      </c>
      <c r="J56" s="33">
        <v>0</v>
      </c>
      <c r="K56" s="33">
        <v>0</v>
      </c>
      <c r="L56" s="33">
        <v>1</v>
      </c>
      <c r="M56" s="33">
        <v>0</v>
      </c>
      <c r="N56" s="33">
        <v>0</v>
      </c>
      <c r="O56" s="33">
        <v>0</v>
      </c>
      <c r="P56" s="33">
        <v>0</v>
      </c>
      <c r="Q56" s="21">
        <v>8</v>
      </c>
      <c r="R56">
        <f t="shared" si="2"/>
        <v>13.737221506668142</v>
      </c>
      <c r="S56">
        <f t="shared" si="1"/>
        <v>52.747951443203775</v>
      </c>
    </row>
    <row r="57" spans="1:19">
      <c r="A57" s="32">
        <v>41144</v>
      </c>
      <c r="B57" s="42">
        <v>26</v>
      </c>
      <c r="C57" s="33">
        <v>1</v>
      </c>
      <c r="D57" s="33">
        <v>0</v>
      </c>
      <c r="E57" s="33">
        <v>0</v>
      </c>
      <c r="F57" s="33">
        <v>0</v>
      </c>
      <c r="G57" s="33">
        <v>0</v>
      </c>
      <c r="H57" s="33">
        <v>1</v>
      </c>
      <c r="I57" s="33">
        <v>0</v>
      </c>
      <c r="J57" s="33">
        <v>0</v>
      </c>
      <c r="K57" s="33">
        <v>0</v>
      </c>
      <c r="L57" s="33">
        <v>0</v>
      </c>
      <c r="M57" s="33">
        <v>1</v>
      </c>
      <c r="N57" s="33">
        <v>0</v>
      </c>
      <c r="O57" s="33">
        <v>0</v>
      </c>
      <c r="P57" s="33">
        <v>0</v>
      </c>
      <c r="Q57" s="21">
        <v>9</v>
      </c>
      <c r="R57">
        <f t="shared" si="2"/>
        <v>12.946841297119301</v>
      </c>
      <c r="S57">
        <f t="shared" si="1"/>
        <v>170.38495212259014</v>
      </c>
    </row>
    <row r="58" spans="1:19">
      <c r="A58" s="32">
        <v>41145</v>
      </c>
      <c r="B58" s="42">
        <v>23</v>
      </c>
      <c r="C58" s="33">
        <v>1</v>
      </c>
      <c r="D58" s="33">
        <v>0</v>
      </c>
      <c r="E58" s="33">
        <v>0</v>
      </c>
      <c r="F58" s="33">
        <v>1</v>
      </c>
      <c r="G58" s="33">
        <v>0</v>
      </c>
      <c r="H58" s="33">
        <v>2</v>
      </c>
      <c r="I58" s="33">
        <v>0</v>
      </c>
      <c r="J58" s="33">
        <v>0</v>
      </c>
      <c r="K58" s="33">
        <v>0</v>
      </c>
      <c r="L58" s="33">
        <v>0</v>
      </c>
      <c r="M58" s="33">
        <v>0</v>
      </c>
      <c r="N58" s="33">
        <v>1</v>
      </c>
      <c r="O58" s="33">
        <v>0</v>
      </c>
      <c r="P58" s="33">
        <v>0</v>
      </c>
      <c r="Q58" s="21">
        <v>22</v>
      </c>
      <c r="R58">
        <f t="shared" si="2"/>
        <v>26.414770664752417</v>
      </c>
      <c r="S58">
        <f t="shared" si="1"/>
        <v>11.660658692853668</v>
      </c>
    </row>
    <row r="59" spans="1:19">
      <c r="A59" s="32">
        <v>41146</v>
      </c>
      <c r="B59" s="42">
        <v>31</v>
      </c>
      <c r="C59" s="33">
        <v>1</v>
      </c>
      <c r="D59" s="33">
        <v>0</v>
      </c>
      <c r="E59" s="33">
        <v>0</v>
      </c>
      <c r="F59" s="33">
        <v>2</v>
      </c>
      <c r="G59" s="33">
        <v>1</v>
      </c>
      <c r="H59" s="33">
        <v>6</v>
      </c>
      <c r="I59" s="33">
        <v>0</v>
      </c>
      <c r="J59" s="33">
        <v>0</v>
      </c>
      <c r="K59" s="33">
        <v>0</v>
      </c>
      <c r="L59" s="33">
        <v>0</v>
      </c>
      <c r="M59" s="33">
        <v>0</v>
      </c>
      <c r="N59" s="33">
        <v>0</v>
      </c>
      <c r="O59" s="33">
        <v>1</v>
      </c>
      <c r="P59" s="33">
        <v>0</v>
      </c>
      <c r="Q59" s="21">
        <v>23</v>
      </c>
      <c r="R59">
        <f t="shared" si="2"/>
        <v>31.213413964537786</v>
      </c>
      <c r="S59">
        <f t="shared" si="1"/>
        <v>4.554552025973526E-2</v>
      </c>
    </row>
    <row r="60" spans="1:19">
      <c r="A60" s="32">
        <v>41147</v>
      </c>
      <c r="B60" s="42">
        <v>37</v>
      </c>
      <c r="C60" s="33">
        <v>1</v>
      </c>
      <c r="D60" s="33">
        <v>0</v>
      </c>
      <c r="E60" s="33">
        <v>0</v>
      </c>
      <c r="F60" s="33">
        <v>1</v>
      </c>
      <c r="G60" s="33">
        <v>1</v>
      </c>
      <c r="H60" s="33">
        <v>4</v>
      </c>
      <c r="I60" s="33">
        <v>0</v>
      </c>
      <c r="J60" s="33">
        <v>0</v>
      </c>
      <c r="K60" s="33">
        <v>0</v>
      </c>
      <c r="L60" s="33">
        <v>0</v>
      </c>
      <c r="M60" s="33">
        <v>0</v>
      </c>
      <c r="N60" s="33">
        <v>0</v>
      </c>
      <c r="O60" s="33">
        <v>0</v>
      </c>
      <c r="P60" s="33">
        <v>0</v>
      </c>
      <c r="Q60" s="21">
        <v>25</v>
      </c>
      <c r="R60">
        <f t="shared" si="2"/>
        <v>25.852921670762861</v>
      </c>
      <c r="S60">
        <f t="shared" si="1"/>
        <v>124.25735527814825</v>
      </c>
    </row>
    <row r="61" spans="1:19">
      <c r="A61" s="32">
        <v>41148</v>
      </c>
      <c r="B61" s="42">
        <v>36</v>
      </c>
      <c r="C61" s="33">
        <v>1</v>
      </c>
      <c r="D61" s="33">
        <v>0</v>
      </c>
      <c r="E61" s="33">
        <v>0</v>
      </c>
      <c r="F61" s="33">
        <v>0</v>
      </c>
      <c r="G61" s="33">
        <v>0</v>
      </c>
      <c r="H61" s="33">
        <v>1</v>
      </c>
      <c r="I61" s="33">
        <v>0</v>
      </c>
      <c r="J61" s="33">
        <v>1</v>
      </c>
      <c r="K61" s="33">
        <v>0</v>
      </c>
      <c r="L61" s="33">
        <v>0</v>
      </c>
      <c r="M61" s="33">
        <v>0</v>
      </c>
      <c r="N61" s="33">
        <v>0</v>
      </c>
      <c r="O61" s="33">
        <v>0</v>
      </c>
      <c r="P61" s="33">
        <v>0</v>
      </c>
      <c r="Q61" s="21">
        <v>24</v>
      </c>
      <c r="R61">
        <f t="shared" si="2"/>
        <v>23.32954596008036</v>
      </c>
      <c r="S61">
        <f t="shared" si="1"/>
        <v>160.54040557771594</v>
      </c>
    </row>
    <row r="62" spans="1:19">
      <c r="A62" s="32">
        <v>41149</v>
      </c>
      <c r="B62" s="42">
        <v>27</v>
      </c>
      <c r="C62" s="33">
        <v>1</v>
      </c>
      <c r="D62" s="33">
        <v>0</v>
      </c>
      <c r="E62" s="33">
        <v>0</v>
      </c>
      <c r="F62" s="33">
        <v>1</v>
      </c>
      <c r="G62" s="33">
        <v>1</v>
      </c>
      <c r="H62" s="33">
        <v>4</v>
      </c>
      <c r="I62" s="33">
        <v>0</v>
      </c>
      <c r="J62" s="33">
        <v>0</v>
      </c>
      <c r="K62" s="33">
        <v>1</v>
      </c>
      <c r="L62" s="33">
        <v>0</v>
      </c>
      <c r="M62" s="33">
        <v>0</v>
      </c>
      <c r="N62" s="33">
        <v>0</v>
      </c>
      <c r="O62" s="33">
        <v>0</v>
      </c>
      <c r="P62" s="33">
        <v>0</v>
      </c>
      <c r="Q62" s="21">
        <v>21</v>
      </c>
      <c r="R62">
        <f t="shared" si="2"/>
        <v>28.475964542999812</v>
      </c>
      <c r="S62">
        <f t="shared" si="1"/>
        <v>2.1784713321926428</v>
      </c>
    </row>
    <row r="63" spans="1:19">
      <c r="A63" s="32">
        <v>41150</v>
      </c>
      <c r="B63" s="42">
        <v>30</v>
      </c>
      <c r="C63" s="33">
        <v>1</v>
      </c>
      <c r="D63" s="33">
        <v>0</v>
      </c>
      <c r="E63" s="33">
        <v>0</v>
      </c>
      <c r="F63" s="33">
        <v>0</v>
      </c>
      <c r="G63" s="33">
        <v>0</v>
      </c>
      <c r="H63" s="33">
        <v>1</v>
      </c>
      <c r="I63" s="33">
        <v>0</v>
      </c>
      <c r="J63" s="33">
        <v>0</v>
      </c>
      <c r="K63" s="33">
        <v>0</v>
      </c>
      <c r="L63" s="33">
        <v>1</v>
      </c>
      <c r="M63" s="33">
        <v>0</v>
      </c>
      <c r="N63" s="33">
        <v>0</v>
      </c>
      <c r="O63" s="33">
        <v>0</v>
      </c>
      <c r="P63" s="33">
        <v>0</v>
      </c>
      <c r="Q63" s="21">
        <v>21</v>
      </c>
      <c r="R63">
        <f t="shared" si="2"/>
        <v>21.213856508134512</v>
      </c>
      <c r="S63">
        <f t="shared" si="1"/>
        <v>77.196317459650274</v>
      </c>
    </row>
    <row r="64" spans="1:19">
      <c r="A64" s="32">
        <v>41151</v>
      </c>
      <c r="B64" s="42">
        <v>38</v>
      </c>
      <c r="C64" s="33">
        <v>1</v>
      </c>
      <c r="D64" s="33">
        <v>0</v>
      </c>
      <c r="E64" s="33">
        <v>0</v>
      </c>
      <c r="F64" s="33">
        <v>1</v>
      </c>
      <c r="G64" s="33">
        <v>0</v>
      </c>
      <c r="H64" s="33">
        <v>2</v>
      </c>
      <c r="I64" s="33">
        <v>0</v>
      </c>
      <c r="J64" s="33">
        <v>0</v>
      </c>
      <c r="K64" s="33">
        <v>0</v>
      </c>
      <c r="L64" s="33">
        <v>0</v>
      </c>
      <c r="M64" s="33">
        <v>1</v>
      </c>
      <c r="N64" s="33">
        <v>0</v>
      </c>
      <c r="O64" s="33">
        <v>0</v>
      </c>
      <c r="P64" s="33">
        <v>0</v>
      </c>
      <c r="Q64" s="21">
        <v>14</v>
      </c>
      <c r="R64">
        <f t="shared" si="2"/>
        <v>20.386332617876715</v>
      </c>
      <c r="S64">
        <f t="shared" si="1"/>
        <v>310.24127864807377</v>
      </c>
    </row>
    <row r="65" spans="1:19">
      <c r="A65" s="32">
        <v>41152</v>
      </c>
      <c r="B65" s="42">
        <v>28</v>
      </c>
      <c r="C65" s="33">
        <v>1</v>
      </c>
      <c r="D65" s="33">
        <v>0</v>
      </c>
      <c r="E65" s="33">
        <v>0</v>
      </c>
      <c r="F65" s="33">
        <v>1</v>
      </c>
      <c r="G65" s="33">
        <v>1</v>
      </c>
      <c r="H65" s="33">
        <v>4</v>
      </c>
      <c r="I65" s="33">
        <v>0</v>
      </c>
      <c r="J65" s="33">
        <v>0</v>
      </c>
      <c r="K65" s="33">
        <v>0</v>
      </c>
      <c r="L65" s="33">
        <v>0</v>
      </c>
      <c r="M65" s="33">
        <v>0</v>
      </c>
      <c r="N65" s="33">
        <v>1</v>
      </c>
      <c r="O65" s="33">
        <v>0</v>
      </c>
      <c r="P65" s="33">
        <v>0</v>
      </c>
      <c r="Q65" s="21">
        <v>6</v>
      </c>
      <c r="R65">
        <f t="shared" si="2"/>
        <v>19.512097632283368</v>
      </c>
      <c r="S65">
        <f t="shared" si="1"/>
        <v>72.044486603889609</v>
      </c>
    </row>
    <row r="66" spans="1:19">
      <c r="A66" s="32">
        <v>41153</v>
      </c>
      <c r="B66" s="42">
        <v>44</v>
      </c>
      <c r="C66" s="33">
        <v>1</v>
      </c>
      <c r="D66" s="33">
        <v>0</v>
      </c>
      <c r="E66" s="33">
        <v>0</v>
      </c>
      <c r="F66" s="33">
        <v>2</v>
      </c>
      <c r="G66" s="33">
        <v>1</v>
      </c>
      <c r="H66" s="33">
        <v>6</v>
      </c>
      <c r="I66" s="33">
        <v>0</v>
      </c>
      <c r="J66" s="33">
        <v>0</v>
      </c>
      <c r="K66" s="33">
        <v>0</v>
      </c>
      <c r="L66" s="33">
        <v>0</v>
      </c>
      <c r="M66" s="33">
        <v>0</v>
      </c>
      <c r="N66" s="33">
        <v>0</v>
      </c>
      <c r="O66" s="33">
        <v>1</v>
      </c>
      <c r="P66" s="33">
        <v>0</v>
      </c>
      <c r="Q66" s="21">
        <v>14</v>
      </c>
      <c r="R66">
        <f t="shared" si="2"/>
        <v>26.037282040445685</v>
      </c>
      <c r="S66">
        <f t="shared" si="1"/>
        <v>322.65923649449513</v>
      </c>
    </row>
    <row r="67" spans="1:19">
      <c r="A67" s="32">
        <v>41154</v>
      </c>
      <c r="B67" s="42">
        <v>40</v>
      </c>
      <c r="C67" s="33">
        <v>1</v>
      </c>
      <c r="D67" s="33">
        <v>0</v>
      </c>
      <c r="E67" s="33">
        <v>0</v>
      </c>
      <c r="F67" s="33">
        <v>1</v>
      </c>
      <c r="G67" s="33">
        <v>1</v>
      </c>
      <c r="H67" s="33">
        <v>4</v>
      </c>
      <c r="I67" s="33">
        <v>0</v>
      </c>
      <c r="J67" s="33">
        <v>0</v>
      </c>
      <c r="K67" s="33">
        <v>0</v>
      </c>
      <c r="L67" s="33">
        <v>0</v>
      </c>
      <c r="M67" s="33">
        <v>0</v>
      </c>
      <c r="N67" s="33">
        <v>0</v>
      </c>
      <c r="O67" s="33">
        <v>0</v>
      </c>
      <c r="P67" s="33">
        <v>0</v>
      </c>
      <c r="Q67" s="21">
        <v>11</v>
      </c>
      <c r="R67">
        <f t="shared" si="2"/>
        <v>17.801160899952926</v>
      </c>
      <c r="S67">
        <f t="shared" si="1"/>
        <v>492.78845738977878</v>
      </c>
    </row>
    <row r="68" spans="1:19">
      <c r="A68" s="32">
        <v>41155</v>
      </c>
      <c r="B68" s="42">
        <v>35</v>
      </c>
      <c r="C68" s="33">
        <v>1</v>
      </c>
      <c r="D68" s="33">
        <v>0</v>
      </c>
      <c r="E68" s="33">
        <v>0</v>
      </c>
      <c r="F68" s="33">
        <v>1</v>
      </c>
      <c r="G68" s="33">
        <v>0</v>
      </c>
      <c r="H68" s="33">
        <v>2</v>
      </c>
      <c r="I68" s="33">
        <v>0</v>
      </c>
      <c r="J68" s="33">
        <v>1</v>
      </c>
      <c r="K68" s="33">
        <v>0</v>
      </c>
      <c r="L68" s="33">
        <v>0</v>
      </c>
      <c r="M68" s="33">
        <v>0</v>
      </c>
      <c r="N68" s="33">
        <v>0</v>
      </c>
      <c r="O68" s="33">
        <v>0</v>
      </c>
      <c r="P68" s="33">
        <v>0</v>
      </c>
      <c r="Q68" s="21">
        <v>9</v>
      </c>
      <c r="R68">
        <f t="shared" ref="R68" si="3">SUMPRODUCT($C$2:$Q$2,C68:Q68)</f>
        <v>19.266521893966434</v>
      </c>
      <c r="S68">
        <f t="shared" si="1"/>
        <v>247.54233331303757</v>
      </c>
    </row>
    <row r="69" spans="1:19">
      <c r="A69" s="32">
        <v>41156</v>
      </c>
      <c r="B69" s="42">
        <v>13</v>
      </c>
      <c r="C69" s="33">
        <v>1</v>
      </c>
      <c r="D69" s="33">
        <v>0</v>
      </c>
      <c r="E69" s="33">
        <v>0</v>
      </c>
      <c r="F69" s="33">
        <v>0</v>
      </c>
      <c r="G69" s="33">
        <v>0</v>
      </c>
      <c r="H69" s="33">
        <v>1</v>
      </c>
      <c r="I69" s="33">
        <v>0</v>
      </c>
      <c r="J69" s="33">
        <v>0</v>
      </c>
      <c r="K69" s="33">
        <v>1</v>
      </c>
      <c r="L69" s="33">
        <v>0</v>
      </c>
      <c r="M69" s="33">
        <v>0</v>
      </c>
      <c r="N69" s="33">
        <v>0</v>
      </c>
      <c r="O69" s="33">
        <v>0</v>
      </c>
      <c r="P69" s="33">
        <v>0</v>
      </c>
      <c r="Q69" s="21">
        <v>10</v>
      </c>
      <c r="R69">
        <f t="shared" ref="R69:R132" si="4">SUMPRODUCT($C$2:$Q$2,C69:Q69)</f>
        <v>15.286379329152975</v>
      </c>
      <c r="S69">
        <f t="shared" ref="S69:S132" si="5">(R69-B69)^2</f>
        <v>5.2275304367780091</v>
      </c>
    </row>
    <row r="70" spans="1:19">
      <c r="A70" s="32">
        <v>41157</v>
      </c>
      <c r="B70" s="42">
        <v>15</v>
      </c>
      <c r="C70" s="33">
        <v>1</v>
      </c>
      <c r="D70" s="33">
        <v>0</v>
      </c>
      <c r="E70" s="33">
        <v>0</v>
      </c>
      <c r="F70" s="33">
        <v>0</v>
      </c>
      <c r="G70" s="33">
        <v>0</v>
      </c>
      <c r="H70" s="33">
        <v>1</v>
      </c>
      <c r="I70" s="33">
        <v>0</v>
      </c>
      <c r="J70" s="33">
        <v>0</v>
      </c>
      <c r="K70" s="33">
        <v>0</v>
      </c>
      <c r="L70" s="33">
        <v>1</v>
      </c>
      <c r="M70" s="33">
        <v>0</v>
      </c>
      <c r="N70" s="33">
        <v>0</v>
      </c>
      <c r="O70" s="33">
        <v>0</v>
      </c>
      <c r="P70" s="33">
        <v>0</v>
      </c>
      <c r="Q70" s="21">
        <v>6</v>
      </c>
      <c r="R70">
        <f t="shared" si="4"/>
        <v>12.586969967981009</v>
      </c>
      <c r="S70">
        <f t="shared" si="5"/>
        <v>5.8227139354255728</v>
      </c>
    </row>
    <row r="71" spans="1:19">
      <c r="A71" s="32">
        <v>41158</v>
      </c>
      <c r="B71" s="42">
        <v>19</v>
      </c>
      <c r="C71" s="33">
        <v>1</v>
      </c>
      <c r="D71" s="33">
        <v>0</v>
      </c>
      <c r="E71" s="33">
        <v>0</v>
      </c>
      <c r="F71" s="33">
        <v>0</v>
      </c>
      <c r="G71" s="33">
        <v>0</v>
      </c>
      <c r="H71" s="33">
        <v>1</v>
      </c>
      <c r="I71" s="33">
        <v>0</v>
      </c>
      <c r="J71" s="33">
        <v>0</v>
      </c>
      <c r="K71" s="33">
        <v>0</v>
      </c>
      <c r="L71" s="33">
        <v>0</v>
      </c>
      <c r="M71" s="33">
        <v>1</v>
      </c>
      <c r="N71" s="33">
        <v>0</v>
      </c>
      <c r="O71" s="33">
        <v>0</v>
      </c>
      <c r="P71" s="33">
        <v>0</v>
      </c>
      <c r="Q71" s="21">
        <v>10</v>
      </c>
      <c r="R71">
        <f t="shared" si="4"/>
        <v>13.521967066462867</v>
      </c>
      <c r="S71">
        <f t="shared" si="5"/>
        <v>30.008844820917442</v>
      </c>
    </row>
    <row r="72" spans="1:19">
      <c r="A72" s="32">
        <v>41159</v>
      </c>
      <c r="B72" s="42">
        <v>23</v>
      </c>
      <c r="C72" s="33">
        <v>1</v>
      </c>
      <c r="D72" s="33">
        <v>0</v>
      </c>
      <c r="E72" s="33">
        <v>0</v>
      </c>
      <c r="F72" s="33">
        <v>0</v>
      </c>
      <c r="G72" s="33">
        <v>0</v>
      </c>
      <c r="H72" s="33">
        <v>1</v>
      </c>
      <c r="I72" s="33">
        <v>0</v>
      </c>
      <c r="J72" s="33">
        <v>0</v>
      </c>
      <c r="K72" s="33">
        <v>0</v>
      </c>
      <c r="L72" s="33">
        <v>0</v>
      </c>
      <c r="M72" s="33">
        <v>0</v>
      </c>
      <c r="N72" s="33">
        <v>1</v>
      </c>
      <c r="O72" s="33">
        <v>0</v>
      </c>
      <c r="P72" s="33">
        <v>0</v>
      </c>
      <c r="Q72" s="21">
        <v>7</v>
      </c>
      <c r="R72">
        <f t="shared" si="4"/>
        <v>13.224021650559335</v>
      </c>
      <c r="S72">
        <f t="shared" si="5"/>
        <v>95.569752688732635</v>
      </c>
    </row>
    <row r="73" spans="1:19">
      <c r="A73" s="32">
        <v>41160</v>
      </c>
      <c r="B73" s="42">
        <v>18</v>
      </c>
      <c r="C73" s="33">
        <v>1</v>
      </c>
      <c r="D73" s="33">
        <v>0</v>
      </c>
      <c r="E73" s="33">
        <v>0</v>
      </c>
      <c r="F73" s="33">
        <v>1</v>
      </c>
      <c r="G73" s="33">
        <v>1</v>
      </c>
      <c r="H73" s="33">
        <v>4</v>
      </c>
      <c r="I73" s="33">
        <v>0</v>
      </c>
      <c r="J73" s="33">
        <v>0</v>
      </c>
      <c r="K73" s="33">
        <v>0</v>
      </c>
      <c r="L73" s="33">
        <v>0</v>
      </c>
      <c r="M73" s="33">
        <v>0</v>
      </c>
      <c r="N73" s="33">
        <v>0</v>
      </c>
      <c r="O73" s="33">
        <v>1</v>
      </c>
      <c r="P73" s="33">
        <v>0</v>
      </c>
      <c r="Q73" s="21">
        <v>15</v>
      </c>
      <c r="R73">
        <f t="shared" si="4"/>
        <v>22.802590238409501</v>
      </c>
      <c r="S73">
        <f t="shared" si="5"/>
        <v>23.064872998066225</v>
      </c>
    </row>
    <row r="74" spans="1:19">
      <c r="A74" s="32">
        <v>41161</v>
      </c>
      <c r="B74" s="42">
        <v>33</v>
      </c>
      <c r="C74" s="33">
        <v>1</v>
      </c>
      <c r="D74" s="33">
        <v>0</v>
      </c>
      <c r="E74" s="33">
        <v>0</v>
      </c>
      <c r="F74" s="33">
        <v>1</v>
      </c>
      <c r="G74" s="33">
        <v>1</v>
      </c>
      <c r="H74" s="33">
        <v>4</v>
      </c>
      <c r="I74" s="33">
        <v>0</v>
      </c>
      <c r="J74" s="33">
        <v>0</v>
      </c>
      <c r="K74" s="33">
        <v>0</v>
      </c>
      <c r="L74" s="33">
        <v>0</v>
      </c>
      <c r="M74" s="33">
        <v>0</v>
      </c>
      <c r="N74" s="33">
        <v>0</v>
      </c>
      <c r="O74" s="33">
        <v>0</v>
      </c>
      <c r="P74" s="33">
        <v>0</v>
      </c>
      <c r="Q74" s="21">
        <v>13</v>
      </c>
      <c r="R74">
        <f t="shared" si="4"/>
        <v>18.951412438640059</v>
      </c>
      <c r="S74">
        <f t="shared" si="5"/>
        <v>197.36281246919725</v>
      </c>
    </row>
    <row r="75" spans="1:19">
      <c r="A75" s="32">
        <v>41162</v>
      </c>
      <c r="B75" s="42">
        <v>28</v>
      </c>
      <c r="C75" s="33">
        <v>1</v>
      </c>
      <c r="D75" s="33">
        <v>0</v>
      </c>
      <c r="E75" s="33">
        <v>0</v>
      </c>
      <c r="F75" s="33">
        <v>0</v>
      </c>
      <c r="G75" s="33">
        <v>0</v>
      </c>
      <c r="H75" s="33">
        <v>1</v>
      </c>
      <c r="I75" s="33">
        <v>0</v>
      </c>
      <c r="J75" s="33">
        <v>1</v>
      </c>
      <c r="K75" s="33">
        <v>0</v>
      </c>
      <c r="L75" s="33">
        <v>0</v>
      </c>
      <c r="M75" s="33">
        <v>0</v>
      </c>
      <c r="N75" s="33">
        <v>0</v>
      </c>
      <c r="O75" s="33">
        <v>0</v>
      </c>
      <c r="P75" s="33">
        <v>0</v>
      </c>
      <c r="Q75" s="21">
        <v>14</v>
      </c>
      <c r="R75">
        <f t="shared" si="4"/>
        <v>17.578288266644691</v>
      </c>
      <c r="S75">
        <f t="shared" si="5"/>
        <v>108.61207545315573</v>
      </c>
    </row>
    <row r="76" spans="1:19">
      <c r="A76" s="32">
        <v>41163</v>
      </c>
      <c r="B76" s="42">
        <v>22</v>
      </c>
      <c r="C76" s="33">
        <v>1</v>
      </c>
      <c r="D76" s="33">
        <v>0</v>
      </c>
      <c r="E76" s="33">
        <v>0</v>
      </c>
      <c r="F76" s="33">
        <v>0</v>
      </c>
      <c r="G76" s="33">
        <v>0</v>
      </c>
      <c r="H76" s="33">
        <v>1</v>
      </c>
      <c r="I76" s="33">
        <v>0</v>
      </c>
      <c r="J76" s="33">
        <v>0</v>
      </c>
      <c r="K76" s="33">
        <v>1</v>
      </c>
      <c r="L76" s="33">
        <v>0</v>
      </c>
      <c r="M76" s="33">
        <v>0</v>
      </c>
      <c r="N76" s="33">
        <v>0</v>
      </c>
      <c r="O76" s="33">
        <v>0</v>
      </c>
      <c r="P76" s="33">
        <v>0</v>
      </c>
      <c r="Q76" s="21">
        <v>16</v>
      </c>
      <c r="R76">
        <f t="shared" si="4"/>
        <v>18.737133945214378</v>
      </c>
      <c r="S76">
        <f t="shared" si="5"/>
        <v>10.646294891472291</v>
      </c>
    </row>
    <row r="77" spans="1:19">
      <c r="A77" s="32">
        <v>41164</v>
      </c>
      <c r="B77" s="42">
        <v>26</v>
      </c>
      <c r="C77" s="33">
        <v>1</v>
      </c>
      <c r="D77" s="33">
        <v>0</v>
      </c>
      <c r="E77" s="33">
        <v>0</v>
      </c>
      <c r="F77" s="33">
        <v>0</v>
      </c>
      <c r="G77" s="33">
        <v>0</v>
      </c>
      <c r="H77" s="33">
        <v>1</v>
      </c>
      <c r="I77" s="33">
        <v>0</v>
      </c>
      <c r="J77" s="33">
        <v>0</v>
      </c>
      <c r="K77" s="33">
        <v>0</v>
      </c>
      <c r="L77" s="33">
        <v>1</v>
      </c>
      <c r="M77" s="33">
        <v>0</v>
      </c>
      <c r="N77" s="33">
        <v>0</v>
      </c>
      <c r="O77" s="33">
        <v>0</v>
      </c>
      <c r="P77" s="33">
        <v>0</v>
      </c>
      <c r="Q77" s="21">
        <v>10</v>
      </c>
      <c r="R77">
        <f t="shared" si="4"/>
        <v>14.887473045355275</v>
      </c>
      <c r="S77">
        <f t="shared" si="5"/>
        <v>123.48825531770557</v>
      </c>
    </row>
    <row r="78" spans="1:19">
      <c r="A78" s="32">
        <v>41165</v>
      </c>
      <c r="B78" s="42">
        <v>26</v>
      </c>
      <c r="C78" s="33">
        <v>1</v>
      </c>
      <c r="D78" s="33">
        <v>0</v>
      </c>
      <c r="E78" s="33">
        <v>0</v>
      </c>
      <c r="F78" s="33">
        <v>0</v>
      </c>
      <c r="G78" s="33">
        <v>0</v>
      </c>
      <c r="H78" s="33">
        <v>1</v>
      </c>
      <c r="I78" s="33">
        <v>0</v>
      </c>
      <c r="J78" s="33">
        <v>0</v>
      </c>
      <c r="K78" s="33">
        <v>0</v>
      </c>
      <c r="L78" s="33">
        <v>0</v>
      </c>
      <c r="M78" s="33">
        <v>1</v>
      </c>
      <c r="N78" s="33">
        <v>0</v>
      </c>
      <c r="O78" s="33">
        <v>0</v>
      </c>
      <c r="P78" s="33">
        <v>0</v>
      </c>
      <c r="Q78" s="21">
        <v>11</v>
      </c>
      <c r="R78">
        <f t="shared" si="4"/>
        <v>14.097092835806436</v>
      </c>
      <c r="S78">
        <f t="shared" si="5"/>
        <v>141.67919895941048</v>
      </c>
    </row>
    <row r="79" spans="1:19">
      <c r="A79" s="32">
        <v>41166</v>
      </c>
      <c r="B79" s="42">
        <v>25</v>
      </c>
      <c r="C79" s="33">
        <v>1</v>
      </c>
      <c r="D79" s="33">
        <v>0</v>
      </c>
      <c r="E79" s="33">
        <v>0</v>
      </c>
      <c r="F79" s="33">
        <v>0</v>
      </c>
      <c r="G79" s="33">
        <v>0</v>
      </c>
      <c r="H79" s="33">
        <v>1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3">
        <v>1</v>
      </c>
      <c r="O79" s="33">
        <v>0</v>
      </c>
      <c r="P79" s="33">
        <v>0</v>
      </c>
      <c r="Q79" s="21">
        <v>14</v>
      </c>
      <c r="R79">
        <f t="shared" si="4"/>
        <v>17.249902035964304</v>
      </c>
      <c r="S79">
        <f t="shared" si="5"/>
        <v>60.064018452150236</v>
      </c>
    </row>
    <row r="80" spans="1:19">
      <c r="A80" s="32">
        <v>41167</v>
      </c>
      <c r="B80" s="42">
        <v>36</v>
      </c>
      <c r="C80" s="33">
        <v>1</v>
      </c>
      <c r="D80" s="33">
        <v>0</v>
      </c>
      <c r="E80" s="33">
        <v>0</v>
      </c>
      <c r="F80" s="33">
        <v>2</v>
      </c>
      <c r="G80" s="33">
        <v>1</v>
      </c>
      <c r="H80" s="33">
        <v>6</v>
      </c>
      <c r="I80" s="33">
        <v>0</v>
      </c>
      <c r="J80" s="33">
        <v>0</v>
      </c>
      <c r="K80" s="33">
        <v>0</v>
      </c>
      <c r="L80" s="33">
        <v>0</v>
      </c>
      <c r="M80" s="33">
        <v>0</v>
      </c>
      <c r="N80" s="33">
        <v>0</v>
      </c>
      <c r="O80" s="33">
        <v>1</v>
      </c>
      <c r="P80" s="33">
        <v>0</v>
      </c>
      <c r="Q80" s="21">
        <v>21</v>
      </c>
      <c r="R80">
        <f t="shared" si="4"/>
        <v>30.063162425850653</v>
      </c>
      <c r="S80">
        <f t="shared" si="5"/>
        <v>35.246040381831506</v>
      </c>
    </row>
    <row r="81" spans="1:19">
      <c r="A81" s="32">
        <v>41168</v>
      </c>
      <c r="B81" s="42">
        <v>45</v>
      </c>
      <c r="C81" s="33">
        <v>1</v>
      </c>
      <c r="D81" s="33">
        <v>0</v>
      </c>
      <c r="E81" s="33">
        <v>0</v>
      </c>
      <c r="F81" s="33">
        <v>2</v>
      </c>
      <c r="G81" s="33">
        <v>2</v>
      </c>
      <c r="H81" s="33">
        <v>9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3">
        <v>0</v>
      </c>
      <c r="O81" s="33">
        <v>0</v>
      </c>
      <c r="P81" s="33">
        <v>0</v>
      </c>
      <c r="Q81" s="21">
        <v>19</v>
      </c>
      <c r="R81">
        <f t="shared" si="4"/>
        <v>27.757279000449408</v>
      </c>
      <c r="S81">
        <f t="shared" si="5"/>
        <v>297.31142746834297</v>
      </c>
    </row>
    <row r="82" spans="1:19">
      <c r="A82" s="32">
        <v>41169</v>
      </c>
      <c r="B82" s="42">
        <v>26</v>
      </c>
      <c r="C82" s="33">
        <v>1</v>
      </c>
      <c r="D82" s="33">
        <v>0</v>
      </c>
      <c r="E82" s="33">
        <v>0</v>
      </c>
      <c r="F82" s="33">
        <v>1</v>
      </c>
      <c r="G82" s="33">
        <v>0</v>
      </c>
      <c r="H82" s="33">
        <v>2</v>
      </c>
      <c r="I82" s="33">
        <v>1</v>
      </c>
      <c r="J82" s="33">
        <v>1</v>
      </c>
      <c r="K82" s="33">
        <v>0</v>
      </c>
      <c r="L82" s="33">
        <v>0</v>
      </c>
      <c r="M82" s="33">
        <v>0</v>
      </c>
      <c r="N82" s="33">
        <v>0</v>
      </c>
      <c r="O82" s="33">
        <v>0</v>
      </c>
      <c r="P82" s="33">
        <v>0</v>
      </c>
      <c r="Q82" s="21">
        <v>18</v>
      </c>
      <c r="R82">
        <f t="shared" si="4"/>
        <v>23.476523168404892</v>
      </c>
      <c r="S82">
        <f t="shared" si="5"/>
        <v>6.3679353195972848</v>
      </c>
    </row>
    <row r="83" spans="1:19">
      <c r="A83" s="32">
        <v>41170</v>
      </c>
      <c r="B83" s="42">
        <v>34</v>
      </c>
      <c r="C83" s="33">
        <v>1</v>
      </c>
      <c r="D83" s="33">
        <v>0</v>
      </c>
      <c r="E83" s="33">
        <v>0</v>
      </c>
      <c r="F83" s="33">
        <v>1</v>
      </c>
      <c r="G83" s="33">
        <v>0</v>
      </c>
      <c r="H83" s="33">
        <v>2</v>
      </c>
      <c r="I83" s="33">
        <v>0</v>
      </c>
      <c r="J83" s="33">
        <v>0</v>
      </c>
      <c r="K83" s="33">
        <v>1</v>
      </c>
      <c r="L83" s="33">
        <v>0</v>
      </c>
      <c r="M83" s="33">
        <v>0</v>
      </c>
      <c r="N83" s="33">
        <v>0</v>
      </c>
      <c r="O83" s="33">
        <v>0</v>
      </c>
      <c r="P83" s="33">
        <v>0</v>
      </c>
      <c r="Q83" s="21">
        <v>21</v>
      </c>
      <c r="R83">
        <f t="shared" si="4"/>
        <v>26.17662526597179</v>
      </c>
      <c r="S83">
        <f t="shared" si="5"/>
        <v>61.205192229030963</v>
      </c>
    </row>
    <row r="84" spans="1:19">
      <c r="A84" s="32">
        <v>41171</v>
      </c>
      <c r="B84" s="42">
        <v>24</v>
      </c>
      <c r="C84" s="33">
        <v>1</v>
      </c>
      <c r="D84" s="33">
        <v>0</v>
      </c>
      <c r="E84" s="33">
        <v>0</v>
      </c>
      <c r="F84" s="33">
        <v>1</v>
      </c>
      <c r="G84" s="33">
        <v>0</v>
      </c>
      <c r="H84" s="33">
        <v>2</v>
      </c>
      <c r="I84" s="33">
        <v>0</v>
      </c>
      <c r="J84" s="33">
        <v>0</v>
      </c>
      <c r="K84" s="33">
        <v>0</v>
      </c>
      <c r="L84" s="33">
        <v>1</v>
      </c>
      <c r="M84" s="33">
        <v>0</v>
      </c>
      <c r="N84" s="33">
        <v>0</v>
      </c>
      <c r="O84" s="33">
        <v>0</v>
      </c>
      <c r="P84" s="33">
        <v>0</v>
      </c>
      <c r="Q84" s="21">
        <v>12</v>
      </c>
      <c r="R84">
        <f t="shared" si="4"/>
        <v>20.601587058081989</v>
      </c>
      <c r="S84">
        <f t="shared" si="5"/>
        <v>11.549210523795828</v>
      </c>
    </row>
    <row r="85" spans="1:19">
      <c r="A85" s="32">
        <v>41172</v>
      </c>
      <c r="B85" s="42">
        <v>28</v>
      </c>
      <c r="C85" s="33">
        <v>1</v>
      </c>
      <c r="D85" s="33">
        <v>0</v>
      </c>
      <c r="E85" s="33">
        <v>0</v>
      </c>
      <c r="F85" s="33">
        <v>1</v>
      </c>
      <c r="G85" s="33">
        <v>0</v>
      </c>
      <c r="H85" s="33">
        <v>2</v>
      </c>
      <c r="I85" s="33">
        <v>0</v>
      </c>
      <c r="J85" s="33">
        <v>0</v>
      </c>
      <c r="K85" s="33">
        <v>0</v>
      </c>
      <c r="L85" s="33">
        <v>0</v>
      </c>
      <c r="M85" s="33">
        <v>1</v>
      </c>
      <c r="N85" s="33">
        <v>0</v>
      </c>
      <c r="O85" s="33">
        <v>0</v>
      </c>
      <c r="P85" s="33">
        <v>0</v>
      </c>
      <c r="Q85" s="21">
        <v>24</v>
      </c>
      <c r="R85">
        <f t="shared" si="4"/>
        <v>26.137590311312383</v>
      </c>
      <c r="S85">
        <f t="shared" si="5"/>
        <v>3.4685698485175052</v>
      </c>
    </row>
    <row r="86" spans="1:19">
      <c r="A86" s="32">
        <v>41173</v>
      </c>
      <c r="B86" s="42">
        <v>36</v>
      </c>
      <c r="C86" s="33">
        <v>1</v>
      </c>
      <c r="D86" s="33">
        <v>0</v>
      </c>
      <c r="E86" s="33">
        <v>0</v>
      </c>
      <c r="F86" s="33">
        <v>1</v>
      </c>
      <c r="G86" s="33">
        <v>0</v>
      </c>
      <c r="H86" s="33">
        <v>2</v>
      </c>
      <c r="I86" s="33">
        <v>0</v>
      </c>
      <c r="J86" s="33">
        <v>0</v>
      </c>
      <c r="K86" s="33">
        <v>0</v>
      </c>
      <c r="L86" s="33">
        <v>0</v>
      </c>
      <c r="M86" s="33">
        <v>0</v>
      </c>
      <c r="N86" s="33">
        <v>1</v>
      </c>
      <c r="O86" s="33">
        <v>0</v>
      </c>
      <c r="P86" s="33">
        <v>0</v>
      </c>
      <c r="Q86" s="21">
        <v>36</v>
      </c>
      <c r="R86">
        <f t="shared" si="4"/>
        <v>34.466531435562352</v>
      </c>
      <c r="S86">
        <f t="shared" si="5"/>
        <v>2.3515258381184605</v>
      </c>
    </row>
    <row r="87" spans="1:19">
      <c r="A87" s="32">
        <v>41174</v>
      </c>
      <c r="B87" s="42">
        <v>49</v>
      </c>
      <c r="C87" s="33">
        <v>1</v>
      </c>
      <c r="D87" s="33">
        <v>0</v>
      </c>
      <c r="E87" s="33">
        <v>0</v>
      </c>
      <c r="F87" s="33">
        <v>2</v>
      </c>
      <c r="G87" s="33">
        <v>1</v>
      </c>
      <c r="H87" s="33">
        <v>6</v>
      </c>
      <c r="I87" s="33">
        <v>1</v>
      </c>
      <c r="J87" s="33">
        <v>0</v>
      </c>
      <c r="K87" s="33">
        <v>0</v>
      </c>
      <c r="L87" s="33">
        <v>0</v>
      </c>
      <c r="M87" s="33">
        <v>0</v>
      </c>
      <c r="N87" s="33">
        <v>0</v>
      </c>
      <c r="O87" s="33">
        <v>1</v>
      </c>
      <c r="P87" s="33">
        <v>0</v>
      </c>
      <c r="Q87" s="21">
        <v>47</v>
      </c>
      <c r="R87">
        <f t="shared" si="4"/>
        <v>44.050301779129754</v>
      </c>
      <c r="S87">
        <f t="shared" si="5"/>
        <v>24.499512477686082</v>
      </c>
    </row>
    <row r="88" spans="1:19">
      <c r="A88" s="32">
        <v>41175</v>
      </c>
      <c r="B88" s="42">
        <v>51</v>
      </c>
      <c r="C88" s="33">
        <v>1</v>
      </c>
      <c r="D88" s="33">
        <v>0</v>
      </c>
      <c r="E88" s="33">
        <v>0</v>
      </c>
      <c r="F88" s="33">
        <v>1</v>
      </c>
      <c r="G88" s="33">
        <v>1</v>
      </c>
      <c r="H88" s="33">
        <v>4</v>
      </c>
      <c r="I88" s="33">
        <v>0</v>
      </c>
      <c r="J88" s="33">
        <v>0</v>
      </c>
      <c r="K88" s="33">
        <v>0</v>
      </c>
      <c r="L88" s="33">
        <v>0</v>
      </c>
      <c r="M88" s="33">
        <v>0</v>
      </c>
      <c r="N88" s="33">
        <v>0</v>
      </c>
      <c r="O88" s="33">
        <v>0</v>
      </c>
      <c r="P88" s="33">
        <v>0</v>
      </c>
      <c r="Q88" s="21">
        <v>26</v>
      </c>
      <c r="R88">
        <f t="shared" si="4"/>
        <v>26.428047440106429</v>
      </c>
      <c r="S88">
        <f t="shared" si="5"/>
        <v>603.78085260566024</v>
      </c>
    </row>
    <row r="89" spans="1:19">
      <c r="A89" s="32">
        <v>41176</v>
      </c>
      <c r="B89" s="42">
        <v>69</v>
      </c>
      <c r="C89" s="33">
        <v>1</v>
      </c>
      <c r="D89" s="33">
        <v>0</v>
      </c>
      <c r="E89" s="33">
        <v>0</v>
      </c>
      <c r="F89" s="33">
        <v>1</v>
      </c>
      <c r="G89" s="33">
        <v>0</v>
      </c>
      <c r="H89" s="33">
        <v>2</v>
      </c>
      <c r="I89" s="33">
        <v>0</v>
      </c>
      <c r="J89" s="33">
        <v>1</v>
      </c>
      <c r="K89" s="33">
        <v>0</v>
      </c>
      <c r="L89" s="33">
        <v>0</v>
      </c>
      <c r="M89" s="33">
        <v>0</v>
      </c>
      <c r="N89" s="33">
        <v>0</v>
      </c>
      <c r="O89" s="33">
        <v>0</v>
      </c>
      <c r="P89" s="33">
        <v>0</v>
      </c>
      <c r="Q89" s="21">
        <v>21</v>
      </c>
      <c r="R89">
        <f t="shared" si="4"/>
        <v>26.168031126089236</v>
      </c>
      <c r="S89">
        <f t="shared" si="5"/>
        <v>1834.5775576156609</v>
      </c>
    </row>
    <row r="90" spans="1:19">
      <c r="A90" s="32">
        <v>41177</v>
      </c>
      <c r="B90" s="42">
        <v>32</v>
      </c>
      <c r="C90" s="33">
        <v>1</v>
      </c>
      <c r="D90" s="33">
        <v>0</v>
      </c>
      <c r="E90" s="33">
        <v>0</v>
      </c>
      <c r="F90" s="33">
        <v>1</v>
      </c>
      <c r="G90" s="33">
        <v>1</v>
      </c>
      <c r="H90" s="33">
        <v>4</v>
      </c>
      <c r="I90" s="33">
        <v>0</v>
      </c>
      <c r="J90" s="33">
        <v>0</v>
      </c>
      <c r="K90" s="33">
        <v>1</v>
      </c>
      <c r="L90" s="33">
        <v>0</v>
      </c>
      <c r="M90" s="33">
        <v>0</v>
      </c>
      <c r="N90" s="33">
        <v>0</v>
      </c>
      <c r="O90" s="33">
        <v>0</v>
      </c>
      <c r="P90" s="33">
        <v>0</v>
      </c>
      <c r="Q90" s="21">
        <v>19</v>
      </c>
      <c r="R90">
        <f t="shared" si="4"/>
        <v>27.325713004312679</v>
      </c>
      <c r="S90">
        <f t="shared" si="5"/>
        <v>21.848958918051604</v>
      </c>
    </row>
    <row r="91" spans="1:19">
      <c r="A91" s="32">
        <v>41178</v>
      </c>
      <c r="B91" s="42">
        <v>45</v>
      </c>
      <c r="C91" s="33">
        <v>1</v>
      </c>
      <c r="D91" s="33">
        <v>0</v>
      </c>
      <c r="E91" s="33">
        <v>0</v>
      </c>
      <c r="F91" s="33">
        <v>0</v>
      </c>
      <c r="G91" s="33">
        <v>0</v>
      </c>
      <c r="H91" s="33">
        <v>1</v>
      </c>
      <c r="I91" s="33">
        <v>0</v>
      </c>
      <c r="J91" s="33">
        <v>0</v>
      </c>
      <c r="K91" s="33">
        <v>0</v>
      </c>
      <c r="L91" s="33">
        <v>1</v>
      </c>
      <c r="M91" s="33">
        <v>0</v>
      </c>
      <c r="N91" s="33">
        <v>0</v>
      </c>
      <c r="O91" s="33">
        <v>0</v>
      </c>
      <c r="P91" s="33">
        <v>0</v>
      </c>
      <c r="Q91" s="21">
        <v>24</v>
      </c>
      <c r="R91">
        <f t="shared" si="4"/>
        <v>22.939233816165213</v>
      </c>
      <c r="S91">
        <f t="shared" si="5"/>
        <v>486.67740461782847</v>
      </c>
    </row>
    <row r="92" spans="1:19">
      <c r="A92" s="32">
        <v>41179</v>
      </c>
      <c r="B92" s="42">
        <v>40</v>
      </c>
      <c r="C92" s="33">
        <v>1</v>
      </c>
      <c r="D92" s="33">
        <v>0</v>
      </c>
      <c r="E92" s="33">
        <v>0</v>
      </c>
      <c r="F92" s="33">
        <v>1</v>
      </c>
      <c r="G92" s="33">
        <v>0</v>
      </c>
      <c r="H92" s="33">
        <v>2</v>
      </c>
      <c r="I92" s="33">
        <v>0</v>
      </c>
      <c r="J92" s="33">
        <v>0</v>
      </c>
      <c r="K92" s="33">
        <v>0</v>
      </c>
      <c r="L92" s="33">
        <v>0</v>
      </c>
      <c r="M92" s="33">
        <v>1</v>
      </c>
      <c r="N92" s="33">
        <v>0</v>
      </c>
      <c r="O92" s="33">
        <v>0</v>
      </c>
      <c r="P92" s="33">
        <v>0</v>
      </c>
      <c r="Q92" s="21">
        <v>26</v>
      </c>
      <c r="R92">
        <f t="shared" si="4"/>
        <v>27.287841849999516</v>
      </c>
      <c r="S92">
        <f t="shared" si="5"/>
        <v>161.59896483062371</v>
      </c>
    </row>
    <row r="93" spans="1:19">
      <c r="A93" s="32">
        <v>41180</v>
      </c>
      <c r="B93" s="42">
        <v>49</v>
      </c>
      <c r="C93" s="33">
        <v>1</v>
      </c>
      <c r="D93" s="33">
        <v>0</v>
      </c>
      <c r="E93" s="33">
        <v>0</v>
      </c>
      <c r="F93" s="33">
        <v>1</v>
      </c>
      <c r="G93" s="33">
        <v>1</v>
      </c>
      <c r="H93" s="33">
        <v>4</v>
      </c>
      <c r="I93" s="33">
        <v>0</v>
      </c>
      <c r="J93" s="33">
        <v>0</v>
      </c>
      <c r="K93" s="33">
        <v>0</v>
      </c>
      <c r="L93" s="33">
        <v>0</v>
      </c>
      <c r="M93" s="33">
        <v>0</v>
      </c>
      <c r="N93" s="33">
        <v>1</v>
      </c>
      <c r="O93" s="33">
        <v>0</v>
      </c>
      <c r="P93" s="33">
        <v>0</v>
      </c>
      <c r="Q93" s="21">
        <v>29</v>
      </c>
      <c r="R93">
        <f t="shared" si="4"/>
        <v>32.73999032718541</v>
      </c>
      <c r="S93">
        <f t="shared" si="5"/>
        <v>264.38791456002406</v>
      </c>
    </row>
    <row r="94" spans="1:19">
      <c r="A94" s="32">
        <v>41181</v>
      </c>
      <c r="B94" s="42">
        <v>53</v>
      </c>
      <c r="C94" s="33">
        <v>1</v>
      </c>
      <c r="D94" s="33">
        <v>0</v>
      </c>
      <c r="E94" s="33">
        <v>0</v>
      </c>
      <c r="F94" s="33">
        <v>3</v>
      </c>
      <c r="G94" s="33">
        <v>2</v>
      </c>
      <c r="H94" s="33">
        <v>12</v>
      </c>
      <c r="I94" s="33">
        <v>0</v>
      </c>
      <c r="J94" s="33">
        <v>0</v>
      </c>
      <c r="K94" s="33">
        <v>0</v>
      </c>
      <c r="L94" s="33">
        <v>0</v>
      </c>
      <c r="M94" s="33">
        <v>0</v>
      </c>
      <c r="N94" s="33">
        <v>0</v>
      </c>
      <c r="O94" s="33">
        <v>1</v>
      </c>
      <c r="P94" s="33">
        <v>0</v>
      </c>
      <c r="Q94" s="21">
        <v>26</v>
      </c>
      <c r="R94">
        <f t="shared" si="4"/>
        <v>37.539858315656602</v>
      </c>
      <c r="S94">
        <f t="shared" si="5"/>
        <v>239.01598089997233</v>
      </c>
    </row>
    <row r="95" spans="1:19">
      <c r="A95" s="32">
        <v>41182</v>
      </c>
      <c r="B95" s="42">
        <v>52</v>
      </c>
      <c r="C95" s="33">
        <v>1</v>
      </c>
      <c r="D95" s="33">
        <v>0</v>
      </c>
      <c r="E95" s="33">
        <v>0</v>
      </c>
      <c r="F95" s="33">
        <v>2</v>
      </c>
      <c r="G95" s="33">
        <v>2</v>
      </c>
      <c r="H95" s="33">
        <v>9</v>
      </c>
      <c r="I95" s="33">
        <v>0</v>
      </c>
      <c r="J95" s="33">
        <v>0</v>
      </c>
      <c r="K95" s="33">
        <v>0</v>
      </c>
      <c r="L95" s="33">
        <v>0</v>
      </c>
      <c r="M95" s="33">
        <v>0</v>
      </c>
      <c r="N95" s="33">
        <v>0</v>
      </c>
      <c r="O95" s="33">
        <v>0</v>
      </c>
      <c r="P95" s="33">
        <v>0</v>
      </c>
      <c r="Q95" s="21">
        <v>27</v>
      </c>
      <c r="R95">
        <f t="shared" si="4"/>
        <v>32.358285155197947</v>
      </c>
      <c r="S95">
        <f t="shared" si="5"/>
        <v>385.79696204451733</v>
      </c>
    </row>
    <row r="96" spans="1:19">
      <c r="A96" s="32">
        <v>41183</v>
      </c>
      <c r="B96" s="42">
        <v>56</v>
      </c>
      <c r="C96" s="33">
        <v>1</v>
      </c>
      <c r="D96" s="33">
        <v>0</v>
      </c>
      <c r="E96" s="33">
        <v>0</v>
      </c>
      <c r="F96" s="33">
        <v>1</v>
      </c>
      <c r="G96" s="33">
        <v>1</v>
      </c>
      <c r="H96" s="33">
        <v>4</v>
      </c>
      <c r="I96" s="33">
        <v>0</v>
      </c>
      <c r="J96" s="33">
        <v>1</v>
      </c>
      <c r="K96" s="33">
        <v>0</v>
      </c>
      <c r="L96" s="33">
        <v>0</v>
      </c>
      <c r="M96" s="33">
        <v>0</v>
      </c>
      <c r="N96" s="33">
        <v>0</v>
      </c>
      <c r="O96" s="33">
        <v>0</v>
      </c>
      <c r="P96" s="33">
        <v>0</v>
      </c>
      <c r="Q96" s="21">
        <v>20</v>
      </c>
      <c r="R96">
        <f t="shared" si="4"/>
        <v>27.892244633773693</v>
      </c>
      <c r="S96">
        <f t="shared" si="5"/>
        <v>790.04591172762377</v>
      </c>
    </row>
    <row r="97" spans="1:19">
      <c r="A97" s="32">
        <v>41184</v>
      </c>
      <c r="B97" s="42">
        <v>33</v>
      </c>
      <c r="C97" s="33">
        <v>1</v>
      </c>
      <c r="D97" s="33">
        <v>0</v>
      </c>
      <c r="E97" s="33">
        <v>0</v>
      </c>
      <c r="F97" s="33">
        <v>1</v>
      </c>
      <c r="G97" s="33">
        <v>0</v>
      </c>
      <c r="H97" s="33">
        <v>2</v>
      </c>
      <c r="I97" s="33">
        <v>0</v>
      </c>
      <c r="J97" s="33">
        <v>0</v>
      </c>
      <c r="K97" s="33">
        <v>1</v>
      </c>
      <c r="L97" s="33">
        <v>0</v>
      </c>
      <c r="M97" s="33">
        <v>0</v>
      </c>
      <c r="N97" s="33">
        <v>0</v>
      </c>
      <c r="O97" s="33">
        <v>0</v>
      </c>
      <c r="P97" s="33">
        <v>0</v>
      </c>
      <c r="Q97" s="21">
        <v>14</v>
      </c>
      <c r="R97">
        <f t="shared" si="4"/>
        <v>22.150744880566823</v>
      </c>
      <c r="S97">
        <f t="shared" si="5"/>
        <v>117.70633664654702</v>
      </c>
    </row>
    <row r="98" spans="1:19">
      <c r="A98" s="32">
        <v>41185</v>
      </c>
      <c r="B98" s="42">
        <v>22</v>
      </c>
      <c r="C98" s="33">
        <v>1</v>
      </c>
      <c r="D98" s="33">
        <v>0</v>
      </c>
      <c r="E98" s="33">
        <v>0</v>
      </c>
      <c r="F98" s="33">
        <v>0</v>
      </c>
      <c r="G98" s="33">
        <v>0</v>
      </c>
      <c r="H98" s="33">
        <v>1</v>
      </c>
      <c r="I98" s="33">
        <v>0</v>
      </c>
      <c r="J98" s="33">
        <v>0</v>
      </c>
      <c r="K98" s="33">
        <v>0</v>
      </c>
      <c r="L98" s="33">
        <v>1</v>
      </c>
      <c r="M98" s="33">
        <v>0</v>
      </c>
      <c r="N98" s="33">
        <v>0</v>
      </c>
      <c r="O98" s="33">
        <v>0</v>
      </c>
      <c r="P98" s="33">
        <v>0</v>
      </c>
      <c r="Q98" s="21">
        <v>16</v>
      </c>
      <c r="R98">
        <f t="shared" si="4"/>
        <v>18.338227661416678</v>
      </c>
      <c r="S98">
        <f t="shared" si="5"/>
        <v>13.408576659613972</v>
      </c>
    </row>
    <row r="99" spans="1:19">
      <c r="A99" s="32">
        <v>41186</v>
      </c>
      <c r="B99" s="42">
        <v>26</v>
      </c>
      <c r="C99" s="33">
        <v>1</v>
      </c>
      <c r="D99" s="33">
        <v>0</v>
      </c>
      <c r="E99" s="33">
        <v>0</v>
      </c>
      <c r="F99" s="33">
        <v>0</v>
      </c>
      <c r="G99" s="33">
        <v>0</v>
      </c>
      <c r="H99" s="33">
        <v>1</v>
      </c>
      <c r="I99" s="33">
        <v>0</v>
      </c>
      <c r="J99" s="33">
        <v>0</v>
      </c>
      <c r="K99" s="33">
        <v>0</v>
      </c>
      <c r="L99" s="33">
        <v>0</v>
      </c>
      <c r="M99" s="33">
        <v>1</v>
      </c>
      <c r="N99" s="33">
        <v>0</v>
      </c>
      <c r="O99" s="33">
        <v>0</v>
      </c>
      <c r="P99" s="33">
        <v>0</v>
      </c>
      <c r="Q99" s="21">
        <v>15</v>
      </c>
      <c r="R99">
        <f t="shared" si="4"/>
        <v>16.397595913180702</v>
      </c>
      <c r="S99">
        <f t="shared" si="5"/>
        <v>92.206164246563958</v>
      </c>
    </row>
    <row r="100" spans="1:19">
      <c r="A100" s="32">
        <v>41187</v>
      </c>
      <c r="B100" s="42">
        <v>37</v>
      </c>
      <c r="C100" s="33">
        <v>1</v>
      </c>
      <c r="D100" s="33">
        <v>0</v>
      </c>
      <c r="E100" s="33">
        <v>0</v>
      </c>
      <c r="F100" s="33">
        <v>0</v>
      </c>
      <c r="G100" s="33">
        <v>0</v>
      </c>
      <c r="H100" s="33">
        <v>1</v>
      </c>
      <c r="I100" s="33">
        <v>0</v>
      </c>
      <c r="J100" s="33">
        <v>0</v>
      </c>
      <c r="K100" s="33">
        <v>0</v>
      </c>
      <c r="L100" s="33">
        <v>0</v>
      </c>
      <c r="M100" s="33">
        <v>0</v>
      </c>
      <c r="N100" s="33">
        <v>1</v>
      </c>
      <c r="O100" s="33">
        <v>0</v>
      </c>
      <c r="P100" s="33">
        <v>0</v>
      </c>
      <c r="Q100" s="21">
        <v>15</v>
      </c>
      <c r="R100">
        <f t="shared" si="4"/>
        <v>17.825027805307869</v>
      </c>
      <c r="S100">
        <f t="shared" si="5"/>
        <v>367.67955866721638</v>
      </c>
    </row>
    <row r="101" spans="1:19">
      <c r="A101" s="32">
        <v>41188</v>
      </c>
      <c r="B101" s="42">
        <v>35</v>
      </c>
      <c r="C101" s="33">
        <v>1</v>
      </c>
      <c r="D101" s="33">
        <v>0</v>
      </c>
      <c r="E101" s="33">
        <v>0</v>
      </c>
      <c r="F101" s="33">
        <v>2</v>
      </c>
      <c r="G101" s="33">
        <v>1</v>
      </c>
      <c r="H101" s="33">
        <v>6</v>
      </c>
      <c r="I101" s="33">
        <v>0</v>
      </c>
      <c r="J101" s="33">
        <v>0</v>
      </c>
      <c r="K101" s="33">
        <v>0</v>
      </c>
      <c r="L101" s="33">
        <v>0</v>
      </c>
      <c r="M101" s="33">
        <v>0</v>
      </c>
      <c r="N101" s="33">
        <v>0</v>
      </c>
      <c r="O101" s="33">
        <v>1</v>
      </c>
      <c r="P101" s="33">
        <v>0</v>
      </c>
      <c r="Q101" s="21">
        <v>21</v>
      </c>
      <c r="R101">
        <f t="shared" si="4"/>
        <v>30.063162425850653</v>
      </c>
      <c r="S101">
        <f t="shared" si="5"/>
        <v>24.372365233532811</v>
      </c>
    </row>
    <row r="102" spans="1:19">
      <c r="A102" s="32">
        <v>41189</v>
      </c>
      <c r="B102" s="42">
        <v>39</v>
      </c>
      <c r="C102" s="33">
        <v>1</v>
      </c>
      <c r="D102" s="33">
        <v>0</v>
      </c>
      <c r="E102" s="33">
        <v>0</v>
      </c>
      <c r="F102" s="33">
        <v>2</v>
      </c>
      <c r="G102" s="33">
        <v>2</v>
      </c>
      <c r="H102" s="33">
        <v>9</v>
      </c>
      <c r="I102" s="33">
        <v>0</v>
      </c>
      <c r="J102" s="33">
        <v>0</v>
      </c>
      <c r="K102" s="33">
        <v>0</v>
      </c>
      <c r="L102" s="33">
        <v>0</v>
      </c>
      <c r="M102" s="33">
        <v>0</v>
      </c>
      <c r="N102" s="33">
        <v>0</v>
      </c>
      <c r="O102" s="33">
        <v>0</v>
      </c>
      <c r="P102" s="33">
        <v>0</v>
      </c>
      <c r="Q102" s="21">
        <v>21</v>
      </c>
      <c r="R102">
        <f t="shared" si="4"/>
        <v>28.907530539136541</v>
      </c>
      <c r="S102">
        <f t="shared" si="5"/>
        <v>101.85793981846156</v>
      </c>
    </row>
    <row r="103" spans="1:19">
      <c r="A103" s="32">
        <v>41190</v>
      </c>
      <c r="B103" s="42">
        <v>29</v>
      </c>
      <c r="C103" s="33">
        <v>1</v>
      </c>
      <c r="D103" s="33">
        <v>0</v>
      </c>
      <c r="E103" s="33">
        <v>0</v>
      </c>
      <c r="F103" s="33">
        <v>1</v>
      </c>
      <c r="G103" s="33">
        <v>0</v>
      </c>
      <c r="H103" s="33">
        <v>2</v>
      </c>
      <c r="I103" s="33">
        <v>1</v>
      </c>
      <c r="J103" s="33">
        <v>1</v>
      </c>
      <c r="K103" s="33">
        <v>0</v>
      </c>
      <c r="L103" s="33">
        <v>0</v>
      </c>
      <c r="M103" s="33">
        <v>0</v>
      </c>
      <c r="N103" s="33">
        <v>0</v>
      </c>
      <c r="O103" s="33">
        <v>0</v>
      </c>
      <c r="P103" s="33">
        <v>0</v>
      </c>
      <c r="Q103" s="21">
        <v>17</v>
      </c>
      <c r="R103">
        <f t="shared" si="4"/>
        <v>22.901397399061324</v>
      </c>
      <c r="S103">
        <f t="shared" si="5"/>
        <v>37.19295368417599</v>
      </c>
    </row>
    <row r="104" spans="1:19">
      <c r="A104" s="32">
        <v>41191</v>
      </c>
      <c r="B104" s="42">
        <v>25</v>
      </c>
      <c r="C104" s="33">
        <v>1</v>
      </c>
      <c r="D104" s="33">
        <v>0</v>
      </c>
      <c r="E104" s="33">
        <v>0</v>
      </c>
      <c r="F104" s="33">
        <v>0</v>
      </c>
      <c r="G104" s="33">
        <v>0</v>
      </c>
      <c r="H104" s="33">
        <v>1</v>
      </c>
      <c r="I104" s="33">
        <v>0</v>
      </c>
      <c r="J104" s="33">
        <v>0</v>
      </c>
      <c r="K104" s="33">
        <v>1</v>
      </c>
      <c r="L104" s="33">
        <v>0</v>
      </c>
      <c r="M104" s="33">
        <v>0</v>
      </c>
      <c r="N104" s="33">
        <v>0</v>
      </c>
      <c r="O104" s="33">
        <v>0</v>
      </c>
      <c r="P104" s="33">
        <v>0</v>
      </c>
      <c r="Q104" s="21">
        <v>9</v>
      </c>
      <c r="R104">
        <f t="shared" si="4"/>
        <v>14.711253559809409</v>
      </c>
      <c r="S104">
        <f t="shared" si="5"/>
        <v>105.85830331053457</v>
      </c>
    </row>
    <row r="105" spans="1:19">
      <c r="A105" s="32">
        <v>41192</v>
      </c>
      <c r="B105" s="42">
        <v>19</v>
      </c>
      <c r="C105" s="33">
        <v>1</v>
      </c>
      <c r="D105" s="33">
        <v>0</v>
      </c>
      <c r="E105" s="33">
        <v>0</v>
      </c>
      <c r="F105" s="33">
        <v>0</v>
      </c>
      <c r="G105" s="33">
        <v>0</v>
      </c>
      <c r="H105" s="33">
        <v>1</v>
      </c>
      <c r="I105" s="33">
        <v>0</v>
      </c>
      <c r="J105" s="33">
        <v>0</v>
      </c>
      <c r="K105" s="33">
        <v>0</v>
      </c>
      <c r="L105" s="33">
        <v>1</v>
      </c>
      <c r="M105" s="33">
        <v>0</v>
      </c>
      <c r="N105" s="33">
        <v>0</v>
      </c>
      <c r="O105" s="33">
        <v>0</v>
      </c>
      <c r="P105" s="33">
        <v>0</v>
      </c>
      <c r="Q105" s="21">
        <v>10</v>
      </c>
      <c r="R105">
        <f t="shared" si="4"/>
        <v>14.887473045355275</v>
      </c>
      <c r="S105">
        <f t="shared" si="5"/>
        <v>16.912877952679416</v>
      </c>
    </row>
    <row r="106" spans="1:19">
      <c r="A106" s="32">
        <v>41193</v>
      </c>
      <c r="B106" s="42">
        <v>16</v>
      </c>
      <c r="C106" s="33">
        <v>1</v>
      </c>
      <c r="D106" s="33">
        <v>0</v>
      </c>
      <c r="E106" s="33">
        <v>0</v>
      </c>
      <c r="F106" s="33">
        <v>0</v>
      </c>
      <c r="G106" s="33">
        <v>0</v>
      </c>
      <c r="H106" s="33">
        <v>1</v>
      </c>
      <c r="I106" s="33">
        <v>0</v>
      </c>
      <c r="J106" s="33">
        <v>0</v>
      </c>
      <c r="K106" s="33">
        <v>0</v>
      </c>
      <c r="L106" s="33">
        <v>0</v>
      </c>
      <c r="M106" s="33">
        <v>1</v>
      </c>
      <c r="N106" s="33">
        <v>0</v>
      </c>
      <c r="O106" s="33">
        <v>0</v>
      </c>
      <c r="P106" s="33">
        <v>0</v>
      </c>
      <c r="Q106" s="21">
        <v>14</v>
      </c>
      <c r="R106">
        <f t="shared" si="4"/>
        <v>15.822470143837137</v>
      </c>
      <c r="S106">
        <f t="shared" si="5"/>
        <v>3.1516849829206862E-2</v>
      </c>
    </row>
    <row r="107" spans="1:19">
      <c r="A107" s="32">
        <v>41194</v>
      </c>
      <c r="B107" s="42">
        <v>28</v>
      </c>
      <c r="C107" s="33">
        <v>1</v>
      </c>
      <c r="D107" s="33">
        <v>0</v>
      </c>
      <c r="E107" s="33">
        <v>0</v>
      </c>
      <c r="F107" s="33">
        <v>0</v>
      </c>
      <c r="G107" s="33">
        <v>0</v>
      </c>
      <c r="H107" s="33">
        <v>1</v>
      </c>
      <c r="I107" s="33">
        <v>0</v>
      </c>
      <c r="J107" s="33">
        <v>0</v>
      </c>
      <c r="K107" s="33">
        <v>0</v>
      </c>
      <c r="L107" s="33">
        <v>0</v>
      </c>
      <c r="M107" s="33">
        <v>0</v>
      </c>
      <c r="N107" s="33">
        <v>1</v>
      </c>
      <c r="O107" s="33">
        <v>0</v>
      </c>
      <c r="P107" s="33">
        <v>0</v>
      </c>
      <c r="Q107" s="21">
        <v>14</v>
      </c>
      <c r="R107">
        <f t="shared" si="4"/>
        <v>17.249902035964304</v>
      </c>
      <c r="S107">
        <f t="shared" si="5"/>
        <v>115.56460623636441</v>
      </c>
    </row>
    <row r="108" spans="1:19">
      <c r="A108" s="32">
        <v>41195</v>
      </c>
      <c r="B108" s="42">
        <v>40</v>
      </c>
      <c r="C108" s="33">
        <v>1</v>
      </c>
      <c r="D108" s="33">
        <v>0</v>
      </c>
      <c r="E108" s="33">
        <v>0</v>
      </c>
      <c r="F108" s="33">
        <v>1</v>
      </c>
      <c r="G108" s="33">
        <v>1</v>
      </c>
      <c r="H108" s="33">
        <v>4</v>
      </c>
      <c r="I108" s="33">
        <v>0</v>
      </c>
      <c r="J108" s="33">
        <v>0</v>
      </c>
      <c r="K108" s="33">
        <v>0</v>
      </c>
      <c r="L108" s="33">
        <v>0</v>
      </c>
      <c r="M108" s="33">
        <v>0</v>
      </c>
      <c r="N108" s="33">
        <v>0</v>
      </c>
      <c r="O108" s="33">
        <v>1</v>
      </c>
      <c r="P108" s="33">
        <v>0</v>
      </c>
      <c r="Q108" s="21">
        <v>22</v>
      </c>
      <c r="R108">
        <f t="shared" si="4"/>
        <v>26.828470623814468</v>
      </c>
      <c r="S108">
        <f t="shared" si="5"/>
        <v>173.48918610771844</v>
      </c>
    </row>
    <row r="109" spans="1:19">
      <c r="A109" s="32">
        <v>41196</v>
      </c>
      <c r="B109" s="42">
        <v>35</v>
      </c>
      <c r="C109" s="33">
        <v>1</v>
      </c>
      <c r="D109" s="33">
        <v>0</v>
      </c>
      <c r="E109" s="33">
        <v>0</v>
      </c>
      <c r="F109" s="33">
        <v>1</v>
      </c>
      <c r="G109" s="33">
        <v>0</v>
      </c>
      <c r="H109" s="33">
        <v>2</v>
      </c>
      <c r="I109" s="33">
        <v>0</v>
      </c>
      <c r="J109" s="33">
        <v>0</v>
      </c>
      <c r="K109" s="33">
        <v>0</v>
      </c>
      <c r="L109" s="33">
        <v>0</v>
      </c>
      <c r="M109" s="33">
        <v>0</v>
      </c>
      <c r="N109" s="33">
        <v>0</v>
      </c>
      <c r="O109" s="33">
        <v>0</v>
      </c>
      <c r="P109" s="33">
        <v>0</v>
      </c>
      <c r="Q109" s="21">
        <v>24</v>
      </c>
      <c r="R109">
        <f t="shared" si="4"/>
        <v>22.978456624391274</v>
      </c>
      <c r="S109">
        <f t="shared" si="5"/>
        <v>144.51750513164203</v>
      </c>
    </row>
    <row r="110" spans="1:19">
      <c r="A110" s="32">
        <v>41197</v>
      </c>
      <c r="B110" s="42">
        <v>22</v>
      </c>
      <c r="C110" s="33">
        <v>1</v>
      </c>
      <c r="D110" s="33">
        <v>0</v>
      </c>
      <c r="E110" s="33">
        <v>0</v>
      </c>
      <c r="F110" s="33">
        <v>0</v>
      </c>
      <c r="G110" s="33">
        <v>0</v>
      </c>
      <c r="H110" s="33">
        <v>1</v>
      </c>
      <c r="I110" s="33">
        <v>0</v>
      </c>
      <c r="J110" s="33">
        <v>1</v>
      </c>
      <c r="K110" s="33">
        <v>0</v>
      </c>
      <c r="L110" s="33">
        <v>0</v>
      </c>
      <c r="M110" s="33">
        <v>0</v>
      </c>
      <c r="N110" s="33">
        <v>0</v>
      </c>
      <c r="O110" s="33">
        <v>0</v>
      </c>
      <c r="P110" s="33">
        <v>0</v>
      </c>
      <c r="Q110" s="21">
        <v>18</v>
      </c>
      <c r="R110">
        <f t="shared" si="4"/>
        <v>19.878791344018957</v>
      </c>
      <c r="S110">
        <f t="shared" si="5"/>
        <v>4.4995261622089027</v>
      </c>
    </row>
    <row r="111" spans="1:19">
      <c r="A111" s="32">
        <v>41198</v>
      </c>
      <c r="B111" s="42">
        <v>14</v>
      </c>
      <c r="C111" s="33">
        <v>1</v>
      </c>
      <c r="D111" s="33">
        <v>0</v>
      </c>
      <c r="E111" s="33">
        <v>0</v>
      </c>
      <c r="F111" s="33">
        <v>0</v>
      </c>
      <c r="G111" s="33">
        <v>0</v>
      </c>
      <c r="H111" s="33">
        <v>1</v>
      </c>
      <c r="I111" s="33">
        <v>0</v>
      </c>
      <c r="J111" s="33">
        <v>0</v>
      </c>
      <c r="K111" s="33">
        <v>1</v>
      </c>
      <c r="L111" s="33">
        <v>0</v>
      </c>
      <c r="M111" s="33">
        <v>0</v>
      </c>
      <c r="N111" s="33">
        <v>0</v>
      </c>
      <c r="O111" s="33">
        <v>0</v>
      </c>
      <c r="P111" s="33">
        <v>0</v>
      </c>
      <c r="Q111" s="21">
        <v>13</v>
      </c>
      <c r="R111">
        <f t="shared" si="4"/>
        <v>17.011756637183677</v>
      </c>
      <c r="S111">
        <f t="shared" si="5"/>
        <v>9.070678041619928</v>
      </c>
    </row>
    <row r="112" spans="1:19">
      <c r="A112" s="32">
        <v>41199</v>
      </c>
      <c r="B112" s="42">
        <v>21</v>
      </c>
      <c r="C112" s="33">
        <v>1</v>
      </c>
      <c r="D112" s="33">
        <v>0</v>
      </c>
      <c r="E112" s="33">
        <v>0</v>
      </c>
      <c r="F112" s="33">
        <v>0</v>
      </c>
      <c r="G112" s="33">
        <v>0</v>
      </c>
      <c r="H112" s="33">
        <v>1</v>
      </c>
      <c r="I112" s="33">
        <v>0</v>
      </c>
      <c r="J112" s="33">
        <v>0</v>
      </c>
      <c r="K112" s="33">
        <v>0</v>
      </c>
      <c r="L112" s="33">
        <v>1</v>
      </c>
      <c r="M112" s="33">
        <v>0</v>
      </c>
      <c r="N112" s="33">
        <v>0</v>
      </c>
      <c r="O112" s="33">
        <v>0</v>
      </c>
      <c r="P112" s="33">
        <v>0</v>
      </c>
      <c r="Q112" s="21">
        <v>7</v>
      </c>
      <c r="R112">
        <f t="shared" si="4"/>
        <v>13.162095737324575</v>
      </c>
      <c r="S112">
        <f t="shared" si="5"/>
        <v>61.43274323086559</v>
      </c>
    </row>
    <row r="113" spans="1:19">
      <c r="A113" s="32">
        <v>41200</v>
      </c>
      <c r="B113" s="42">
        <v>16</v>
      </c>
      <c r="C113" s="33">
        <v>1</v>
      </c>
      <c r="D113" s="33">
        <v>0</v>
      </c>
      <c r="E113" s="33">
        <v>0</v>
      </c>
      <c r="F113" s="33">
        <v>0</v>
      </c>
      <c r="G113" s="33">
        <v>0</v>
      </c>
      <c r="H113" s="33">
        <v>1</v>
      </c>
      <c r="I113" s="33">
        <v>0</v>
      </c>
      <c r="J113" s="33">
        <v>0</v>
      </c>
      <c r="K113" s="33">
        <v>0</v>
      </c>
      <c r="L113" s="33">
        <v>0</v>
      </c>
      <c r="M113" s="33">
        <v>1</v>
      </c>
      <c r="N113" s="33">
        <v>0</v>
      </c>
      <c r="O113" s="33">
        <v>0</v>
      </c>
      <c r="P113" s="33">
        <v>0</v>
      </c>
      <c r="Q113" s="21">
        <v>13</v>
      </c>
      <c r="R113">
        <f t="shared" si="4"/>
        <v>15.247344374493569</v>
      </c>
      <c r="S113">
        <f t="shared" si="5"/>
        <v>0.56649049060647749</v>
      </c>
    </row>
    <row r="114" spans="1:19">
      <c r="A114" s="32">
        <v>41201</v>
      </c>
      <c r="B114" s="42">
        <v>35</v>
      </c>
      <c r="C114" s="33">
        <v>1</v>
      </c>
      <c r="D114" s="33">
        <v>0</v>
      </c>
      <c r="E114" s="33">
        <v>0</v>
      </c>
      <c r="F114" s="33">
        <v>0</v>
      </c>
      <c r="G114" s="33">
        <v>0</v>
      </c>
      <c r="H114" s="33">
        <v>1</v>
      </c>
      <c r="I114" s="33">
        <v>0</v>
      </c>
      <c r="J114" s="33">
        <v>0</v>
      </c>
      <c r="K114" s="33">
        <v>0</v>
      </c>
      <c r="L114" s="33">
        <v>0</v>
      </c>
      <c r="M114" s="33">
        <v>0</v>
      </c>
      <c r="N114" s="33">
        <v>1</v>
      </c>
      <c r="O114" s="33">
        <v>0</v>
      </c>
      <c r="P114" s="33">
        <v>0</v>
      </c>
      <c r="Q114" s="21">
        <v>18</v>
      </c>
      <c r="R114">
        <f t="shared" si="4"/>
        <v>19.55040511333857</v>
      </c>
      <c r="S114">
        <f t="shared" si="5"/>
        <v>238.68998216195499</v>
      </c>
    </row>
    <row r="115" spans="1:19">
      <c r="A115" s="32">
        <v>41202</v>
      </c>
      <c r="B115" s="42">
        <v>46</v>
      </c>
      <c r="C115" s="33">
        <v>1</v>
      </c>
      <c r="D115" s="33">
        <v>0</v>
      </c>
      <c r="E115" s="33">
        <v>0</v>
      </c>
      <c r="F115" s="33">
        <v>1</v>
      </c>
      <c r="G115" s="33">
        <v>1</v>
      </c>
      <c r="H115" s="33">
        <v>4</v>
      </c>
      <c r="I115" s="33">
        <v>0</v>
      </c>
      <c r="J115" s="33">
        <v>0</v>
      </c>
      <c r="K115" s="33">
        <v>0</v>
      </c>
      <c r="L115" s="33">
        <v>0</v>
      </c>
      <c r="M115" s="33">
        <v>0</v>
      </c>
      <c r="N115" s="33">
        <v>0</v>
      </c>
      <c r="O115" s="33">
        <v>1</v>
      </c>
      <c r="P115" s="33">
        <v>0</v>
      </c>
      <c r="Q115" s="21">
        <v>17</v>
      </c>
      <c r="R115">
        <f t="shared" si="4"/>
        <v>23.952841777096634</v>
      </c>
      <c r="S115">
        <f t="shared" si="5"/>
        <v>486.07718570573553</v>
      </c>
    </row>
    <row r="116" spans="1:19">
      <c r="A116" s="32">
        <v>41203</v>
      </c>
      <c r="B116" s="42">
        <v>29</v>
      </c>
      <c r="C116" s="33">
        <v>1</v>
      </c>
      <c r="D116" s="33">
        <v>0</v>
      </c>
      <c r="E116" s="33">
        <v>0</v>
      </c>
      <c r="F116" s="33">
        <v>1</v>
      </c>
      <c r="G116" s="33">
        <v>0</v>
      </c>
      <c r="H116" s="33">
        <v>2</v>
      </c>
      <c r="I116" s="33">
        <v>0</v>
      </c>
      <c r="J116" s="33">
        <v>0</v>
      </c>
      <c r="K116" s="33">
        <v>0</v>
      </c>
      <c r="L116" s="33">
        <v>0</v>
      </c>
      <c r="M116" s="33">
        <v>0</v>
      </c>
      <c r="N116" s="33">
        <v>0</v>
      </c>
      <c r="O116" s="33">
        <v>0</v>
      </c>
      <c r="P116" s="33">
        <v>0</v>
      </c>
      <c r="Q116" s="21">
        <v>21</v>
      </c>
      <c r="R116">
        <f t="shared" si="4"/>
        <v>21.253079316360573</v>
      </c>
      <c r="S116">
        <f t="shared" si="5"/>
        <v>60.014780078600367</v>
      </c>
    </row>
    <row r="117" spans="1:19">
      <c r="A117" s="32">
        <v>41204</v>
      </c>
      <c r="B117" s="42">
        <v>27</v>
      </c>
      <c r="C117" s="33">
        <v>1</v>
      </c>
      <c r="D117" s="33">
        <v>0</v>
      </c>
      <c r="E117" s="33">
        <v>0</v>
      </c>
      <c r="F117" s="33">
        <v>0</v>
      </c>
      <c r="G117" s="33">
        <v>0</v>
      </c>
      <c r="H117" s="33">
        <v>1</v>
      </c>
      <c r="I117" s="33">
        <v>0</v>
      </c>
      <c r="J117" s="33">
        <v>1</v>
      </c>
      <c r="K117" s="33">
        <v>0</v>
      </c>
      <c r="L117" s="33">
        <v>0</v>
      </c>
      <c r="M117" s="33">
        <v>0</v>
      </c>
      <c r="N117" s="33">
        <v>0</v>
      </c>
      <c r="O117" s="33">
        <v>0</v>
      </c>
      <c r="P117" s="33">
        <v>0</v>
      </c>
      <c r="Q117" s="21">
        <v>14</v>
      </c>
      <c r="R117">
        <f t="shared" si="4"/>
        <v>17.578288266644691</v>
      </c>
      <c r="S117">
        <f t="shared" si="5"/>
        <v>88.768651986445107</v>
      </c>
    </row>
    <row r="118" spans="1:19">
      <c r="A118" s="32">
        <v>41205</v>
      </c>
      <c r="B118" s="42">
        <v>20</v>
      </c>
      <c r="C118" s="33">
        <v>1</v>
      </c>
      <c r="D118" s="33">
        <v>0</v>
      </c>
      <c r="E118" s="33">
        <v>0</v>
      </c>
      <c r="F118" s="33">
        <v>0</v>
      </c>
      <c r="G118" s="33">
        <v>0</v>
      </c>
      <c r="H118" s="33">
        <v>1</v>
      </c>
      <c r="I118" s="33">
        <v>0</v>
      </c>
      <c r="J118" s="33">
        <v>0</v>
      </c>
      <c r="K118" s="33">
        <v>1</v>
      </c>
      <c r="L118" s="33">
        <v>0</v>
      </c>
      <c r="M118" s="33">
        <v>0</v>
      </c>
      <c r="N118" s="33">
        <v>0</v>
      </c>
      <c r="O118" s="33">
        <v>0</v>
      </c>
      <c r="P118" s="33">
        <v>0</v>
      </c>
      <c r="Q118" s="21">
        <v>17</v>
      </c>
      <c r="R118">
        <f t="shared" si="4"/>
        <v>19.312259714557946</v>
      </c>
      <c r="S118">
        <f t="shared" si="5"/>
        <v>0.47298670021991762</v>
      </c>
    </row>
    <row r="119" spans="1:19">
      <c r="A119" s="32">
        <v>41206</v>
      </c>
      <c r="B119" s="42">
        <v>33</v>
      </c>
      <c r="C119" s="33">
        <v>1</v>
      </c>
      <c r="D119" s="33">
        <v>0</v>
      </c>
      <c r="E119" s="33">
        <v>0</v>
      </c>
      <c r="F119" s="33">
        <v>0</v>
      </c>
      <c r="G119" s="33">
        <v>0</v>
      </c>
      <c r="H119" s="33">
        <v>1</v>
      </c>
      <c r="I119" s="33">
        <v>0</v>
      </c>
      <c r="J119" s="33">
        <v>0</v>
      </c>
      <c r="K119" s="33">
        <v>0</v>
      </c>
      <c r="L119" s="33">
        <v>1</v>
      </c>
      <c r="M119" s="33">
        <v>0</v>
      </c>
      <c r="N119" s="33">
        <v>0</v>
      </c>
      <c r="O119" s="33">
        <v>0</v>
      </c>
      <c r="P119" s="33">
        <v>0</v>
      </c>
      <c r="Q119" s="21">
        <v>23</v>
      </c>
      <c r="R119">
        <f t="shared" si="4"/>
        <v>22.364108046821649</v>
      </c>
      <c r="S119">
        <f t="shared" si="5"/>
        <v>113.122197639684</v>
      </c>
    </row>
    <row r="120" spans="1:19">
      <c r="A120" s="32">
        <v>41207</v>
      </c>
      <c r="B120" s="42">
        <v>31</v>
      </c>
      <c r="C120" s="33">
        <v>1</v>
      </c>
      <c r="D120" s="33">
        <v>0</v>
      </c>
      <c r="E120" s="33">
        <v>0</v>
      </c>
      <c r="F120" s="33">
        <v>0</v>
      </c>
      <c r="G120" s="33">
        <v>0</v>
      </c>
      <c r="H120" s="33">
        <v>1</v>
      </c>
      <c r="I120" s="33">
        <v>0</v>
      </c>
      <c r="J120" s="33">
        <v>0</v>
      </c>
      <c r="K120" s="33">
        <v>0</v>
      </c>
      <c r="L120" s="33">
        <v>0</v>
      </c>
      <c r="M120" s="33">
        <v>1</v>
      </c>
      <c r="N120" s="33">
        <v>0</v>
      </c>
      <c r="O120" s="33">
        <v>0</v>
      </c>
      <c r="P120" s="33">
        <v>0</v>
      </c>
      <c r="Q120" s="21">
        <v>24</v>
      </c>
      <c r="R120">
        <f t="shared" si="4"/>
        <v>21.573727837272806</v>
      </c>
      <c r="S120">
        <f t="shared" si="5"/>
        <v>88.854606885805623</v>
      </c>
    </row>
    <row r="121" spans="1:19">
      <c r="A121" s="32">
        <v>41208</v>
      </c>
      <c r="B121" s="42">
        <v>38</v>
      </c>
      <c r="C121" s="33">
        <v>1</v>
      </c>
      <c r="D121" s="33">
        <v>0</v>
      </c>
      <c r="E121" s="33">
        <v>0</v>
      </c>
      <c r="F121" s="33">
        <v>1</v>
      </c>
      <c r="G121" s="33">
        <v>0</v>
      </c>
      <c r="H121" s="33">
        <v>2</v>
      </c>
      <c r="I121" s="33">
        <v>0</v>
      </c>
      <c r="J121" s="33">
        <v>0</v>
      </c>
      <c r="K121" s="33">
        <v>0</v>
      </c>
      <c r="L121" s="33">
        <v>0</v>
      </c>
      <c r="M121" s="33">
        <v>0</v>
      </c>
      <c r="N121" s="33">
        <v>1</v>
      </c>
      <c r="O121" s="33">
        <v>0</v>
      </c>
      <c r="P121" s="33">
        <v>0</v>
      </c>
      <c r="Q121" s="21">
        <v>25</v>
      </c>
      <c r="R121">
        <f t="shared" si="4"/>
        <v>28.140147972783119</v>
      </c>
      <c r="S121">
        <f t="shared" si="5"/>
        <v>97.216681998612842</v>
      </c>
    </row>
    <row r="122" spans="1:19">
      <c r="A122" s="32">
        <v>41209</v>
      </c>
      <c r="B122" s="42">
        <v>58</v>
      </c>
      <c r="C122" s="33">
        <v>1</v>
      </c>
      <c r="D122" s="33">
        <v>0</v>
      </c>
      <c r="E122" s="33">
        <v>0</v>
      </c>
      <c r="F122" s="33">
        <v>2</v>
      </c>
      <c r="G122" s="33">
        <v>1</v>
      </c>
      <c r="H122" s="33">
        <v>6</v>
      </c>
      <c r="I122" s="33">
        <v>0</v>
      </c>
      <c r="J122" s="33">
        <v>0</v>
      </c>
      <c r="K122" s="33">
        <v>0</v>
      </c>
      <c r="L122" s="33">
        <v>0</v>
      </c>
      <c r="M122" s="33">
        <v>0</v>
      </c>
      <c r="N122" s="33">
        <v>0</v>
      </c>
      <c r="O122" s="33">
        <v>1</v>
      </c>
      <c r="P122" s="33">
        <v>0</v>
      </c>
      <c r="Q122" s="21">
        <v>35</v>
      </c>
      <c r="R122">
        <f t="shared" si="4"/>
        <v>38.114923196660591</v>
      </c>
      <c r="S122">
        <f t="shared" si="5"/>
        <v>395.41627947470704</v>
      </c>
    </row>
    <row r="123" spans="1:19">
      <c r="A123" s="32">
        <v>41210</v>
      </c>
      <c r="B123" s="42">
        <v>50</v>
      </c>
      <c r="C123" s="33">
        <v>1</v>
      </c>
      <c r="D123" s="33">
        <v>0</v>
      </c>
      <c r="E123" s="33">
        <v>0</v>
      </c>
      <c r="F123" s="33">
        <v>1</v>
      </c>
      <c r="G123" s="33">
        <v>1</v>
      </c>
      <c r="H123" s="33">
        <v>4</v>
      </c>
      <c r="I123" s="33">
        <v>0</v>
      </c>
      <c r="J123" s="33">
        <v>0</v>
      </c>
      <c r="K123" s="33">
        <v>0</v>
      </c>
      <c r="L123" s="33">
        <v>0</v>
      </c>
      <c r="M123" s="33">
        <v>0</v>
      </c>
      <c r="N123" s="33">
        <v>0</v>
      </c>
      <c r="O123" s="33">
        <v>0</v>
      </c>
      <c r="P123" s="33">
        <v>0</v>
      </c>
      <c r="Q123" s="21">
        <v>22</v>
      </c>
      <c r="R123">
        <f t="shared" si="4"/>
        <v>24.127544362732163</v>
      </c>
      <c r="S123">
        <f t="shared" si="5"/>
        <v>669.3839607023923</v>
      </c>
    </row>
    <row r="124" spans="1:19">
      <c r="A124" s="32">
        <v>41211</v>
      </c>
      <c r="B124" s="42">
        <v>50</v>
      </c>
      <c r="C124" s="33">
        <v>1</v>
      </c>
      <c r="D124" s="33">
        <v>0</v>
      </c>
      <c r="E124" s="33">
        <v>0</v>
      </c>
      <c r="F124" s="33">
        <v>1</v>
      </c>
      <c r="G124" s="33">
        <v>1</v>
      </c>
      <c r="H124" s="33">
        <v>4</v>
      </c>
      <c r="I124" s="33">
        <v>0</v>
      </c>
      <c r="J124" s="33">
        <v>1</v>
      </c>
      <c r="K124" s="33">
        <v>0</v>
      </c>
      <c r="L124" s="33">
        <v>0</v>
      </c>
      <c r="M124" s="33">
        <v>0</v>
      </c>
      <c r="N124" s="33">
        <v>0</v>
      </c>
      <c r="O124" s="33">
        <v>0</v>
      </c>
      <c r="P124" s="33">
        <v>0</v>
      </c>
      <c r="Q124" s="21">
        <v>27</v>
      </c>
      <c r="R124">
        <f t="shared" si="4"/>
        <v>31.91812501917866</v>
      </c>
      <c r="S124">
        <f t="shared" si="5"/>
        <v>326.95420282205271</v>
      </c>
    </row>
    <row r="125" spans="1:19">
      <c r="A125" s="32">
        <v>41212</v>
      </c>
      <c r="B125" s="42">
        <v>51</v>
      </c>
      <c r="C125" s="33">
        <v>1</v>
      </c>
      <c r="D125" s="33">
        <v>0</v>
      </c>
      <c r="E125" s="33">
        <v>0</v>
      </c>
      <c r="F125" s="33">
        <v>0</v>
      </c>
      <c r="G125" s="33">
        <v>0</v>
      </c>
      <c r="H125" s="33">
        <v>1</v>
      </c>
      <c r="I125" s="33">
        <v>0</v>
      </c>
      <c r="J125" s="33">
        <v>0</v>
      </c>
      <c r="K125" s="33">
        <v>1</v>
      </c>
      <c r="L125" s="33">
        <v>0</v>
      </c>
      <c r="M125" s="33">
        <v>0</v>
      </c>
      <c r="N125" s="33">
        <v>0</v>
      </c>
      <c r="O125" s="33">
        <v>0</v>
      </c>
      <c r="P125" s="33">
        <v>0</v>
      </c>
      <c r="Q125" s="21">
        <v>21</v>
      </c>
      <c r="R125">
        <f t="shared" si="4"/>
        <v>21.612762791932212</v>
      </c>
      <c r="S125">
        <f t="shared" si="5"/>
        <v>863.60971072324378</v>
      </c>
    </row>
    <row r="126" spans="1:19">
      <c r="A126" s="32">
        <v>41213</v>
      </c>
      <c r="B126" s="42">
        <v>49</v>
      </c>
      <c r="C126" s="33">
        <v>1</v>
      </c>
      <c r="D126" s="33">
        <v>0</v>
      </c>
      <c r="E126" s="33">
        <v>0</v>
      </c>
      <c r="F126" s="33">
        <v>1</v>
      </c>
      <c r="G126" s="33">
        <v>1</v>
      </c>
      <c r="H126" s="33">
        <v>4</v>
      </c>
      <c r="I126" s="33">
        <v>0</v>
      </c>
      <c r="J126" s="33">
        <v>0</v>
      </c>
      <c r="K126" s="33">
        <v>0</v>
      </c>
      <c r="L126" s="33">
        <v>1</v>
      </c>
      <c r="M126" s="33">
        <v>0</v>
      </c>
      <c r="N126" s="33">
        <v>0</v>
      </c>
      <c r="O126" s="33">
        <v>0</v>
      </c>
      <c r="P126" s="33">
        <v>0</v>
      </c>
      <c r="Q126" s="21">
        <v>21</v>
      </c>
      <c r="R126">
        <f t="shared" si="4"/>
        <v>28.077058259202111</v>
      </c>
      <c r="S126">
        <f t="shared" si="5"/>
        <v>437.76949108882258</v>
      </c>
    </row>
    <row r="127" spans="1:19">
      <c r="A127" s="32">
        <v>41214</v>
      </c>
      <c r="B127" s="42">
        <v>34</v>
      </c>
      <c r="C127" s="33">
        <v>1</v>
      </c>
      <c r="D127" s="33">
        <v>0</v>
      </c>
      <c r="E127" s="33">
        <v>0</v>
      </c>
      <c r="F127" s="33">
        <v>0</v>
      </c>
      <c r="G127" s="33">
        <v>0</v>
      </c>
      <c r="H127" s="33">
        <v>1</v>
      </c>
      <c r="I127" s="33">
        <v>0</v>
      </c>
      <c r="J127" s="33">
        <v>0</v>
      </c>
      <c r="K127" s="33">
        <v>0</v>
      </c>
      <c r="L127" s="33">
        <v>0</v>
      </c>
      <c r="M127" s="33">
        <v>1</v>
      </c>
      <c r="N127" s="33">
        <v>0</v>
      </c>
      <c r="O127" s="33">
        <v>0</v>
      </c>
      <c r="P127" s="33">
        <v>0</v>
      </c>
      <c r="Q127" s="21">
        <v>22</v>
      </c>
      <c r="R127">
        <f t="shared" si="4"/>
        <v>20.423476298585673</v>
      </c>
      <c r="S127">
        <f t="shared" si="5"/>
        <v>184.32199581506498</v>
      </c>
    </row>
    <row r="128" spans="1:19">
      <c r="A128" s="32">
        <v>41215</v>
      </c>
      <c r="B128" s="42">
        <v>27</v>
      </c>
      <c r="C128" s="33">
        <v>1</v>
      </c>
      <c r="D128" s="33">
        <v>0</v>
      </c>
      <c r="E128" s="33">
        <v>0</v>
      </c>
      <c r="F128" s="33">
        <v>0</v>
      </c>
      <c r="G128" s="33">
        <v>0</v>
      </c>
      <c r="H128" s="33">
        <v>1</v>
      </c>
      <c r="I128" s="33">
        <v>0</v>
      </c>
      <c r="J128" s="33">
        <v>0</v>
      </c>
      <c r="K128" s="33">
        <v>0</v>
      </c>
      <c r="L128" s="33">
        <v>0</v>
      </c>
      <c r="M128" s="33">
        <v>0</v>
      </c>
      <c r="N128" s="33">
        <v>1</v>
      </c>
      <c r="O128" s="33">
        <v>0</v>
      </c>
      <c r="P128" s="33">
        <v>0</v>
      </c>
      <c r="Q128" s="21">
        <v>22</v>
      </c>
      <c r="R128">
        <f t="shared" si="4"/>
        <v>21.85090819071284</v>
      </c>
      <c r="S128">
        <f t="shared" si="5"/>
        <v>26.513146460468121</v>
      </c>
    </row>
    <row r="129" spans="1:19">
      <c r="A129" s="32">
        <v>41216</v>
      </c>
      <c r="B129" s="42">
        <v>43</v>
      </c>
      <c r="C129" s="33">
        <v>1</v>
      </c>
      <c r="D129" s="33">
        <v>0</v>
      </c>
      <c r="E129" s="33">
        <v>0</v>
      </c>
      <c r="F129" s="33">
        <v>2</v>
      </c>
      <c r="G129" s="33">
        <v>1</v>
      </c>
      <c r="H129" s="33">
        <v>6</v>
      </c>
      <c r="I129" s="33">
        <v>1</v>
      </c>
      <c r="J129" s="33">
        <v>0</v>
      </c>
      <c r="K129" s="33">
        <v>0</v>
      </c>
      <c r="L129" s="33">
        <v>0</v>
      </c>
      <c r="M129" s="33">
        <v>0</v>
      </c>
      <c r="N129" s="33">
        <v>0</v>
      </c>
      <c r="O129" s="33">
        <v>1</v>
      </c>
      <c r="P129" s="33">
        <v>0</v>
      </c>
      <c r="Q129" s="21">
        <v>28</v>
      </c>
      <c r="R129">
        <f t="shared" si="4"/>
        <v>33.122912161601981</v>
      </c>
      <c r="S129">
        <f t="shared" si="5"/>
        <v>97.556864167430049</v>
      </c>
    </row>
    <row r="130" spans="1:19">
      <c r="A130" s="32">
        <v>41217</v>
      </c>
      <c r="B130" s="42">
        <v>35</v>
      </c>
      <c r="C130" s="33">
        <v>1</v>
      </c>
      <c r="D130" s="33">
        <v>0</v>
      </c>
      <c r="E130" s="33">
        <v>0</v>
      </c>
      <c r="F130" s="33">
        <v>1</v>
      </c>
      <c r="G130" s="33">
        <v>1</v>
      </c>
      <c r="H130" s="33">
        <v>4</v>
      </c>
      <c r="I130" s="33">
        <v>0</v>
      </c>
      <c r="J130" s="33">
        <v>0</v>
      </c>
      <c r="K130" s="33">
        <v>0</v>
      </c>
      <c r="L130" s="33">
        <v>0</v>
      </c>
      <c r="M130" s="33">
        <v>0</v>
      </c>
      <c r="N130" s="33">
        <v>0</v>
      </c>
      <c r="O130" s="33">
        <v>0</v>
      </c>
      <c r="P130" s="33">
        <v>0</v>
      </c>
      <c r="Q130" s="21">
        <v>10</v>
      </c>
      <c r="R130">
        <f t="shared" si="4"/>
        <v>17.226035130609358</v>
      </c>
      <c r="S130">
        <f t="shared" si="5"/>
        <v>315.91382717833272</v>
      </c>
    </row>
    <row r="131" spans="1:19">
      <c r="A131" s="32">
        <v>41218</v>
      </c>
      <c r="B131" s="42">
        <v>25</v>
      </c>
      <c r="C131" s="33">
        <v>1</v>
      </c>
      <c r="D131" s="33">
        <v>0</v>
      </c>
      <c r="E131" s="33">
        <v>0</v>
      </c>
      <c r="F131" s="33">
        <v>0</v>
      </c>
      <c r="G131" s="33">
        <v>0</v>
      </c>
      <c r="H131" s="33">
        <v>1</v>
      </c>
      <c r="I131" s="33">
        <v>0</v>
      </c>
      <c r="J131" s="33">
        <v>1</v>
      </c>
      <c r="K131" s="33">
        <v>0</v>
      </c>
      <c r="L131" s="33">
        <v>0</v>
      </c>
      <c r="M131" s="33">
        <v>0</v>
      </c>
      <c r="N131" s="33">
        <v>0</v>
      </c>
      <c r="O131" s="33">
        <v>0</v>
      </c>
      <c r="P131" s="33">
        <v>0</v>
      </c>
      <c r="Q131" s="21">
        <v>14</v>
      </c>
      <c r="R131">
        <f t="shared" si="4"/>
        <v>17.578288266644691</v>
      </c>
      <c r="S131">
        <f t="shared" si="5"/>
        <v>55.081805053023864</v>
      </c>
    </row>
    <row r="132" spans="1:19">
      <c r="A132" s="32">
        <v>41219</v>
      </c>
      <c r="B132" s="42">
        <v>26</v>
      </c>
      <c r="C132" s="33">
        <v>1</v>
      </c>
      <c r="D132" s="33">
        <v>0</v>
      </c>
      <c r="E132" s="33">
        <v>0</v>
      </c>
      <c r="F132" s="33">
        <v>0</v>
      </c>
      <c r="G132" s="33">
        <v>0</v>
      </c>
      <c r="H132" s="33">
        <v>1</v>
      </c>
      <c r="I132" s="33">
        <v>0</v>
      </c>
      <c r="J132" s="33">
        <v>0</v>
      </c>
      <c r="K132" s="33">
        <v>1</v>
      </c>
      <c r="L132" s="33">
        <v>0</v>
      </c>
      <c r="M132" s="33">
        <v>0</v>
      </c>
      <c r="N132" s="33">
        <v>0</v>
      </c>
      <c r="O132" s="33">
        <v>0</v>
      </c>
      <c r="P132" s="33">
        <v>0</v>
      </c>
      <c r="Q132" s="21">
        <v>17</v>
      </c>
      <c r="R132">
        <f t="shared" si="4"/>
        <v>19.312259714557946</v>
      </c>
      <c r="S132">
        <f t="shared" si="5"/>
        <v>44.725870125524565</v>
      </c>
    </row>
    <row r="133" spans="1:19">
      <c r="A133" s="32">
        <v>41220</v>
      </c>
      <c r="B133" s="42">
        <v>21</v>
      </c>
      <c r="C133" s="33">
        <v>1</v>
      </c>
      <c r="D133" s="33">
        <v>0</v>
      </c>
      <c r="E133" s="33">
        <v>0</v>
      </c>
      <c r="F133" s="33">
        <v>0</v>
      </c>
      <c r="G133" s="33">
        <v>0</v>
      </c>
      <c r="H133" s="33">
        <v>1</v>
      </c>
      <c r="I133" s="33">
        <v>0</v>
      </c>
      <c r="J133" s="33">
        <v>0</v>
      </c>
      <c r="K133" s="33">
        <v>0</v>
      </c>
      <c r="L133" s="33">
        <v>1</v>
      </c>
      <c r="M133" s="33">
        <v>0</v>
      </c>
      <c r="N133" s="33">
        <v>0</v>
      </c>
      <c r="O133" s="33">
        <v>0</v>
      </c>
      <c r="P133" s="33">
        <v>0</v>
      </c>
      <c r="Q133" s="21">
        <v>11</v>
      </c>
      <c r="R133">
        <f t="shared" ref="R133:R196" si="6">SUMPRODUCT($C$2:$Q$2,C133:Q133)</f>
        <v>15.462598814698843</v>
      </c>
      <c r="S133">
        <f t="shared" ref="S133:S196" si="7">(R133-B133)^2</f>
        <v>30.662811886974655</v>
      </c>
    </row>
    <row r="134" spans="1:19">
      <c r="A134" s="32">
        <v>41221</v>
      </c>
      <c r="B134" s="42">
        <v>14</v>
      </c>
      <c r="C134" s="33">
        <v>1</v>
      </c>
      <c r="D134" s="33">
        <v>0</v>
      </c>
      <c r="E134" s="33">
        <v>0</v>
      </c>
      <c r="F134" s="33">
        <v>0</v>
      </c>
      <c r="G134" s="33">
        <v>0</v>
      </c>
      <c r="H134" s="33">
        <v>1</v>
      </c>
      <c r="I134" s="33">
        <v>0</v>
      </c>
      <c r="J134" s="33">
        <v>0</v>
      </c>
      <c r="K134" s="33">
        <v>0</v>
      </c>
      <c r="L134" s="33">
        <v>0</v>
      </c>
      <c r="M134" s="33">
        <v>1</v>
      </c>
      <c r="N134" s="33">
        <v>0</v>
      </c>
      <c r="O134" s="33">
        <v>0</v>
      </c>
      <c r="P134" s="33">
        <v>0</v>
      </c>
      <c r="Q134" s="21">
        <v>12</v>
      </c>
      <c r="R134">
        <f t="shared" si="6"/>
        <v>14.672218605150002</v>
      </c>
      <c r="S134">
        <f t="shared" si="7"/>
        <v>0.45187785310981443</v>
      </c>
    </row>
    <row r="135" spans="1:19">
      <c r="A135" s="32">
        <v>41222</v>
      </c>
      <c r="B135" s="42">
        <v>27</v>
      </c>
      <c r="C135" s="33">
        <v>1</v>
      </c>
      <c r="D135" s="33">
        <v>0</v>
      </c>
      <c r="E135" s="33">
        <v>0</v>
      </c>
      <c r="F135" s="33">
        <v>0</v>
      </c>
      <c r="G135" s="33">
        <v>0</v>
      </c>
      <c r="H135" s="33">
        <v>1</v>
      </c>
      <c r="I135" s="33">
        <v>0</v>
      </c>
      <c r="J135" s="33">
        <v>0</v>
      </c>
      <c r="K135" s="33">
        <v>0</v>
      </c>
      <c r="L135" s="33">
        <v>0</v>
      </c>
      <c r="M135" s="33">
        <v>0</v>
      </c>
      <c r="N135" s="33">
        <v>1</v>
      </c>
      <c r="O135" s="33">
        <v>0</v>
      </c>
      <c r="P135" s="33">
        <v>0</v>
      </c>
      <c r="Q135" s="21">
        <v>25</v>
      </c>
      <c r="R135">
        <f t="shared" si="6"/>
        <v>23.576285498743538</v>
      </c>
      <c r="S135">
        <f t="shared" si="7"/>
        <v>11.721820986113787</v>
      </c>
    </row>
    <row r="136" spans="1:19">
      <c r="A136" s="32">
        <v>41223</v>
      </c>
      <c r="B136" s="42">
        <v>37</v>
      </c>
      <c r="C136" s="33">
        <v>1</v>
      </c>
      <c r="D136" s="33">
        <v>0</v>
      </c>
      <c r="E136" s="33">
        <v>0</v>
      </c>
      <c r="F136" s="33">
        <v>1</v>
      </c>
      <c r="G136" s="33">
        <v>1</v>
      </c>
      <c r="H136" s="33">
        <v>4</v>
      </c>
      <c r="I136" s="33">
        <v>0</v>
      </c>
      <c r="J136" s="33">
        <v>0</v>
      </c>
      <c r="K136" s="33">
        <v>0</v>
      </c>
      <c r="L136" s="33">
        <v>0</v>
      </c>
      <c r="M136" s="33">
        <v>0</v>
      </c>
      <c r="N136" s="33">
        <v>0</v>
      </c>
      <c r="O136" s="33">
        <v>1</v>
      </c>
      <c r="P136" s="33">
        <v>0</v>
      </c>
      <c r="Q136" s="21">
        <v>27</v>
      </c>
      <c r="R136">
        <f t="shared" si="6"/>
        <v>29.704099470532306</v>
      </c>
      <c r="S136">
        <f t="shared" si="7"/>
        <v>53.230164535886978</v>
      </c>
    </row>
    <row r="137" spans="1:19">
      <c r="A137" s="32">
        <v>41224</v>
      </c>
      <c r="B137" s="42">
        <v>26</v>
      </c>
      <c r="C137" s="33">
        <v>1</v>
      </c>
      <c r="D137" s="33">
        <v>0</v>
      </c>
      <c r="E137" s="33">
        <v>0</v>
      </c>
      <c r="F137" s="33">
        <v>0</v>
      </c>
      <c r="G137" s="33">
        <v>0</v>
      </c>
      <c r="H137" s="33">
        <v>1</v>
      </c>
      <c r="I137" s="33">
        <v>0</v>
      </c>
      <c r="J137" s="33">
        <v>0</v>
      </c>
      <c r="K137" s="33">
        <v>0</v>
      </c>
      <c r="L137" s="33">
        <v>0</v>
      </c>
      <c r="M137" s="33">
        <v>0</v>
      </c>
      <c r="N137" s="33">
        <v>0</v>
      </c>
      <c r="O137" s="33">
        <v>0</v>
      </c>
      <c r="P137" s="33">
        <v>0</v>
      </c>
      <c r="Q137" s="21">
        <v>21</v>
      </c>
      <c r="R137">
        <f t="shared" si="6"/>
        <v>16.689216842320995</v>
      </c>
      <c r="S137">
        <f t="shared" si="7"/>
        <v>86.690683009319017</v>
      </c>
    </row>
    <row r="138" spans="1:19">
      <c r="A138" s="32">
        <v>41225</v>
      </c>
      <c r="B138" s="42">
        <v>21</v>
      </c>
      <c r="C138" s="33">
        <v>1</v>
      </c>
      <c r="D138" s="33">
        <v>0</v>
      </c>
      <c r="E138" s="33">
        <v>0</v>
      </c>
      <c r="F138" s="33">
        <v>0</v>
      </c>
      <c r="G138" s="33">
        <v>0</v>
      </c>
      <c r="H138" s="33">
        <v>1</v>
      </c>
      <c r="I138" s="33">
        <v>0</v>
      </c>
      <c r="J138" s="33">
        <v>1</v>
      </c>
      <c r="K138" s="33">
        <v>0</v>
      </c>
      <c r="L138" s="33">
        <v>0</v>
      </c>
      <c r="M138" s="33">
        <v>0</v>
      </c>
      <c r="N138" s="33">
        <v>0</v>
      </c>
      <c r="O138" s="33">
        <v>0</v>
      </c>
      <c r="P138" s="33">
        <v>0</v>
      </c>
      <c r="Q138" s="21">
        <v>13</v>
      </c>
      <c r="R138">
        <f t="shared" si="6"/>
        <v>17.003162497301123</v>
      </c>
      <c r="S138">
        <f t="shared" si="7"/>
        <v>15.974710022980199</v>
      </c>
    </row>
    <row r="139" spans="1:19">
      <c r="A139" s="32">
        <v>41226</v>
      </c>
      <c r="B139" s="42">
        <v>22</v>
      </c>
      <c r="C139" s="33">
        <v>1</v>
      </c>
      <c r="D139" s="33">
        <v>0</v>
      </c>
      <c r="E139" s="33">
        <v>0</v>
      </c>
      <c r="F139" s="33">
        <v>0</v>
      </c>
      <c r="G139" s="33">
        <v>0</v>
      </c>
      <c r="H139" s="33">
        <v>1</v>
      </c>
      <c r="I139" s="33">
        <v>0</v>
      </c>
      <c r="J139" s="33">
        <v>0</v>
      </c>
      <c r="K139" s="33">
        <v>1</v>
      </c>
      <c r="L139" s="33">
        <v>0</v>
      </c>
      <c r="M139" s="33">
        <v>0</v>
      </c>
      <c r="N139" s="33">
        <v>0</v>
      </c>
      <c r="O139" s="33">
        <v>0</v>
      </c>
      <c r="P139" s="33">
        <v>0</v>
      </c>
      <c r="Q139" s="21">
        <v>11</v>
      </c>
      <c r="R139">
        <f t="shared" si="6"/>
        <v>15.861505098496544</v>
      </c>
      <c r="S139">
        <f t="shared" si="7"/>
        <v>37.681119655783931</v>
      </c>
    </row>
    <row r="140" spans="1:19">
      <c r="A140" s="32">
        <v>41227</v>
      </c>
      <c r="B140" s="42">
        <v>12</v>
      </c>
      <c r="C140" s="33">
        <v>1</v>
      </c>
      <c r="D140" s="33">
        <v>0</v>
      </c>
      <c r="E140" s="33">
        <v>0</v>
      </c>
      <c r="F140" s="33">
        <v>0</v>
      </c>
      <c r="G140" s="33">
        <v>0</v>
      </c>
      <c r="H140" s="33">
        <v>1</v>
      </c>
      <c r="I140" s="33">
        <v>0</v>
      </c>
      <c r="J140" s="33">
        <v>0</v>
      </c>
      <c r="K140" s="33">
        <v>0</v>
      </c>
      <c r="L140" s="33">
        <v>1</v>
      </c>
      <c r="M140" s="33">
        <v>0</v>
      </c>
      <c r="N140" s="33">
        <v>0</v>
      </c>
      <c r="O140" s="33">
        <v>0</v>
      </c>
      <c r="P140" s="33">
        <v>0</v>
      </c>
      <c r="Q140" s="21">
        <v>19</v>
      </c>
      <c r="R140">
        <f t="shared" si="6"/>
        <v>20.063604969447379</v>
      </c>
      <c r="S140">
        <f t="shared" si="7"/>
        <v>65.021725103296461</v>
      </c>
    </row>
    <row r="141" spans="1:19">
      <c r="A141" s="32">
        <v>41228</v>
      </c>
      <c r="B141" s="42">
        <v>33</v>
      </c>
      <c r="C141" s="33">
        <v>1</v>
      </c>
      <c r="D141" s="33">
        <v>0</v>
      </c>
      <c r="E141" s="33">
        <v>0</v>
      </c>
      <c r="F141" s="33">
        <v>0</v>
      </c>
      <c r="G141" s="33">
        <v>0</v>
      </c>
      <c r="H141" s="33">
        <v>1</v>
      </c>
      <c r="I141" s="33">
        <v>0</v>
      </c>
      <c r="J141" s="33">
        <v>0</v>
      </c>
      <c r="K141" s="33">
        <v>0</v>
      </c>
      <c r="L141" s="33">
        <v>0</v>
      </c>
      <c r="M141" s="33">
        <v>1</v>
      </c>
      <c r="N141" s="33">
        <v>0</v>
      </c>
      <c r="O141" s="33">
        <v>0</v>
      </c>
      <c r="P141" s="33">
        <v>0</v>
      </c>
      <c r="Q141" s="21">
        <v>11</v>
      </c>
      <c r="R141">
        <f t="shared" si="6"/>
        <v>14.097092835806436</v>
      </c>
      <c r="S141">
        <f t="shared" si="7"/>
        <v>357.31989925812036</v>
      </c>
    </row>
    <row r="142" spans="1:19">
      <c r="A142" s="32">
        <v>41229</v>
      </c>
      <c r="B142" s="42">
        <v>26</v>
      </c>
      <c r="C142" s="33">
        <v>1</v>
      </c>
      <c r="D142" s="33">
        <v>0</v>
      </c>
      <c r="E142" s="33">
        <v>0</v>
      </c>
      <c r="F142" s="33">
        <v>0</v>
      </c>
      <c r="G142" s="33">
        <v>0</v>
      </c>
      <c r="H142" s="33">
        <v>1</v>
      </c>
      <c r="I142" s="33">
        <v>0</v>
      </c>
      <c r="J142" s="33">
        <v>0</v>
      </c>
      <c r="K142" s="33">
        <v>0</v>
      </c>
      <c r="L142" s="33">
        <v>0</v>
      </c>
      <c r="M142" s="33">
        <v>0</v>
      </c>
      <c r="N142" s="33">
        <v>1</v>
      </c>
      <c r="O142" s="33">
        <v>0</v>
      </c>
      <c r="P142" s="33">
        <v>0</v>
      </c>
      <c r="Q142" s="21">
        <v>11</v>
      </c>
      <c r="R142">
        <f t="shared" si="6"/>
        <v>15.524524727933603</v>
      </c>
      <c r="S142">
        <f t="shared" si="7"/>
        <v>109.73558217567457</v>
      </c>
    </row>
    <row r="143" spans="1:19">
      <c r="A143" s="32">
        <v>41230</v>
      </c>
      <c r="B143" s="42">
        <v>38</v>
      </c>
      <c r="C143" s="33">
        <v>1</v>
      </c>
      <c r="D143" s="33">
        <v>0</v>
      </c>
      <c r="E143" s="33">
        <v>0</v>
      </c>
      <c r="F143" s="33">
        <v>1</v>
      </c>
      <c r="G143" s="33">
        <v>1</v>
      </c>
      <c r="H143" s="33">
        <v>4</v>
      </c>
      <c r="I143" s="33">
        <v>0</v>
      </c>
      <c r="J143" s="33">
        <v>0</v>
      </c>
      <c r="K143" s="33">
        <v>0</v>
      </c>
      <c r="L143" s="33">
        <v>0</v>
      </c>
      <c r="M143" s="33">
        <v>0</v>
      </c>
      <c r="N143" s="33">
        <v>0</v>
      </c>
      <c r="O143" s="33">
        <v>1</v>
      </c>
      <c r="P143" s="33">
        <v>0</v>
      </c>
      <c r="Q143" s="21">
        <v>15</v>
      </c>
      <c r="R143">
        <f t="shared" si="6"/>
        <v>22.802590238409501</v>
      </c>
      <c r="S143">
        <f t="shared" si="7"/>
        <v>230.9612634616862</v>
      </c>
    </row>
    <row r="144" spans="1:19">
      <c r="A144" s="32">
        <v>41231</v>
      </c>
      <c r="B144" s="42">
        <v>39</v>
      </c>
      <c r="C144" s="33">
        <v>1</v>
      </c>
      <c r="D144" s="33">
        <v>0</v>
      </c>
      <c r="E144" s="33">
        <v>0</v>
      </c>
      <c r="F144" s="33">
        <v>1</v>
      </c>
      <c r="G144" s="33">
        <v>0</v>
      </c>
      <c r="H144" s="33">
        <v>2</v>
      </c>
      <c r="I144" s="33">
        <v>0</v>
      </c>
      <c r="J144" s="33">
        <v>0</v>
      </c>
      <c r="K144" s="33">
        <v>0</v>
      </c>
      <c r="L144" s="33">
        <v>0</v>
      </c>
      <c r="M144" s="33">
        <v>0</v>
      </c>
      <c r="N144" s="33">
        <v>0</v>
      </c>
      <c r="O144" s="33">
        <v>0</v>
      </c>
      <c r="P144" s="33">
        <v>0</v>
      </c>
      <c r="Q144" s="21">
        <v>29</v>
      </c>
      <c r="R144">
        <f t="shared" si="6"/>
        <v>25.854085471109109</v>
      </c>
      <c r="S144">
        <f t="shared" si="7"/>
        <v>172.81506880090464</v>
      </c>
    </row>
    <row r="145" spans="1:19">
      <c r="A145" s="32">
        <v>41232</v>
      </c>
      <c r="B145" s="42">
        <v>25</v>
      </c>
      <c r="C145" s="33">
        <v>1</v>
      </c>
      <c r="D145" s="33">
        <v>0</v>
      </c>
      <c r="E145" s="33">
        <v>0</v>
      </c>
      <c r="F145" s="33">
        <v>0</v>
      </c>
      <c r="G145" s="33">
        <v>0</v>
      </c>
      <c r="H145" s="33">
        <v>1</v>
      </c>
      <c r="I145" s="33">
        <v>0</v>
      </c>
      <c r="J145" s="33">
        <v>1</v>
      </c>
      <c r="K145" s="33">
        <v>0</v>
      </c>
      <c r="L145" s="33">
        <v>0</v>
      </c>
      <c r="M145" s="33">
        <v>0</v>
      </c>
      <c r="N145" s="33">
        <v>0</v>
      </c>
      <c r="O145" s="33">
        <v>0</v>
      </c>
      <c r="P145" s="33">
        <v>0</v>
      </c>
      <c r="Q145" s="21">
        <v>18</v>
      </c>
      <c r="R145">
        <f t="shared" si="6"/>
        <v>19.878791344018957</v>
      </c>
      <c r="S145">
        <f t="shared" si="7"/>
        <v>26.22677809809516</v>
      </c>
    </row>
    <row r="146" spans="1:19">
      <c r="A146" s="32">
        <v>41233</v>
      </c>
      <c r="B146" s="42">
        <v>28</v>
      </c>
      <c r="C146" s="33">
        <v>1</v>
      </c>
      <c r="D146" s="33">
        <v>0</v>
      </c>
      <c r="E146" s="33">
        <v>0</v>
      </c>
      <c r="F146" s="33">
        <v>0</v>
      </c>
      <c r="G146" s="33">
        <v>0</v>
      </c>
      <c r="H146" s="33">
        <v>1</v>
      </c>
      <c r="I146" s="33">
        <v>0</v>
      </c>
      <c r="J146" s="33">
        <v>0</v>
      </c>
      <c r="K146" s="33">
        <v>1</v>
      </c>
      <c r="L146" s="33">
        <v>0</v>
      </c>
      <c r="M146" s="33">
        <v>0</v>
      </c>
      <c r="N146" s="33">
        <v>0</v>
      </c>
      <c r="O146" s="33">
        <v>0</v>
      </c>
      <c r="P146" s="33">
        <v>0</v>
      </c>
      <c r="Q146" s="21">
        <v>14</v>
      </c>
      <c r="R146">
        <f t="shared" si="6"/>
        <v>17.586882406527245</v>
      </c>
      <c r="S146">
        <f t="shared" si="7"/>
        <v>108.43301801549183</v>
      </c>
    </row>
    <row r="147" spans="1:19">
      <c r="A147" s="32">
        <v>41234</v>
      </c>
      <c r="B147" s="42">
        <v>38</v>
      </c>
      <c r="C147" s="33">
        <v>1</v>
      </c>
      <c r="D147" s="33">
        <v>0</v>
      </c>
      <c r="E147" s="33">
        <v>0</v>
      </c>
      <c r="F147" s="33">
        <v>0</v>
      </c>
      <c r="G147" s="33">
        <v>0</v>
      </c>
      <c r="H147" s="33">
        <v>1</v>
      </c>
      <c r="I147" s="33">
        <v>0</v>
      </c>
      <c r="J147" s="33">
        <v>0</v>
      </c>
      <c r="K147" s="33">
        <v>0</v>
      </c>
      <c r="L147" s="33">
        <v>1</v>
      </c>
      <c r="M147" s="33">
        <v>0</v>
      </c>
      <c r="N147" s="33">
        <v>0</v>
      </c>
      <c r="O147" s="33">
        <v>0</v>
      </c>
      <c r="P147" s="33">
        <v>0</v>
      </c>
      <c r="Q147" s="21">
        <v>12</v>
      </c>
      <c r="R147">
        <f t="shared" si="6"/>
        <v>16.037724584042408</v>
      </c>
      <c r="S147">
        <f t="shared" si="7"/>
        <v>482.34154144637523</v>
      </c>
    </row>
    <row r="148" spans="1:19">
      <c r="A148" s="32">
        <v>41235</v>
      </c>
      <c r="B148" s="42">
        <v>45</v>
      </c>
      <c r="C148" s="33">
        <v>1</v>
      </c>
      <c r="D148" s="33">
        <v>0</v>
      </c>
      <c r="E148" s="33">
        <v>0</v>
      </c>
      <c r="F148" s="33">
        <v>0</v>
      </c>
      <c r="G148" s="33">
        <v>0</v>
      </c>
      <c r="H148" s="33">
        <v>1</v>
      </c>
      <c r="I148" s="33">
        <v>0</v>
      </c>
      <c r="J148" s="33">
        <v>0</v>
      </c>
      <c r="K148" s="33">
        <v>0</v>
      </c>
      <c r="L148" s="33">
        <v>0</v>
      </c>
      <c r="M148" s="33">
        <v>1</v>
      </c>
      <c r="N148" s="33">
        <v>0</v>
      </c>
      <c r="O148" s="33">
        <v>0</v>
      </c>
      <c r="P148" s="33">
        <v>0</v>
      </c>
      <c r="Q148" s="21">
        <v>21</v>
      </c>
      <c r="R148">
        <f t="shared" si="6"/>
        <v>19.848350529242104</v>
      </c>
      <c r="S148">
        <f t="shared" si="7"/>
        <v>632.6054710998759</v>
      </c>
    </row>
    <row r="149" spans="1:19">
      <c r="A149" s="32">
        <v>41236</v>
      </c>
      <c r="B149" s="42">
        <v>49</v>
      </c>
      <c r="C149" s="33">
        <v>1</v>
      </c>
      <c r="D149" s="33">
        <v>0</v>
      </c>
      <c r="E149" s="33">
        <v>0</v>
      </c>
      <c r="F149" s="33">
        <v>2</v>
      </c>
      <c r="G149" s="33">
        <v>1</v>
      </c>
      <c r="H149" s="33">
        <v>6</v>
      </c>
      <c r="I149" s="33">
        <v>1</v>
      </c>
      <c r="J149" s="33">
        <v>0</v>
      </c>
      <c r="K149" s="33">
        <v>0</v>
      </c>
      <c r="L149" s="33">
        <v>0</v>
      </c>
      <c r="M149" s="33">
        <v>0</v>
      </c>
      <c r="N149" s="33">
        <v>1</v>
      </c>
      <c r="O149" s="33">
        <v>0</v>
      </c>
      <c r="P149" s="33">
        <v>0</v>
      </c>
      <c r="Q149" s="21">
        <v>30</v>
      </c>
      <c r="R149">
        <f t="shared" si="6"/>
        <v>36.158803018255085</v>
      </c>
      <c r="S149">
        <f t="shared" si="7"/>
        <v>164.89633992397472</v>
      </c>
    </row>
    <row r="150" spans="1:19">
      <c r="A150" s="32">
        <v>41237</v>
      </c>
      <c r="B150" s="42">
        <v>42</v>
      </c>
      <c r="C150" s="33">
        <v>1</v>
      </c>
      <c r="D150" s="33">
        <v>0</v>
      </c>
      <c r="E150" s="33">
        <v>0</v>
      </c>
      <c r="F150" s="33">
        <v>2</v>
      </c>
      <c r="G150" s="33">
        <v>1</v>
      </c>
      <c r="H150" s="33">
        <v>6</v>
      </c>
      <c r="I150" s="33">
        <v>0</v>
      </c>
      <c r="J150" s="33">
        <v>0</v>
      </c>
      <c r="K150" s="33">
        <v>0</v>
      </c>
      <c r="L150" s="33">
        <v>0</v>
      </c>
      <c r="M150" s="33">
        <v>0</v>
      </c>
      <c r="N150" s="33">
        <v>0</v>
      </c>
      <c r="O150" s="33">
        <v>1</v>
      </c>
      <c r="P150" s="33">
        <v>0</v>
      </c>
      <c r="Q150" s="21">
        <v>31</v>
      </c>
      <c r="R150">
        <f t="shared" si="6"/>
        <v>35.814420119286325</v>
      </c>
      <c r="S150">
        <f t="shared" si="7"/>
        <v>38.261398460689804</v>
      </c>
    </row>
    <row r="151" spans="1:19">
      <c r="A151" s="32">
        <v>41238</v>
      </c>
      <c r="B151" s="42">
        <v>46</v>
      </c>
      <c r="C151" s="33">
        <v>1</v>
      </c>
      <c r="D151" s="33">
        <v>0</v>
      </c>
      <c r="E151" s="33">
        <v>0</v>
      </c>
      <c r="F151" s="33">
        <v>1</v>
      </c>
      <c r="G151" s="33">
        <v>1</v>
      </c>
      <c r="H151" s="33">
        <v>4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>
        <v>0</v>
      </c>
      <c r="O151" s="33">
        <v>0</v>
      </c>
      <c r="P151" s="33">
        <v>0</v>
      </c>
      <c r="Q151" s="21">
        <v>32</v>
      </c>
      <c r="R151">
        <f t="shared" si="6"/>
        <v>29.878802056167832</v>
      </c>
      <c r="S151">
        <f t="shared" si="7"/>
        <v>259.89302314421855</v>
      </c>
    </row>
    <row r="152" spans="1:19">
      <c r="A152" s="32">
        <v>41239</v>
      </c>
      <c r="B152" s="42">
        <v>40</v>
      </c>
      <c r="C152" s="33">
        <v>1</v>
      </c>
      <c r="D152" s="33">
        <v>0</v>
      </c>
      <c r="E152" s="33">
        <v>0</v>
      </c>
      <c r="F152" s="33">
        <v>0</v>
      </c>
      <c r="G152" s="33">
        <v>0</v>
      </c>
      <c r="H152" s="33">
        <v>1</v>
      </c>
      <c r="I152" s="33">
        <v>0</v>
      </c>
      <c r="J152" s="33">
        <v>1</v>
      </c>
      <c r="K152" s="33">
        <v>0</v>
      </c>
      <c r="L152" s="33">
        <v>0</v>
      </c>
      <c r="M152" s="33">
        <v>0</v>
      </c>
      <c r="N152" s="33">
        <v>0</v>
      </c>
      <c r="O152" s="33">
        <v>0</v>
      </c>
      <c r="P152" s="33">
        <v>0</v>
      </c>
      <c r="Q152" s="21">
        <v>27</v>
      </c>
      <c r="R152">
        <f t="shared" si="6"/>
        <v>25.054923268111061</v>
      </c>
      <c r="S152">
        <f t="shared" si="7"/>
        <v>223.35531852204818</v>
      </c>
    </row>
    <row r="153" spans="1:19">
      <c r="A153" s="32">
        <v>41240</v>
      </c>
      <c r="B153" s="42">
        <v>32</v>
      </c>
      <c r="C153" s="33">
        <v>1</v>
      </c>
      <c r="D153" s="33">
        <v>0</v>
      </c>
      <c r="E153" s="33">
        <v>0</v>
      </c>
      <c r="F153" s="33">
        <v>1</v>
      </c>
      <c r="G153" s="33">
        <v>0</v>
      </c>
      <c r="H153" s="33">
        <v>2</v>
      </c>
      <c r="I153" s="33">
        <v>0</v>
      </c>
      <c r="J153" s="33">
        <v>0</v>
      </c>
      <c r="K153" s="33">
        <v>1</v>
      </c>
      <c r="L153" s="33">
        <v>0</v>
      </c>
      <c r="M153" s="33">
        <v>0</v>
      </c>
      <c r="N153" s="33">
        <v>0</v>
      </c>
      <c r="O153" s="33">
        <v>0</v>
      </c>
      <c r="P153" s="33">
        <v>0</v>
      </c>
      <c r="Q153" s="21">
        <v>20</v>
      </c>
      <c r="R153">
        <f t="shared" si="6"/>
        <v>25.601499496628222</v>
      </c>
      <c r="S153">
        <f t="shared" si="7"/>
        <v>40.940808691648904</v>
      </c>
    </row>
    <row r="154" spans="1:19">
      <c r="A154" s="32">
        <v>41241</v>
      </c>
      <c r="B154" s="42">
        <v>43</v>
      </c>
      <c r="C154" s="33">
        <v>1</v>
      </c>
      <c r="D154" s="33">
        <v>0</v>
      </c>
      <c r="E154" s="33">
        <v>0</v>
      </c>
      <c r="F154" s="33">
        <v>0</v>
      </c>
      <c r="G154" s="33">
        <v>0</v>
      </c>
      <c r="H154" s="33">
        <v>1</v>
      </c>
      <c r="I154" s="33">
        <v>0</v>
      </c>
      <c r="J154" s="33">
        <v>0</v>
      </c>
      <c r="K154" s="33">
        <v>0</v>
      </c>
      <c r="L154" s="33">
        <v>1</v>
      </c>
      <c r="M154" s="33">
        <v>0</v>
      </c>
      <c r="N154" s="33">
        <v>0</v>
      </c>
      <c r="O154" s="33">
        <v>0</v>
      </c>
      <c r="P154" s="33">
        <v>0</v>
      </c>
      <c r="Q154" s="21">
        <v>20</v>
      </c>
      <c r="R154">
        <f t="shared" si="6"/>
        <v>20.638730738790947</v>
      </c>
      <c r="S154">
        <f t="shared" si="7"/>
        <v>500.02636297229287</v>
      </c>
    </row>
    <row r="155" spans="1:19">
      <c r="A155" s="32">
        <v>41242</v>
      </c>
      <c r="B155" s="42">
        <v>44</v>
      </c>
      <c r="C155" s="33">
        <v>1</v>
      </c>
      <c r="D155" s="33">
        <v>0</v>
      </c>
      <c r="E155" s="33">
        <v>0</v>
      </c>
      <c r="F155" s="33">
        <v>0</v>
      </c>
      <c r="G155" s="33">
        <v>0</v>
      </c>
      <c r="H155" s="33">
        <v>1</v>
      </c>
      <c r="I155" s="33">
        <v>0</v>
      </c>
      <c r="J155" s="33">
        <v>0</v>
      </c>
      <c r="K155" s="33">
        <v>0</v>
      </c>
      <c r="L155" s="33">
        <v>0</v>
      </c>
      <c r="M155" s="33">
        <v>1</v>
      </c>
      <c r="N155" s="33">
        <v>0</v>
      </c>
      <c r="O155" s="33">
        <v>0</v>
      </c>
      <c r="P155" s="33">
        <v>0</v>
      </c>
      <c r="Q155" s="21">
        <v>15</v>
      </c>
      <c r="R155">
        <f t="shared" si="6"/>
        <v>16.397595913180702</v>
      </c>
      <c r="S155">
        <f t="shared" si="7"/>
        <v>761.89271137205867</v>
      </c>
    </row>
    <row r="156" spans="1:19">
      <c r="A156" s="32">
        <v>41243</v>
      </c>
      <c r="B156" s="42">
        <v>49</v>
      </c>
      <c r="C156" s="33">
        <v>1</v>
      </c>
      <c r="D156" s="33">
        <v>0</v>
      </c>
      <c r="E156" s="33">
        <v>0</v>
      </c>
      <c r="F156" s="33">
        <v>1</v>
      </c>
      <c r="G156" s="33">
        <v>1</v>
      </c>
      <c r="H156" s="33">
        <v>4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>
        <v>1</v>
      </c>
      <c r="O156" s="33">
        <v>0</v>
      </c>
      <c r="P156" s="33">
        <v>0</v>
      </c>
      <c r="Q156" s="21">
        <v>17</v>
      </c>
      <c r="R156">
        <f t="shared" si="6"/>
        <v>25.838481095062605</v>
      </c>
      <c r="S156">
        <f t="shared" si="7"/>
        <v>536.45595798377235</v>
      </c>
    </row>
    <row r="157" spans="1:19">
      <c r="A157" s="32">
        <v>41244</v>
      </c>
      <c r="B157" s="42">
        <v>45</v>
      </c>
      <c r="C157" s="33">
        <v>1</v>
      </c>
      <c r="D157" s="33">
        <v>0</v>
      </c>
      <c r="E157" s="33">
        <v>0</v>
      </c>
      <c r="F157" s="33">
        <v>2</v>
      </c>
      <c r="G157" s="33">
        <v>1</v>
      </c>
      <c r="H157" s="33">
        <v>6</v>
      </c>
      <c r="I157" s="33">
        <v>0</v>
      </c>
      <c r="J157" s="33">
        <v>0</v>
      </c>
      <c r="K157" s="33">
        <v>0</v>
      </c>
      <c r="L157" s="33">
        <v>0</v>
      </c>
      <c r="M157" s="33">
        <v>0</v>
      </c>
      <c r="N157" s="33">
        <v>0</v>
      </c>
      <c r="O157" s="33">
        <v>1</v>
      </c>
      <c r="P157" s="33">
        <v>0</v>
      </c>
      <c r="Q157" s="21">
        <v>32</v>
      </c>
      <c r="R157">
        <f t="shared" si="6"/>
        <v>36.38954588862989</v>
      </c>
      <c r="S157">
        <f t="shared" si="7"/>
        <v>74.139920004010435</v>
      </c>
    </row>
    <row r="158" spans="1:19">
      <c r="A158" s="32">
        <v>41245</v>
      </c>
      <c r="B158" s="42">
        <v>37</v>
      </c>
      <c r="C158" s="33">
        <v>1</v>
      </c>
      <c r="D158" s="33">
        <v>0</v>
      </c>
      <c r="E158" s="33">
        <v>0</v>
      </c>
      <c r="F158" s="33">
        <v>1</v>
      </c>
      <c r="G158" s="33">
        <v>1</v>
      </c>
      <c r="H158" s="33">
        <v>4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>
        <v>0</v>
      </c>
      <c r="O158" s="33">
        <v>0</v>
      </c>
      <c r="P158" s="33">
        <v>0</v>
      </c>
      <c r="Q158" s="21">
        <v>17</v>
      </c>
      <c r="R158">
        <f t="shared" si="6"/>
        <v>21.251915516014328</v>
      </c>
      <c r="S158">
        <f t="shared" si="7"/>
        <v>248.00216491475027</v>
      </c>
    </row>
    <row r="159" spans="1:19">
      <c r="A159" s="32">
        <v>41246</v>
      </c>
      <c r="B159" s="42">
        <v>40</v>
      </c>
      <c r="C159" s="33">
        <v>1</v>
      </c>
      <c r="D159" s="33">
        <v>0</v>
      </c>
      <c r="E159" s="33">
        <v>0</v>
      </c>
      <c r="F159" s="33">
        <v>0</v>
      </c>
      <c r="G159" s="33">
        <v>0</v>
      </c>
      <c r="H159" s="33">
        <v>1</v>
      </c>
      <c r="I159" s="33">
        <v>0</v>
      </c>
      <c r="J159" s="33">
        <v>1</v>
      </c>
      <c r="K159" s="33">
        <v>0</v>
      </c>
      <c r="L159" s="33">
        <v>0</v>
      </c>
      <c r="M159" s="33">
        <v>0</v>
      </c>
      <c r="N159" s="33">
        <v>0</v>
      </c>
      <c r="O159" s="33">
        <v>0</v>
      </c>
      <c r="P159" s="33">
        <v>0</v>
      </c>
      <c r="Q159" s="21">
        <v>11</v>
      </c>
      <c r="R159">
        <f t="shared" si="6"/>
        <v>15.85291095861399</v>
      </c>
      <c r="S159">
        <f t="shared" si="7"/>
        <v>583.08190917262436</v>
      </c>
    </row>
    <row r="160" spans="1:19">
      <c r="A160" s="32">
        <v>41247</v>
      </c>
      <c r="B160" s="42">
        <v>17</v>
      </c>
      <c r="C160" s="33">
        <v>1</v>
      </c>
      <c r="D160" s="33">
        <v>0</v>
      </c>
      <c r="E160" s="33">
        <v>0</v>
      </c>
      <c r="F160" s="33">
        <v>0</v>
      </c>
      <c r="G160" s="33">
        <v>0</v>
      </c>
      <c r="H160" s="33">
        <v>1</v>
      </c>
      <c r="I160" s="33">
        <v>0</v>
      </c>
      <c r="J160" s="33">
        <v>0</v>
      </c>
      <c r="K160" s="33">
        <v>1</v>
      </c>
      <c r="L160" s="33">
        <v>0</v>
      </c>
      <c r="M160" s="33">
        <v>0</v>
      </c>
      <c r="N160" s="33">
        <v>0</v>
      </c>
      <c r="O160" s="33">
        <v>0</v>
      </c>
      <c r="P160" s="33">
        <v>0</v>
      </c>
      <c r="Q160" s="21">
        <v>12</v>
      </c>
      <c r="R160">
        <f t="shared" si="6"/>
        <v>16.436630867840108</v>
      </c>
      <c r="S160">
        <f t="shared" si="7"/>
        <v>0.31738477907058954</v>
      </c>
    </row>
    <row r="161" spans="1:19">
      <c r="A161" s="32">
        <v>41248</v>
      </c>
      <c r="B161" s="42">
        <v>26</v>
      </c>
      <c r="C161" s="33">
        <v>1</v>
      </c>
      <c r="D161" s="33">
        <v>0</v>
      </c>
      <c r="E161" s="33">
        <v>0</v>
      </c>
      <c r="F161" s="33">
        <v>0</v>
      </c>
      <c r="G161" s="33">
        <v>0</v>
      </c>
      <c r="H161" s="33">
        <v>1</v>
      </c>
      <c r="I161" s="33">
        <v>0</v>
      </c>
      <c r="J161" s="33">
        <v>0</v>
      </c>
      <c r="K161" s="33">
        <v>0</v>
      </c>
      <c r="L161" s="33">
        <v>1</v>
      </c>
      <c r="M161" s="33">
        <v>0</v>
      </c>
      <c r="N161" s="33">
        <v>0</v>
      </c>
      <c r="O161" s="33">
        <v>0</v>
      </c>
      <c r="P161" s="33">
        <v>0</v>
      </c>
      <c r="Q161" s="21">
        <v>13</v>
      </c>
      <c r="R161">
        <f t="shared" si="6"/>
        <v>16.612850353385976</v>
      </c>
      <c r="S161">
        <f t="shared" si="7"/>
        <v>88.118578487925788</v>
      </c>
    </row>
    <row r="162" spans="1:19">
      <c r="A162" s="32">
        <v>41249</v>
      </c>
      <c r="B162" s="42">
        <v>16</v>
      </c>
      <c r="C162" s="33">
        <v>1</v>
      </c>
      <c r="D162" s="33">
        <v>0</v>
      </c>
      <c r="E162" s="33">
        <v>0</v>
      </c>
      <c r="F162" s="33">
        <v>0</v>
      </c>
      <c r="G162" s="33">
        <v>0</v>
      </c>
      <c r="H162" s="33">
        <v>1</v>
      </c>
      <c r="I162" s="33">
        <v>0</v>
      </c>
      <c r="J162" s="33">
        <v>0</v>
      </c>
      <c r="K162" s="33">
        <v>0</v>
      </c>
      <c r="L162" s="33">
        <v>0</v>
      </c>
      <c r="M162" s="33">
        <v>1</v>
      </c>
      <c r="N162" s="33">
        <v>0</v>
      </c>
      <c r="O162" s="33">
        <v>0</v>
      </c>
      <c r="P162" s="33">
        <v>0</v>
      </c>
      <c r="Q162" s="21">
        <v>8</v>
      </c>
      <c r="R162">
        <f t="shared" si="6"/>
        <v>12.371715527775734</v>
      </c>
      <c r="S162">
        <f t="shared" si="7"/>
        <v>13.16444821138372</v>
      </c>
    </row>
    <row r="163" spans="1:19">
      <c r="A163" s="32">
        <v>41250</v>
      </c>
      <c r="B163" s="42">
        <v>19</v>
      </c>
      <c r="C163" s="33">
        <v>1</v>
      </c>
      <c r="D163" s="33">
        <v>0</v>
      </c>
      <c r="E163" s="33">
        <v>0</v>
      </c>
      <c r="F163" s="33">
        <v>0</v>
      </c>
      <c r="G163" s="33">
        <v>0</v>
      </c>
      <c r="H163" s="33">
        <v>1</v>
      </c>
      <c r="I163" s="33">
        <v>0</v>
      </c>
      <c r="J163" s="33">
        <v>0</v>
      </c>
      <c r="K163" s="33">
        <v>0</v>
      </c>
      <c r="L163" s="33">
        <v>0</v>
      </c>
      <c r="M163" s="33">
        <v>0</v>
      </c>
      <c r="N163" s="33">
        <v>1</v>
      </c>
      <c r="O163" s="33">
        <v>0</v>
      </c>
      <c r="P163" s="33">
        <v>0</v>
      </c>
      <c r="Q163" s="21">
        <v>14</v>
      </c>
      <c r="R163">
        <f t="shared" si="6"/>
        <v>17.249902035964304</v>
      </c>
      <c r="S163">
        <f t="shared" si="7"/>
        <v>3.062842883721888</v>
      </c>
    </row>
    <row r="164" spans="1:19">
      <c r="A164" s="32">
        <v>41251</v>
      </c>
      <c r="B164" s="42">
        <v>44</v>
      </c>
      <c r="C164" s="33">
        <v>1</v>
      </c>
      <c r="D164" s="33">
        <v>0</v>
      </c>
      <c r="E164" s="33">
        <v>0</v>
      </c>
      <c r="F164" s="33">
        <v>1</v>
      </c>
      <c r="G164" s="33">
        <v>1</v>
      </c>
      <c r="H164" s="33">
        <v>4</v>
      </c>
      <c r="I164" s="33">
        <v>0</v>
      </c>
      <c r="J164" s="33">
        <v>0</v>
      </c>
      <c r="K164" s="33">
        <v>0</v>
      </c>
      <c r="L164" s="33">
        <v>0</v>
      </c>
      <c r="M164" s="33">
        <v>0</v>
      </c>
      <c r="N164" s="33">
        <v>0</v>
      </c>
      <c r="O164" s="33">
        <v>1</v>
      </c>
      <c r="P164" s="33">
        <v>0</v>
      </c>
      <c r="Q164" s="21">
        <v>31</v>
      </c>
      <c r="R164">
        <f t="shared" si="6"/>
        <v>32.004602547906572</v>
      </c>
      <c r="S164">
        <f t="shared" si="7"/>
        <v>143.88956003368952</v>
      </c>
    </row>
    <row r="165" spans="1:19">
      <c r="A165" s="32">
        <v>41252</v>
      </c>
      <c r="B165" s="42">
        <v>35</v>
      </c>
      <c r="C165" s="33">
        <v>1</v>
      </c>
      <c r="D165" s="33">
        <v>0</v>
      </c>
      <c r="E165" s="33">
        <v>0</v>
      </c>
      <c r="F165" s="33">
        <v>1</v>
      </c>
      <c r="G165" s="33">
        <v>0</v>
      </c>
      <c r="H165" s="33">
        <v>2</v>
      </c>
      <c r="I165" s="33">
        <v>0</v>
      </c>
      <c r="J165" s="33">
        <v>0</v>
      </c>
      <c r="K165" s="33">
        <v>0</v>
      </c>
      <c r="L165" s="33">
        <v>0</v>
      </c>
      <c r="M165" s="33">
        <v>0</v>
      </c>
      <c r="N165" s="33">
        <v>0</v>
      </c>
      <c r="O165" s="33">
        <v>0</v>
      </c>
      <c r="P165" s="33">
        <v>0</v>
      </c>
      <c r="Q165" s="21">
        <v>22</v>
      </c>
      <c r="R165">
        <f t="shared" si="6"/>
        <v>21.828205085704141</v>
      </c>
      <c r="S165">
        <f t="shared" si="7"/>
        <v>173.49618126427026</v>
      </c>
    </row>
    <row r="166" spans="1:19">
      <c r="A166" s="32">
        <v>41253</v>
      </c>
      <c r="B166" s="42">
        <v>39</v>
      </c>
      <c r="C166" s="33">
        <v>1</v>
      </c>
      <c r="D166" s="33">
        <v>0</v>
      </c>
      <c r="E166" s="33">
        <v>0</v>
      </c>
      <c r="F166" s="33">
        <v>0</v>
      </c>
      <c r="G166" s="33">
        <v>0</v>
      </c>
      <c r="H166" s="33">
        <v>1</v>
      </c>
      <c r="I166" s="33">
        <v>0</v>
      </c>
      <c r="J166" s="33">
        <v>1</v>
      </c>
      <c r="K166" s="33">
        <v>0</v>
      </c>
      <c r="L166" s="33">
        <v>0</v>
      </c>
      <c r="M166" s="33">
        <v>0</v>
      </c>
      <c r="N166" s="33">
        <v>0</v>
      </c>
      <c r="O166" s="33">
        <v>0</v>
      </c>
      <c r="P166" s="33">
        <v>0</v>
      </c>
      <c r="Q166" s="21">
        <v>19</v>
      </c>
      <c r="R166">
        <f t="shared" si="6"/>
        <v>20.453917113362525</v>
      </c>
      <c r="S166">
        <f t="shared" si="7"/>
        <v>343.9571904380274</v>
      </c>
    </row>
    <row r="167" spans="1:19">
      <c r="A167" s="32">
        <v>41254</v>
      </c>
      <c r="B167" s="42">
        <v>22</v>
      </c>
      <c r="C167" s="33">
        <v>1</v>
      </c>
      <c r="D167" s="33">
        <v>0</v>
      </c>
      <c r="E167" s="33">
        <v>0</v>
      </c>
      <c r="F167" s="33">
        <v>0</v>
      </c>
      <c r="G167" s="33">
        <v>0</v>
      </c>
      <c r="H167" s="33">
        <v>1</v>
      </c>
      <c r="I167" s="33">
        <v>0</v>
      </c>
      <c r="J167" s="33">
        <v>0</v>
      </c>
      <c r="K167" s="33">
        <v>1</v>
      </c>
      <c r="L167" s="33">
        <v>0</v>
      </c>
      <c r="M167" s="33">
        <v>0</v>
      </c>
      <c r="N167" s="33">
        <v>0</v>
      </c>
      <c r="O167" s="33">
        <v>0</v>
      </c>
      <c r="P167" s="33">
        <v>0</v>
      </c>
      <c r="Q167" s="21">
        <v>14</v>
      </c>
      <c r="R167">
        <f t="shared" si="6"/>
        <v>17.586882406527245</v>
      </c>
      <c r="S167">
        <f t="shared" si="7"/>
        <v>19.47560689381876</v>
      </c>
    </row>
    <row r="168" spans="1:19">
      <c r="A168" s="32">
        <v>41255</v>
      </c>
      <c r="B168" s="42">
        <v>27</v>
      </c>
      <c r="C168" s="33">
        <v>1</v>
      </c>
      <c r="D168" s="33">
        <v>0</v>
      </c>
      <c r="E168" s="33">
        <v>0</v>
      </c>
      <c r="F168" s="33">
        <v>0</v>
      </c>
      <c r="G168" s="33">
        <v>0</v>
      </c>
      <c r="H168" s="33">
        <v>1</v>
      </c>
      <c r="I168" s="33">
        <v>0</v>
      </c>
      <c r="J168" s="33">
        <v>0</v>
      </c>
      <c r="K168" s="33">
        <v>0</v>
      </c>
      <c r="L168" s="33">
        <v>1</v>
      </c>
      <c r="M168" s="33">
        <v>0</v>
      </c>
      <c r="N168" s="33">
        <v>0</v>
      </c>
      <c r="O168" s="33">
        <v>0</v>
      </c>
      <c r="P168" s="33">
        <v>0</v>
      </c>
      <c r="Q168" s="21">
        <v>15</v>
      </c>
      <c r="R168">
        <f t="shared" si="6"/>
        <v>17.763101892073109</v>
      </c>
      <c r="S168">
        <f t="shared" si="7"/>
        <v>85.320286656223374</v>
      </c>
    </row>
    <row r="169" spans="1:19">
      <c r="A169" s="32">
        <v>41256</v>
      </c>
      <c r="B169" s="42">
        <v>34</v>
      </c>
      <c r="C169" s="33">
        <v>1</v>
      </c>
      <c r="D169" s="33">
        <v>0</v>
      </c>
      <c r="E169" s="33">
        <v>0</v>
      </c>
      <c r="F169" s="33">
        <v>0</v>
      </c>
      <c r="G169" s="33">
        <v>0</v>
      </c>
      <c r="H169" s="33">
        <v>1</v>
      </c>
      <c r="I169" s="33">
        <v>0</v>
      </c>
      <c r="J169" s="33">
        <v>0</v>
      </c>
      <c r="K169" s="33">
        <v>0</v>
      </c>
      <c r="L169" s="33">
        <v>0</v>
      </c>
      <c r="M169" s="33">
        <v>1</v>
      </c>
      <c r="N169" s="33">
        <v>0</v>
      </c>
      <c r="O169" s="33">
        <v>0</v>
      </c>
      <c r="P169" s="33">
        <v>0</v>
      </c>
      <c r="Q169" s="21">
        <v>17</v>
      </c>
      <c r="R169">
        <f t="shared" si="6"/>
        <v>17.547847451867838</v>
      </c>
      <c r="S169">
        <f t="shared" si="7"/>
        <v>270.67332346701158</v>
      </c>
    </row>
    <row r="170" spans="1:19">
      <c r="A170" s="32">
        <v>41257</v>
      </c>
      <c r="B170" s="42">
        <v>37</v>
      </c>
      <c r="C170" s="33">
        <v>1</v>
      </c>
      <c r="D170" s="33">
        <v>0</v>
      </c>
      <c r="E170" s="33">
        <v>0</v>
      </c>
      <c r="F170" s="33">
        <v>0</v>
      </c>
      <c r="G170" s="33">
        <v>0</v>
      </c>
      <c r="H170" s="33">
        <v>1</v>
      </c>
      <c r="I170" s="33">
        <v>0</v>
      </c>
      <c r="J170" s="33">
        <v>0</v>
      </c>
      <c r="K170" s="33">
        <v>0</v>
      </c>
      <c r="L170" s="33">
        <v>0</v>
      </c>
      <c r="M170" s="33">
        <v>0</v>
      </c>
      <c r="N170" s="33">
        <v>1</v>
      </c>
      <c r="O170" s="33">
        <v>0</v>
      </c>
      <c r="P170" s="33">
        <v>0</v>
      </c>
      <c r="Q170" s="21">
        <v>25</v>
      </c>
      <c r="R170">
        <f t="shared" si="6"/>
        <v>23.576285498743538</v>
      </c>
      <c r="S170">
        <f t="shared" si="7"/>
        <v>180.19611101124303</v>
      </c>
    </row>
    <row r="171" spans="1:19">
      <c r="A171" s="32">
        <v>41258</v>
      </c>
      <c r="B171" s="42">
        <v>50</v>
      </c>
      <c r="C171" s="33">
        <v>1</v>
      </c>
      <c r="D171" s="33">
        <v>0</v>
      </c>
      <c r="E171" s="33">
        <v>0</v>
      </c>
      <c r="F171" s="33">
        <v>1</v>
      </c>
      <c r="G171" s="33">
        <v>1</v>
      </c>
      <c r="H171" s="33">
        <v>4</v>
      </c>
      <c r="I171" s="33">
        <v>0</v>
      </c>
      <c r="J171" s="33">
        <v>0</v>
      </c>
      <c r="K171" s="33">
        <v>0</v>
      </c>
      <c r="L171" s="33">
        <v>0</v>
      </c>
      <c r="M171" s="33">
        <v>0</v>
      </c>
      <c r="N171" s="33">
        <v>0</v>
      </c>
      <c r="O171" s="33">
        <v>1</v>
      </c>
      <c r="P171" s="33">
        <v>0</v>
      </c>
      <c r="Q171" s="21">
        <v>35</v>
      </c>
      <c r="R171">
        <f t="shared" si="6"/>
        <v>34.305105625280838</v>
      </c>
      <c r="S171">
        <f t="shared" si="7"/>
        <v>246.3297094335912</v>
      </c>
    </row>
    <row r="172" spans="1:19">
      <c r="A172" s="32">
        <v>41259</v>
      </c>
      <c r="B172" s="42">
        <v>49</v>
      </c>
      <c r="C172" s="33">
        <v>1</v>
      </c>
      <c r="D172" s="33">
        <v>0</v>
      </c>
      <c r="E172" s="33">
        <v>0</v>
      </c>
      <c r="F172" s="33">
        <v>1</v>
      </c>
      <c r="G172" s="33">
        <v>0</v>
      </c>
      <c r="H172" s="33">
        <v>2</v>
      </c>
      <c r="I172" s="33">
        <v>0</v>
      </c>
      <c r="J172" s="33">
        <v>0</v>
      </c>
      <c r="K172" s="33">
        <v>0</v>
      </c>
      <c r="L172" s="33">
        <v>0</v>
      </c>
      <c r="M172" s="33">
        <v>0</v>
      </c>
      <c r="N172" s="33">
        <v>0</v>
      </c>
      <c r="O172" s="33">
        <v>0</v>
      </c>
      <c r="P172" s="33">
        <v>0</v>
      </c>
      <c r="Q172" s="21">
        <v>30</v>
      </c>
      <c r="R172">
        <f t="shared" si="6"/>
        <v>26.429211240452677</v>
      </c>
      <c r="S172">
        <f t="shared" si="7"/>
        <v>509.44050522810778</v>
      </c>
    </row>
    <row r="173" spans="1:19">
      <c r="A173" s="32">
        <v>41260</v>
      </c>
      <c r="B173" s="42">
        <v>43</v>
      </c>
      <c r="C173" s="33">
        <v>1</v>
      </c>
      <c r="D173" s="33">
        <v>0</v>
      </c>
      <c r="E173" s="33">
        <v>0</v>
      </c>
      <c r="F173" s="33">
        <v>0</v>
      </c>
      <c r="G173" s="33">
        <v>0</v>
      </c>
      <c r="H173" s="33">
        <v>1</v>
      </c>
      <c r="I173" s="33">
        <v>0</v>
      </c>
      <c r="J173" s="33">
        <v>1</v>
      </c>
      <c r="K173" s="33">
        <v>0</v>
      </c>
      <c r="L173" s="33">
        <v>0</v>
      </c>
      <c r="M173" s="33">
        <v>0</v>
      </c>
      <c r="N173" s="33">
        <v>0</v>
      </c>
      <c r="O173" s="33">
        <v>0</v>
      </c>
      <c r="P173" s="33">
        <v>0</v>
      </c>
      <c r="Q173" s="21">
        <v>30</v>
      </c>
      <c r="R173">
        <f t="shared" si="6"/>
        <v>26.780300576141762</v>
      </c>
      <c r="S173">
        <f t="shared" si="7"/>
        <v>263.07864940030726</v>
      </c>
    </row>
    <row r="174" spans="1:19">
      <c r="A174" s="32">
        <v>41261</v>
      </c>
      <c r="B174" s="42">
        <v>41</v>
      </c>
      <c r="C174" s="33">
        <v>1</v>
      </c>
      <c r="D174" s="33">
        <v>0</v>
      </c>
      <c r="E174" s="33">
        <v>0</v>
      </c>
      <c r="F174" s="33">
        <v>0</v>
      </c>
      <c r="G174" s="33">
        <v>0</v>
      </c>
      <c r="H174" s="33">
        <v>1</v>
      </c>
      <c r="I174" s="33">
        <v>0</v>
      </c>
      <c r="J174" s="33">
        <v>0</v>
      </c>
      <c r="K174" s="33">
        <v>1</v>
      </c>
      <c r="L174" s="33">
        <v>0</v>
      </c>
      <c r="M174" s="33">
        <v>0</v>
      </c>
      <c r="N174" s="33">
        <v>0</v>
      </c>
      <c r="O174" s="33">
        <v>0</v>
      </c>
      <c r="P174" s="33">
        <v>0</v>
      </c>
      <c r="Q174" s="21">
        <v>30</v>
      </c>
      <c r="R174">
        <f t="shared" si="6"/>
        <v>26.788894716024316</v>
      </c>
      <c r="S174">
        <f t="shared" si="7"/>
        <v>201.95551339224158</v>
      </c>
    </row>
    <row r="175" spans="1:19">
      <c r="A175" s="32">
        <v>41262</v>
      </c>
      <c r="B175" s="42">
        <v>39</v>
      </c>
      <c r="C175" s="33">
        <v>1</v>
      </c>
      <c r="D175" s="33">
        <v>0</v>
      </c>
      <c r="E175" s="33">
        <v>0</v>
      </c>
      <c r="F175" s="33">
        <v>0</v>
      </c>
      <c r="G175" s="33">
        <v>0</v>
      </c>
      <c r="H175" s="33">
        <v>1</v>
      </c>
      <c r="I175" s="33">
        <v>0</v>
      </c>
      <c r="J175" s="33">
        <v>0</v>
      </c>
      <c r="K175" s="33">
        <v>0</v>
      </c>
      <c r="L175" s="33">
        <v>1</v>
      </c>
      <c r="M175" s="33">
        <v>0</v>
      </c>
      <c r="N175" s="33">
        <v>0</v>
      </c>
      <c r="O175" s="33">
        <v>0</v>
      </c>
      <c r="P175" s="33">
        <v>0</v>
      </c>
      <c r="Q175" s="21">
        <v>28</v>
      </c>
      <c r="R175">
        <f t="shared" si="6"/>
        <v>25.239736893539483</v>
      </c>
      <c r="S175">
        <f t="shared" si="7"/>
        <v>189.34484075901844</v>
      </c>
    </row>
    <row r="176" spans="1:19">
      <c r="A176" s="32">
        <v>41263</v>
      </c>
      <c r="B176" s="42">
        <v>50</v>
      </c>
      <c r="C176" s="33">
        <v>1</v>
      </c>
      <c r="D176" s="33">
        <v>0</v>
      </c>
      <c r="E176" s="33">
        <v>0</v>
      </c>
      <c r="F176" s="33">
        <v>0</v>
      </c>
      <c r="G176" s="33">
        <v>0</v>
      </c>
      <c r="H176" s="33">
        <v>1</v>
      </c>
      <c r="I176" s="33">
        <v>0</v>
      </c>
      <c r="J176" s="33">
        <v>0</v>
      </c>
      <c r="K176" s="33">
        <v>0</v>
      </c>
      <c r="L176" s="33">
        <v>0</v>
      </c>
      <c r="M176" s="33">
        <v>1</v>
      </c>
      <c r="N176" s="33">
        <v>0</v>
      </c>
      <c r="O176" s="33">
        <v>0</v>
      </c>
      <c r="P176" s="33">
        <v>0</v>
      </c>
      <c r="Q176" s="21">
        <v>32</v>
      </c>
      <c r="R176">
        <f t="shared" si="6"/>
        <v>26.174733992021341</v>
      </c>
      <c r="S176">
        <f t="shared" si="7"/>
        <v>567.64330035094338</v>
      </c>
    </row>
    <row r="177" spans="1:19">
      <c r="A177" s="32">
        <v>41264</v>
      </c>
      <c r="B177" s="42">
        <v>45</v>
      </c>
      <c r="C177" s="33">
        <v>1</v>
      </c>
      <c r="D177" s="33">
        <v>0</v>
      </c>
      <c r="E177" s="33">
        <v>0</v>
      </c>
      <c r="F177" s="33">
        <v>0</v>
      </c>
      <c r="G177" s="33">
        <v>0</v>
      </c>
      <c r="H177" s="33">
        <v>1</v>
      </c>
      <c r="I177" s="33">
        <v>0</v>
      </c>
      <c r="J177" s="33">
        <v>0</v>
      </c>
      <c r="K177" s="33">
        <v>0</v>
      </c>
      <c r="L177" s="33">
        <v>0</v>
      </c>
      <c r="M177" s="33">
        <v>0</v>
      </c>
      <c r="N177" s="33">
        <v>1</v>
      </c>
      <c r="O177" s="33">
        <v>0</v>
      </c>
      <c r="P177" s="33">
        <v>0</v>
      </c>
      <c r="Q177" s="21">
        <v>36</v>
      </c>
      <c r="R177">
        <f t="shared" si="6"/>
        <v>29.902668961522775</v>
      </c>
      <c r="S177">
        <f t="shared" si="7"/>
        <v>227.92940448536783</v>
      </c>
    </row>
    <row r="178" spans="1:19">
      <c r="A178" s="32">
        <v>41265</v>
      </c>
      <c r="B178" s="42">
        <v>49</v>
      </c>
      <c r="C178" s="33">
        <v>1</v>
      </c>
      <c r="D178" s="33">
        <v>0</v>
      </c>
      <c r="E178" s="33">
        <v>0</v>
      </c>
      <c r="F178" s="33">
        <v>2</v>
      </c>
      <c r="G178" s="33">
        <v>1</v>
      </c>
      <c r="H178" s="33">
        <v>6</v>
      </c>
      <c r="I178" s="33">
        <v>0</v>
      </c>
      <c r="J178" s="33">
        <v>0</v>
      </c>
      <c r="K178" s="33">
        <v>0</v>
      </c>
      <c r="L178" s="33">
        <v>0</v>
      </c>
      <c r="M178" s="33">
        <v>0</v>
      </c>
      <c r="N178" s="33">
        <v>0</v>
      </c>
      <c r="O178" s="33">
        <v>1</v>
      </c>
      <c r="P178" s="33">
        <v>0</v>
      </c>
      <c r="Q178" s="21">
        <v>30</v>
      </c>
      <c r="R178">
        <f t="shared" si="6"/>
        <v>35.239294349942753</v>
      </c>
      <c r="S178">
        <f t="shared" si="7"/>
        <v>189.35701998751745</v>
      </c>
    </row>
    <row r="179" spans="1:19">
      <c r="A179" s="32">
        <v>41266</v>
      </c>
      <c r="B179" s="42">
        <v>46</v>
      </c>
      <c r="C179" s="33">
        <v>1</v>
      </c>
      <c r="D179" s="33">
        <v>0</v>
      </c>
      <c r="E179" s="33">
        <v>0</v>
      </c>
      <c r="F179" s="33">
        <v>2</v>
      </c>
      <c r="G179" s="33">
        <v>3</v>
      </c>
      <c r="H179" s="33">
        <v>12</v>
      </c>
      <c r="I179" s="33">
        <v>1</v>
      </c>
      <c r="J179" s="33">
        <v>0</v>
      </c>
      <c r="K179" s="33">
        <v>0</v>
      </c>
      <c r="L179" s="33">
        <v>0</v>
      </c>
      <c r="M179" s="33">
        <v>0</v>
      </c>
      <c r="N179" s="33">
        <v>0</v>
      </c>
      <c r="O179" s="33">
        <v>0</v>
      </c>
      <c r="P179" s="33">
        <v>0</v>
      </c>
      <c r="Q179" s="21">
        <v>22</v>
      </c>
      <c r="R179">
        <f t="shared" si="6"/>
        <v>30.06182003319466</v>
      </c>
      <c r="S179">
        <f t="shared" si="7"/>
        <v>254.02558065427505</v>
      </c>
    </row>
    <row r="180" spans="1:19">
      <c r="A180" s="32">
        <v>41267</v>
      </c>
      <c r="B180" s="42">
        <v>44</v>
      </c>
      <c r="C180" s="33">
        <v>1</v>
      </c>
      <c r="D180" s="33">
        <v>0</v>
      </c>
      <c r="E180" s="33">
        <v>0</v>
      </c>
      <c r="F180" s="33">
        <v>1</v>
      </c>
      <c r="G180" s="33">
        <v>0</v>
      </c>
      <c r="H180" s="33">
        <v>2</v>
      </c>
      <c r="I180" s="33">
        <v>1</v>
      </c>
      <c r="J180" s="33">
        <v>1</v>
      </c>
      <c r="K180" s="33">
        <v>0</v>
      </c>
      <c r="L180" s="33">
        <v>0</v>
      </c>
      <c r="M180" s="33">
        <v>0</v>
      </c>
      <c r="N180" s="33">
        <v>0</v>
      </c>
      <c r="O180" s="33">
        <v>0</v>
      </c>
      <c r="P180" s="33">
        <v>0</v>
      </c>
      <c r="Q180" s="21">
        <v>31</v>
      </c>
      <c r="R180">
        <f t="shared" si="6"/>
        <v>30.953158169871262</v>
      </c>
      <c r="S180">
        <f t="shared" si="7"/>
        <v>170.22008174039701</v>
      </c>
    </row>
    <row r="181" spans="1:19">
      <c r="A181" s="32">
        <v>41268</v>
      </c>
      <c r="B181" s="42">
        <v>43</v>
      </c>
      <c r="C181" s="33">
        <v>1</v>
      </c>
      <c r="D181" s="33">
        <v>0</v>
      </c>
      <c r="E181" s="33">
        <v>0</v>
      </c>
      <c r="F181" s="33">
        <v>1</v>
      </c>
      <c r="G181" s="33">
        <v>1</v>
      </c>
      <c r="H181" s="33">
        <v>4</v>
      </c>
      <c r="I181" s="33">
        <v>0</v>
      </c>
      <c r="J181" s="33">
        <v>0</v>
      </c>
      <c r="K181" s="33">
        <v>1</v>
      </c>
      <c r="L181" s="33">
        <v>0</v>
      </c>
      <c r="M181" s="33">
        <v>0</v>
      </c>
      <c r="N181" s="33">
        <v>0</v>
      </c>
      <c r="O181" s="33">
        <v>0</v>
      </c>
      <c r="P181" s="33">
        <v>0</v>
      </c>
      <c r="Q181" s="21">
        <v>30</v>
      </c>
      <c r="R181">
        <f t="shared" si="6"/>
        <v>33.652096467091916</v>
      </c>
      <c r="S181">
        <f t="shared" si="7"/>
        <v>87.383300460555446</v>
      </c>
    </row>
    <row r="182" spans="1:19">
      <c r="A182" s="32">
        <v>41269</v>
      </c>
      <c r="B182" s="42">
        <v>55</v>
      </c>
      <c r="C182" s="33">
        <v>1</v>
      </c>
      <c r="D182" s="33">
        <v>0</v>
      </c>
      <c r="E182" s="33">
        <v>0</v>
      </c>
      <c r="F182" s="33">
        <v>0</v>
      </c>
      <c r="G182" s="33">
        <v>0</v>
      </c>
      <c r="H182" s="33">
        <v>1</v>
      </c>
      <c r="I182" s="33">
        <v>0</v>
      </c>
      <c r="J182" s="33">
        <v>0</v>
      </c>
      <c r="K182" s="33">
        <v>0</v>
      </c>
      <c r="L182" s="33">
        <v>1</v>
      </c>
      <c r="M182" s="33">
        <v>0</v>
      </c>
      <c r="N182" s="33">
        <v>0</v>
      </c>
      <c r="O182" s="33">
        <v>0</v>
      </c>
      <c r="P182" s="33">
        <v>0</v>
      </c>
      <c r="Q182" s="21">
        <v>23</v>
      </c>
      <c r="R182">
        <f t="shared" si="6"/>
        <v>22.364108046821649</v>
      </c>
      <c r="S182">
        <f t="shared" si="7"/>
        <v>1065.1014435795314</v>
      </c>
    </row>
    <row r="183" spans="1:19">
      <c r="A183" s="32">
        <v>41270</v>
      </c>
      <c r="B183" s="42">
        <v>48</v>
      </c>
      <c r="C183" s="33">
        <v>1</v>
      </c>
      <c r="D183" s="33">
        <v>0</v>
      </c>
      <c r="E183" s="33">
        <v>0</v>
      </c>
      <c r="F183" s="33">
        <v>1</v>
      </c>
      <c r="G183" s="33">
        <v>0</v>
      </c>
      <c r="H183" s="33">
        <v>2</v>
      </c>
      <c r="I183" s="33">
        <v>0</v>
      </c>
      <c r="J183" s="33">
        <v>0</v>
      </c>
      <c r="K183" s="33">
        <v>0</v>
      </c>
      <c r="L183" s="33">
        <v>0</v>
      </c>
      <c r="M183" s="33">
        <v>1</v>
      </c>
      <c r="N183" s="33">
        <v>0</v>
      </c>
      <c r="O183" s="33">
        <v>0</v>
      </c>
      <c r="P183" s="33">
        <v>0</v>
      </c>
      <c r="Q183" s="21">
        <v>26</v>
      </c>
      <c r="R183">
        <f t="shared" si="6"/>
        <v>27.287841849999516</v>
      </c>
      <c r="S183">
        <f t="shared" si="7"/>
        <v>428.99349523063148</v>
      </c>
    </row>
    <row r="184" spans="1:19">
      <c r="A184" s="32">
        <v>41271</v>
      </c>
      <c r="B184" s="42">
        <v>41</v>
      </c>
      <c r="C184" s="33">
        <v>1</v>
      </c>
      <c r="D184" s="33">
        <v>0</v>
      </c>
      <c r="E184" s="33">
        <v>0</v>
      </c>
      <c r="F184" s="33">
        <v>1</v>
      </c>
      <c r="G184" s="33">
        <v>1</v>
      </c>
      <c r="H184" s="33">
        <v>4</v>
      </c>
      <c r="I184" s="33">
        <v>0</v>
      </c>
      <c r="J184" s="33">
        <v>0</v>
      </c>
      <c r="K184" s="33">
        <v>0</v>
      </c>
      <c r="L184" s="33">
        <v>0</v>
      </c>
      <c r="M184" s="33">
        <v>0</v>
      </c>
      <c r="N184" s="33">
        <v>1</v>
      </c>
      <c r="O184" s="33">
        <v>0</v>
      </c>
      <c r="P184" s="33">
        <v>0</v>
      </c>
      <c r="Q184" s="21">
        <v>15</v>
      </c>
      <c r="R184">
        <f t="shared" si="6"/>
        <v>24.688229556375468</v>
      </c>
      <c r="S184">
        <f t="shared" si="7"/>
        <v>266.07385500550288</v>
      </c>
    </row>
    <row r="185" spans="1:19">
      <c r="A185" s="32">
        <v>41272</v>
      </c>
      <c r="B185" s="42">
        <v>33</v>
      </c>
      <c r="C185" s="33">
        <v>1</v>
      </c>
      <c r="D185" s="33">
        <v>0</v>
      </c>
      <c r="E185" s="33">
        <v>0</v>
      </c>
      <c r="F185" s="33">
        <v>2</v>
      </c>
      <c r="G185" s="33">
        <v>2</v>
      </c>
      <c r="H185" s="33">
        <v>9</v>
      </c>
      <c r="I185" s="33">
        <v>0</v>
      </c>
      <c r="J185" s="33">
        <v>0</v>
      </c>
      <c r="K185" s="33">
        <v>0</v>
      </c>
      <c r="L185" s="33">
        <v>0</v>
      </c>
      <c r="M185" s="33">
        <v>0</v>
      </c>
      <c r="N185" s="33">
        <v>0</v>
      </c>
      <c r="O185" s="33">
        <v>1</v>
      </c>
      <c r="P185" s="33">
        <v>0</v>
      </c>
      <c r="Q185" s="21">
        <v>0</v>
      </c>
      <c r="R185">
        <f t="shared" si="6"/>
        <v>19.530815644003944</v>
      </c>
      <c r="S185">
        <f t="shared" si="7"/>
        <v>181.41892721580888</v>
      </c>
    </row>
    <row r="186" spans="1:19">
      <c r="A186" s="32">
        <v>41273</v>
      </c>
      <c r="B186" s="42">
        <v>23</v>
      </c>
      <c r="C186" s="33">
        <v>1</v>
      </c>
      <c r="D186" s="33">
        <v>0</v>
      </c>
      <c r="E186" s="33">
        <v>0</v>
      </c>
      <c r="F186" s="33">
        <v>1</v>
      </c>
      <c r="G186" s="33">
        <v>2</v>
      </c>
      <c r="H186" s="33">
        <v>6</v>
      </c>
      <c r="I186" s="33">
        <v>0</v>
      </c>
      <c r="J186" s="33">
        <v>0</v>
      </c>
      <c r="K186" s="33">
        <v>0</v>
      </c>
      <c r="L186" s="33">
        <v>0</v>
      </c>
      <c r="M186" s="33">
        <v>0</v>
      </c>
      <c r="N186" s="33">
        <v>0</v>
      </c>
      <c r="O186" s="33">
        <v>0</v>
      </c>
      <c r="P186" s="33">
        <v>0</v>
      </c>
      <c r="Q186" s="21">
        <v>0</v>
      </c>
      <c r="R186">
        <f t="shared" si="6"/>
        <v>13.774116714201712</v>
      </c>
      <c r="S186">
        <f t="shared" si="7"/>
        <v>85.116922403172211</v>
      </c>
    </row>
    <row r="187" spans="1:19">
      <c r="A187" s="32">
        <v>41274</v>
      </c>
      <c r="B187" s="42">
        <v>0</v>
      </c>
      <c r="C187" s="33">
        <v>1</v>
      </c>
      <c r="D187" s="33">
        <v>0</v>
      </c>
      <c r="E187" s="33">
        <v>1</v>
      </c>
      <c r="F187" s="33">
        <v>-1</v>
      </c>
      <c r="G187" s="33">
        <v>-1</v>
      </c>
      <c r="H187" s="33">
        <v>0</v>
      </c>
      <c r="I187" s="33">
        <v>0</v>
      </c>
      <c r="J187" s="33">
        <v>1</v>
      </c>
      <c r="K187" s="33">
        <v>0</v>
      </c>
      <c r="L187" s="33">
        <v>0</v>
      </c>
      <c r="M187" s="33">
        <v>0</v>
      </c>
      <c r="N187" s="33">
        <v>0</v>
      </c>
      <c r="O187" s="33">
        <v>0</v>
      </c>
      <c r="P187" s="33">
        <v>0</v>
      </c>
      <c r="Q187" s="21">
        <v>0</v>
      </c>
      <c r="R187">
        <f t="shared" si="6"/>
        <v>1.1552359394474969</v>
      </c>
      <c r="S187">
        <f t="shared" si="7"/>
        <v>1.3345700757911407</v>
      </c>
    </row>
    <row r="188" spans="1:19">
      <c r="A188" s="32">
        <v>41275</v>
      </c>
      <c r="B188" s="42">
        <v>0</v>
      </c>
      <c r="C188" s="33">
        <v>1</v>
      </c>
      <c r="D188" s="33">
        <v>0</v>
      </c>
      <c r="E188" s="33">
        <v>1</v>
      </c>
      <c r="F188" s="33">
        <v>-1</v>
      </c>
      <c r="G188" s="33">
        <v>-1</v>
      </c>
      <c r="H188" s="33">
        <v>0</v>
      </c>
      <c r="I188" s="33">
        <v>0</v>
      </c>
      <c r="J188" s="33">
        <v>0</v>
      </c>
      <c r="K188" s="33">
        <v>1</v>
      </c>
      <c r="L188" s="33">
        <v>0</v>
      </c>
      <c r="M188" s="33">
        <v>0</v>
      </c>
      <c r="N188" s="33">
        <v>0</v>
      </c>
      <c r="O188" s="33">
        <v>0</v>
      </c>
      <c r="P188" s="33">
        <v>0</v>
      </c>
      <c r="Q188" s="21">
        <v>0</v>
      </c>
      <c r="R188">
        <f t="shared" si="6"/>
        <v>1.1638300793300509</v>
      </c>
      <c r="S188">
        <f t="shared" si="7"/>
        <v>1.3545004535533927</v>
      </c>
    </row>
    <row r="189" spans="1:19">
      <c r="A189" s="32">
        <v>41276</v>
      </c>
      <c r="B189" s="42">
        <v>0</v>
      </c>
      <c r="C189" s="33">
        <v>1</v>
      </c>
      <c r="D189" s="33">
        <v>0</v>
      </c>
      <c r="E189" s="33">
        <v>1</v>
      </c>
      <c r="F189" s="33">
        <v>-1</v>
      </c>
      <c r="G189" s="33">
        <v>-1</v>
      </c>
      <c r="H189" s="33">
        <v>0</v>
      </c>
      <c r="I189" s="33">
        <v>0</v>
      </c>
      <c r="J189" s="33">
        <v>0</v>
      </c>
      <c r="K189" s="33">
        <v>0</v>
      </c>
      <c r="L189" s="33">
        <v>1</v>
      </c>
      <c r="M189" s="33">
        <v>0</v>
      </c>
      <c r="N189" s="33">
        <v>0</v>
      </c>
      <c r="O189" s="33">
        <v>0</v>
      </c>
      <c r="P189" s="33">
        <v>0</v>
      </c>
      <c r="Q189" s="21">
        <v>12</v>
      </c>
      <c r="R189">
        <f t="shared" si="6"/>
        <v>7.6664330276551533</v>
      </c>
      <c r="S189">
        <f t="shared" si="7"/>
        <v>58.774195367521763</v>
      </c>
    </row>
    <row r="190" spans="1:19">
      <c r="A190" s="32">
        <v>41277</v>
      </c>
      <c r="B190" s="42">
        <v>0</v>
      </c>
      <c r="C190" s="33">
        <v>1</v>
      </c>
      <c r="D190" s="33">
        <v>0</v>
      </c>
      <c r="E190" s="33">
        <v>1</v>
      </c>
      <c r="F190" s="33">
        <v>-1</v>
      </c>
      <c r="G190" s="33">
        <v>-1</v>
      </c>
      <c r="H190" s="33">
        <v>0</v>
      </c>
      <c r="I190" s="33">
        <v>0</v>
      </c>
      <c r="J190" s="33">
        <v>0</v>
      </c>
      <c r="K190" s="33">
        <v>0</v>
      </c>
      <c r="L190" s="33">
        <v>0</v>
      </c>
      <c r="M190" s="33">
        <v>1</v>
      </c>
      <c r="N190" s="33">
        <v>0</v>
      </c>
      <c r="O190" s="33">
        <v>0</v>
      </c>
      <c r="P190" s="33">
        <v>0</v>
      </c>
      <c r="Q190" s="21">
        <v>9</v>
      </c>
      <c r="R190">
        <f t="shared" si="6"/>
        <v>4.5755497407320433</v>
      </c>
      <c r="S190">
        <f t="shared" si="7"/>
        <v>20.935655429913069</v>
      </c>
    </row>
    <row r="191" spans="1:19">
      <c r="A191" s="32">
        <v>41278</v>
      </c>
      <c r="B191" s="42">
        <v>38</v>
      </c>
      <c r="C191" s="33">
        <v>1</v>
      </c>
      <c r="D191" s="33">
        <v>0</v>
      </c>
      <c r="E191" s="33">
        <v>0</v>
      </c>
      <c r="F191" s="33">
        <v>0</v>
      </c>
      <c r="G191" s="33">
        <v>0</v>
      </c>
      <c r="H191" s="33">
        <v>1</v>
      </c>
      <c r="I191" s="33">
        <v>0</v>
      </c>
      <c r="J191" s="33">
        <v>0</v>
      </c>
      <c r="K191" s="33">
        <v>0</v>
      </c>
      <c r="L191" s="33">
        <v>0</v>
      </c>
      <c r="M191" s="33">
        <v>0</v>
      </c>
      <c r="N191" s="33">
        <v>1</v>
      </c>
      <c r="O191" s="33">
        <v>0</v>
      </c>
      <c r="P191" s="33">
        <v>0</v>
      </c>
      <c r="Q191" s="21">
        <v>8</v>
      </c>
      <c r="R191">
        <f t="shared" si="6"/>
        <v>13.799147419902901</v>
      </c>
      <c r="S191">
        <f t="shared" si="7"/>
        <v>585.68126560359235</v>
      </c>
    </row>
    <row r="192" spans="1:19">
      <c r="A192" s="32">
        <v>41279</v>
      </c>
      <c r="B192" s="42">
        <v>26</v>
      </c>
      <c r="C192" s="33">
        <v>1</v>
      </c>
      <c r="D192" s="33">
        <v>0</v>
      </c>
      <c r="E192" s="33">
        <v>0</v>
      </c>
      <c r="F192" s="33">
        <v>0</v>
      </c>
      <c r="G192" s="33">
        <v>0</v>
      </c>
      <c r="H192" s="33">
        <v>1</v>
      </c>
      <c r="I192" s="33">
        <v>0</v>
      </c>
      <c r="J192" s="33">
        <v>0</v>
      </c>
      <c r="K192" s="33">
        <v>0</v>
      </c>
      <c r="L192" s="33">
        <v>0</v>
      </c>
      <c r="M192" s="33">
        <v>0</v>
      </c>
      <c r="N192" s="33">
        <v>0</v>
      </c>
      <c r="O192" s="33">
        <v>1</v>
      </c>
      <c r="P192" s="33">
        <v>0</v>
      </c>
      <c r="Q192" s="21">
        <v>29</v>
      </c>
      <c r="R192">
        <f t="shared" si="6"/>
        <v>23.991149258151836</v>
      </c>
      <c r="S192">
        <f t="shared" si="7"/>
        <v>4.0354813030239187</v>
      </c>
    </row>
    <row r="193" spans="1:19">
      <c r="A193" s="32">
        <v>41280</v>
      </c>
      <c r="B193" s="42">
        <v>24</v>
      </c>
      <c r="C193" s="33">
        <v>1</v>
      </c>
      <c r="D193" s="33">
        <v>0</v>
      </c>
      <c r="E193" s="33">
        <v>0</v>
      </c>
      <c r="F193" s="33">
        <v>0</v>
      </c>
      <c r="G193" s="33">
        <v>0</v>
      </c>
      <c r="H193" s="33">
        <v>1</v>
      </c>
      <c r="I193" s="33">
        <v>0</v>
      </c>
      <c r="J193" s="33">
        <v>0</v>
      </c>
      <c r="K193" s="33">
        <v>0</v>
      </c>
      <c r="L193" s="33">
        <v>0</v>
      </c>
      <c r="M193" s="33">
        <v>0</v>
      </c>
      <c r="N193" s="33">
        <v>0</v>
      </c>
      <c r="O193" s="33">
        <v>0</v>
      </c>
      <c r="P193" s="33">
        <v>0</v>
      </c>
      <c r="Q193" s="21">
        <v>23</v>
      </c>
      <c r="R193">
        <f t="shared" si="6"/>
        <v>17.839468381008132</v>
      </c>
      <c r="S193">
        <f t="shared" si="7"/>
        <v>37.952149828598571</v>
      </c>
    </row>
    <row r="194" spans="1:19">
      <c r="A194" s="32">
        <v>41281</v>
      </c>
      <c r="B194" s="42">
        <v>22</v>
      </c>
      <c r="C194" s="33">
        <v>1</v>
      </c>
      <c r="D194" s="33">
        <v>0</v>
      </c>
      <c r="E194" s="33">
        <v>0</v>
      </c>
      <c r="F194" s="33">
        <v>0</v>
      </c>
      <c r="G194" s="33">
        <v>0</v>
      </c>
      <c r="H194" s="33">
        <v>1</v>
      </c>
      <c r="I194" s="33">
        <v>0</v>
      </c>
      <c r="J194" s="33">
        <v>1</v>
      </c>
      <c r="K194" s="33">
        <v>0</v>
      </c>
      <c r="L194" s="33">
        <v>0</v>
      </c>
      <c r="M194" s="33">
        <v>0</v>
      </c>
      <c r="N194" s="33">
        <v>0</v>
      </c>
      <c r="O194" s="33">
        <v>0</v>
      </c>
      <c r="P194" s="33">
        <v>0</v>
      </c>
      <c r="Q194" s="21">
        <v>9</v>
      </c>
      <c r="R194">
        <f t="shared" si="6"/>
        <v>14.702659419926855</v>
      </c>
      <c r="S194">
        <f t="shared" si="7"/>
        <v>53.251179541582268</v>
      </c>
    </row>
    <row r="195" spans="1:19">
      <c r="A195" s="32">
        <v>41282</v>
      </c>
      <c r="B195" s="42">
        <v>12</v>
      </c>
      <c r="C195" s="33">
        <v>1</v>
      </c>
      <c r="D195" s="33">
        <v>0</v>
      </c>
      <c r="E195" s="33">
        <v>0</v>
      </c>
      <c r="F195" s="33">
        <v>0</v>
      </c>
      <c r="G195" s="33">
        <v>0</v>
      </c>
      <c r="H195" s="33">
        <v>1</v>
      </c>
      <c r="I195" s="33">
        <v>0</v>
      </c>
      <c r="J195" s="33">
        <v>0</v>
      </c>
      <c r="K195" s="33">
        <v>1</v>
      </c>
      <c r="L195" s="33">
        <v>0</v>
      </c>
      <c r="M195" s="33">
        <v>0</v>
      </c>
      <c r="N195" s="33">
        <v>0</v>
      </c>
      <c r="O195" s="33">
        <v>0</v>
      </c>
      <c r="P195" s="33">
        <v>0</v>
      </c>
      <c r="Q195" s="21">
        <v>10</v>
      </c>
      <c r="R195">
        <f t="shared" si="6"/>
        <v>15.286379329152975</v>
      </c>
      <c r="S195">
        <f t="shared" si="7"/>
        <v>10.80028909508396</v>
      </c>
    </row>
    <row r="196" spans="1:19">
      <c r="A196" s="32">
        <v>41283</v>
      </c>
      <c r="B196" s="42">
        <v>18</v>
      </c>
      <c r="C196" s="33">
        <v>1</v>
      </c>
      <c r="D196" s="33">
        <v>0</v>
      </c>
      <c r="E196" s="33">
        <v>0</v>
      </c>
      <c r="F196" s="33">
        <v>0</v>
      </c>
      <c r="G196" s="33">
        <v>0</v>
      </c>
      <c r="H196" s="33">
        <v>1</v>
      </c>
      <c r="I196" s="33">
        <v>0</v>
      </c>
      <c r="J196" s="33">
        <v>0</v>
      </c>
      <c r="K196" s="33">
        <v>0</v>
      </c>
      <c r="L196" s="33">
        <v>1</v>
      </c>
      <c r="M196" s="33">
        <v>0</v>
      </c>
      <c r="N196" s="33">
        <v>0</v>
      </c>
      <c r="O196" s="33">
        <v>0</v>
      </c>
      <c r="P196" s="33">
        <v>0</v>
      </c>
      <c r="Q196" s="21">
        <v>10</v>
      </c>
      <c r="R196">
        <f t="shared" si="6"/>
        <v>14.887473045355275</v>
      </c>
      <c r="S196">
        <f t="shared" si="7"/>
        <v>9.6878240433899663</v>
      </c>
    </row>
    <row r="197" spans="1:19">
      <c r="A197" s="32">
        <v>41284</v>
      </c>
      <c r="B197" s="42">
        <v>19</v>
      </c>
      <c r="C197" s="33">
        <v>1</v>
      </c>
      <c r="D197" s="33">
        <v>0</v>
      </c>
      <c r="E197" s="33">
        <v>0</v>
      </c>
      <c r="F197" s="33">
        <v>0</v>
      </c>
      <c r="G197" s="33">
        <v>0</v>
      </c>
      <c r="H197" s="33">
        <v>1</v>
      </c>
      <c r="I197" s="33">
        <v>0</v>
      </c>
      <c r="J197" s="33">
        <v>0</v>
      </c>
      <c r="K197" s="33">
        <v>0</v>
      </c>
      <c r="L197" s="33">
        <v>0</v>
      </c>
      <c r="M197" s="33">
        <v>1</v>
      </c>
      <c r="N197" s="33">
        <v>0</v>
      </c>
      <c r="O197" s="33">
        <v>0</v>
      </c>
      <c r="P197" s="33">
        <v>0</v>
      </c>
      <c r="Q197" s="21">
        <v>7</v>
      </c>
      <c r="R197">
        <f t="shared" ref="R197:R260" si="8">SUMPRODUCT($C$2:$Q$2,C197:Q197)</f>
        <v>11.796589758432168</v>
      </c>
      <c r="S197">
        <f t="shared" ref="S197:S260" si="9">(R197-B197)^2</f>
        <v>51.889119108324337</v>
      </c>
    </row>
    <row r="198" spans="1:19">
      <c r="A198" s="32">
        <v>41285</v>
      </c>
      <c r="B198" s="42">
        <v>27</v>
      </c>
      <c r="C198" s="33">
        <v>1</v>
      </c>
      <c r="D198" s="33">
        <v>0</v>
      </c>
      <c r="E198" s="33">
        <v>0</v>
      </c>
      <c r="F198" s="33">
        <v>0</v>
      </c>
      <c r="G198" s="33">
        <v>0</v>
      </c>
      <c r="H198" s="33">
        <v>1</v>
      </c>
      <c r="I198" s="33">
        <v>0</v>
      </c>
      <c r="J198" s="33">
        <v>0</v>
      </c>
      <c r="K198" s="33">
        <v>0</v>
      </c>
      <c r="L198" s="33">
        <v>0</v>
      </c>
      <c r="M198" s="33">
        <v>0</v>
      </c>
      <c r="N198" s="33">
        <v>1</v>
      </c>
      <c r="O198" s="33">
        <v>0</v>
      </c>
      <c r="P198" s="33">
        <v>0</v>
      </c>
      <c r="Q198" s="21">
        <v>9</v>
      </c>
      <c r="R198">
        <f t="shared" si="8"/>
        <v>14.374273189246468</v>
      </c>
      <c r="S198">
        <f t="shared" si="9"/>
        <v>159.40897749978055</v>
      </c>
    </row>
    <row r="199" spans="1:19">
      <c r="A199" s="32">
        <v>41286</v>
      </c>
      <c r="B199" s="42">
        <v>39</v>
      </c>
      <c r="C199" s="33">
        <v>1</v>
      </c>
      <c r="D199" s="33">
        <v>0</v>
      </c>
      <c r="E199" s="33">
        <v>0</v>
      </c>
      <c r="F199" s="33">
        <v>1</v>
      </c>
      <c r="G199" s="33">
        <v>0</v>
      </c>
      <c r="H199" s="33">
        <v>2</v>
      </c>
      <c r="I199" s="33">
        <v>0</v>
      </c>
      <c r="J199" s="33">
        <v>0</v>
      </c>
      <c r="K199" s="33">
        <v>0</v>
      </c>
      <c r="L199" s="33">
        <v>0</v>
      </c>
      <c r="M199" s="33">
        <v>0</v>
      </c>
      <c r="N199" s="33">
        <v>0</v>
      </c>
      <c r="O199" s="33">
        <v>1</v>
      </c>
      <c r="P199" s="33">
        <v>0</v>
      </c>
      <c r="Q199" s="21">
        <v>24</v>
      </c>
      <c r="R199">
        <f t="shared" si="8"/>
        <v>25.679382885473579</v>
      </c>
      <c r="S199">
        <f t="shared" si="9"/>
        <v>177.43884031181418</v>
      </c>
    </row>
    <row r="200" spans="1:19">
      <c r="A200" s="32">
        <v>41287</v>
      </c>
      <c r="B200" s="42">
        <v>50</v>
      </c>
      <c r="C200" s="33">
        <v>1</v>
      </c>
      <c r="D200" s="33">
        <v>0</v>
      </c>
      <c r="E200" s="33">
        <v>0</v>
      </c>
      <c r="F200" s="33">
        <v>0</v>
      </c>
      <c r="G200" s="33">
        <v>0</v>
      </c>
      <c r="H200" s="33">
        <v>1</v>
      </c>
      <c r="I200" s="33">
        <v>0</v>
      </c>
      <c r="J200" s="33">
        <v>0</v>
      </c>
      <c r="K200" s="33">
        <v>0</v>
      </c>
      <c r="L200" s="33">
        <v>0</v>
      </c>
      <c r="M200" s="33">
        <v>0</v>
      </c>
      <c r="N200" s="33">
        <v>0</v>
      </c>
      <c r="O200" s="33">
        <v>0</v>
      </c>
      <c r="P200" s="33">
        <v>0</v>
      </c>
      <c r="Q200" s="21">
        <v>21</v>
      </c>
      <c r="R200">
        <f t="shared" si="8"/>
        <v>16.689216842320995</v>
      </c>
      <c r="S200">
        <f t="shared" si="9"/>
        <v>1109.6082745779113</v>
      </c>
    </row>
    <row r="201" spans="1:19">
      <c r="A201" s="32">
        <v>41288</v>
      </c>
      <c r="B201" s="42">
        <v>16</v>
      </c>
      <c r="C201" s="33">
        <v>1</v>
      </c>
      <c r="D201" s="33">
        <v>0</v>
      </c>
      <c r="E201" s="33">
        <v>0</v>
      </c>
      <c r="F201" s="33">
        <v>0</v>
      </c>
      <c r="G201" s="33">
        <v>0</v>
      </c>
      <c r="H201" s="33">
        <v>1</v>
      </c>
      <c r="I201" s="33">
        <v>1</v>
      </c>
      <c r="J201" s="33">
        <v>1</v>
      </c>
      <c r="K201" s="33">
        <v>0</v>
      </c>
      <c r="L201" s="33">
        <v>0</v>
      </c>
      <c r="M201" s="33">
        <v>0</v>
      </c>
      <c r="N201" s="33">
        <v>0</v>
      </c>
      <c r="O201" s="33">
        <v>0</v>
      </c>
      <c r="P201" s="33">
        <v>0</v>
      </c>
      <c r="Q201" s="21">
        <v>18</v>
      </c>
      <c r="R201">
        <f t="shared" si="8"/>
        <v>18.912660694365314</v>
      </c>
      <c r="S201">
        <f t="shared" si="9"/>
        <v>8.4835923205006356</v>
      </c>
    </row>
    <row r="202" spans="1:19">
      <c r="A202" s="32">
        <v>41289</v>
      </c>
      <c r="B202" s="42">
        <v>31</v>
      </c>
      <c r="C202" s="33">
        <v>1</v>
      </c>
      <c r="D202" s="33">
        <v>0</v>
      </c>
      <c r="E202" s="33">
        <v>0</v>
      </c>
      <c r="F202" s="33">
        <v>0</v>
      </c>
      <c r="G202" s="33">
        <v>0</v>
      </c>
      <c r="H202" s="33">
        <v>1</v>
      </c>
      <c r="I202" s="33">
        <v>0</v>
      </c>
      <c r="J202" s="33">
        <v>0</v>
      </c>
      <c r="K202" s="33">
        <v>1</v>
      </c>
      <c r="L202" s="33">
        <v>0</v>
      </c>
      <c r="M202" s="33">
        <v>0</v>
      </c>
      <c r="N202" s="33">
        <v>0</v>
      </c>
      <c r="O202" s="33">
        <v>0</v>
      </c>
      <c r="P202" s="33">
        <v>0</v>
      </c>
      <c r="Q202" s="21">
        <v>18</v>
      </c>
      <c r="R202">
        <f t="shared" si="8"/>
        <v>19.887385483901511</v>
      </c>
      <c r="S202">
        <f t="shared" si="9"/>
        <v>123.49020138340286</v>
      </c>
    </row>
    <row r="203" spans="1:19">
      <c r="A203" s="32">
        <v>41290</v>
      </c>
      <c r="B203" s="42">
        <v>33</v>
      </c>
      <c r="C203" s="33">
        <v>1</v>
      </c>
      <c r="D203" s="33">
        <v>0</v>
      </c>
      <c r="E203" s="33">
        <v>0</v>
      </c>
      <c r="F203" s="33">
        <v>0</v>
      </c>
      <c r="G203" s="33">
        <v>0</v>
      </c>
      <c r="H203" s="33">
        <v>1</v>
      </c>
      <c r="I203" s="33">
        <v>0</v>
      </c>
      <c r="J203" s="33">
        <v>0</v>
      </c>
      <c r="K203" s="33">
        <v>0</v>
      </c>
      <c r="L203" s="33">
        <v>1</v>
      </c>
      <c r="M203" s="33">
        <v>0</v>
      </c>
      <c r="N203" s="33">
        <v>0</v>
      </c>
      <c r="O203" s="33">
        <v>0</v>
      </c>
      <c r="P203" s="33">
        <v>0</v>
      </c>
      <c r="Q203" s="21">
        <v>17</v>
      </c>
      <c r="R203">
        <f t="shared" si="8"/>
        <v>18.913353430760246</v>
      </c>
      <c r="S203">
        <f t="shared" si="9"/>
        <v>198.43361156667413</v>
      </c>
    </row>
    <row r="204" spans="1:19">
      <c r="A204" s="32">
        <v>41291</v>
      </c>
      <c r="B204" s="42">
        <v>27</v>
      </c>
      <c r="C204" s="33">
        <v>1</v>
      </c>
      <c r="D204" s="33">
        <v>0</v>
      </c>
      <c r="E204" s="33">
        <v>0</v>
      </c>
      <c r="F204" s="33">
        <v>0</v>
      </c>
      <c r="G204" s="33">
        <v>0</v>
      </c>
      <c r="H204" s="33">
        <v>1</v>
      </c>
      <c r="I204" s="33">
        <v>0</v>
      </c>
      <c r="J204" s="33">
        <v>0</v>
      </c>
      <c r="K204" s="33">
        <v>0</v>
      </c>
      <c r="L204" s="33">
        <v>0</v>
      </c>
      <c r="M204" s="33">
        <v>1</v>
      </c>
      <c r="N204" s="33">
        <v>0</v>
      </c>
      <c r="O204" s="33">
        <v>0</v>
      </c>
      <c r="P204" s="33">
        <v>0</v>
      </c>
      <c r="Q204" s="21">
        <v>13</v>
      </c>
      <c r="R204">
        <f t="shared" si="8"/>
        <v>15.247344374493569</v>
      </c>
      <c r="S204">
        <f t="shared" si="9"/>
        <v>138.12491425174798</v>
      </c>
    </row>
    <row r="205" spans="1:19">
      <c r="A205" s="32">
        <v>41292</v>
      </c>
      <c r="B205" s="42">
        <v>26</v>
      </c>
      <c r="C205" s="33">
        <v>1</v>
      </c>
      <c r="D205" s="33">
        <v>0</v>
      </c>
      <c r="E205" s="33">
        <v>0</v>
      </c>
      <c r="F205" s="33">
        <v>0</v>
      </c>
      <c r="G205" s="33">
        <v>0</v>
      </c>
      <c r="H205" s="33">
        <v>1</v>
      </c>
      <c r="I205" s="33">
        <v>0</v>
      </c>
      <c r="J205" s="33">
        <v>0</v>
      </c>
      <c r="K205" s="33">
        <v>0</v>
      </c>
      <c r="L205" s="33">
        <v>0</v>
      </c>
      <c r="M205" s="33">
        <v>0</v>
      </c>
      <c r="N205" s="33">
        <v>1</v>
      </c>
      <c r="O205" s="33">
        <v>0</v>
      </c>
      <c r="P205" s="33">
        <v>0</v>
      </c>
      <c r="Q205" s="21">
        <v>18</v>
      </c>
      <c r="R205">
        <f t="shared" si="8"/>
        <v>19.55040511333857</v>
      </c>
      <c r="S205">
        <f t="shared" si="9"/>
        <v>41.597274202049263</v>
      </c>
    </row>
    <row r="206" spans="1:19">
      <c r="A206" s="32">
        <v>41293</v>
      </c>
      <c r="B206" s="42">
        <v>56</v>
      </c>
      <c r="C206" s="33">
        <v>1</v>
      </c>
      <c r="D206" s="33">
        <v>0</v>
      </c>
      <c r="E206" s="33">
        <v>0</v>
      </c>
      <c r="F206" s="33">
        <v>1</v>
      </c>
      <c r="G206" s="33">
        <v>1</v>
      </c>
      <c r="H206" s="33">
        <v>4</v>
      </c>
      <c r="I206" s="33">
        <v>0</v>
      </c>
      <c r="J206" s="33">
        <v>0</v>
      </c>
      <c r="K206" s="33">
        <v>0</v>
      </c>
      <c r="L206" s="33">
        <v>0</v>
      </c>
      <c r="M206" s="33">
        <v>0</v>
      </c>
      <c r="N206" s="33">
        <v>0</v>
      </c>
      <c r="O206" s="33">
        <v>1</v>
      </c>
      <c r="P206" s="33">
        <v>0</v>
      </c>
      <c r="Q206" s="21">
        <v>30</v>
      </c>
      <c r="R206">
        <f t="shared" si="8"/>
        <v>31.429476778563007</v>
      </c>
      <c r="S206">
        <f t="shared" si="9"/>
        <v>603.71061137517449</v>
      </c>
    </row>
    <row r="207" spans="1:19">
      <c r="A207" s="32">
        <v>41294</v>
      </c>
      <c r="B207" s="42">
        <v>43</v>
      </c>
      <c r="C207" s="33">
        <v>1</v>
      </c>
      <c r="D207" s="33">
        <v>0</v>
      </c>
      <c r="E207" s="33">
        <v>0</v>
      </c>
      <c r="F207" s="33">
        <v>1</v>
      </c>
      <c r="G207" s="33">
        <v>0</v>
      </c>
      <c r="H207" s="33">
        <v>2</v>
      </c>
      <c r="I207" s="33">
        <v>0</v>
      </c>
      <c r="J207" s="33">
        <v>0</v>
      </c>
      <c r="K207" s="33">
        <v>0</v>
      </c>
      <c r="L207" s="33">
        <v>0</v>
      </c>
      <c r="M207" s="33">
        <v>0</v>
      </c>
      <c r="N207" s="33">
        <v>0</v>
      </c>
      <c r="O207" s="33">
        <v>0</v>
      </c>
      <c r="P207" s="33">
        <v>0</v>
      </c>
      <c r="Q207" s="21">
        <v>28</v>
      </c>
      <c r="R207">
        <f t="shared" si="8"/>
        <v>25.278959701765544</v>
      </c>
      <c r="S207">
        <f t="shared" si="9"/>
        <v>314.03526925164954</v>
      </c>
    </row>
    <row r="208" spans="1:19">
      <c r="A208" s="32">
        <v>41295</v>
      </c>
      <c r="B208" s="42">
        <v>38</v>
      </c>
      <c r="C208" s="33">
        <v>1</v>
      </c>
      <c r="D208" s="33">
        <v>0</v>
      </c>
      <c r="E208" s="33">
        <v>0</v>
      </c>
      <c r="F208" s="33">
        <v>0</v>
      </c>
      <c r="G208" s="33">
        <v>0</v>
      </c>
      <c r="H208" s="33">
        <v>1</v>
      </c>
      <c r="I208" s="33">
        <v>0</v>
      </c>
      <c r="J208" s="33">
        <v>1</v>
      </c>
      <c r="K208" s="33">
        <v>0</v>
      </c>
      <c r="L208" s="33">
        <v>0</v>
      </c>
      <c r="M208" s="33">
        <v>0</v>
      </c>
      <c r="N208" s="33">
        <v>0</v>
      </c>
      <c r="O208" s="33">
        <v>0</v>
      </c>
      <c r="P208" s="33">
        <v>0</v>
      </c>
      <c r="Q208" s="21">
        <v>18</v>
      </c>
      <c r="R208">
        <f t="shared" si="8"/>
        <v>19.878791344018957</v>
      </c>
      <c r="S208">
        <f t="shared" si="9"/>
        <v>328.37820315360227</v>
      </c>
    </row>
    <row r="209" spans="1:19">
      <c r="A209" s="32">
        <v>41296</v>
      </c>
      <c r="B209" s="42">
        <v>21</v>
      </c>
      <c r="C209" s="33">
        <v>1</v>
      </c>
      <c r="D209" s="33">
        <v>0</v>
      </c>
      <c r="E209" s="33">
        <v>0</v>
      </c>
      <c r="F209" s="33">
        <v>0</v>
      </c>
      <c r="G209" s="33">
        <v>0</v>
      </c>
      <c r="H209" s="33">
        <v>1</v>
      </c>
      <c r="I209" s="33">
        <v>0</v>
      </c>
      <c r="J209" s="33">
        <v>0</v>
      </c>
      <c r="K209" s="33">
        <v>1</v>
      </c>
      <c r="L209" s="33">
        <v>0</v>
      </c>
      <c r="M209" s="33">
        <v>0</v>
      </c>
      <c r="N209" s="33">
        <v>0</v>
      </c>
      <c r="O209" s="33">
        <v>0</v>
      </c>
      <c r="P209" s="33">
        <v>0</v>
      </c>
      <c r="Q209" s="21">
        <v>17</v>
      </c>
      <c r="R209">
        <f t="shared" si="8"/>
        <v>19.312259714557946</v>
      </c>
      <c r="S209">
        <f t="shared" si="9"/>
        <v>2.8484672711040253</v>
      </c>
    </row>
    <row r="210" spans="1:19">
      <c r="A210" s="32">
        <v>41297</v>
      </c>
      <c r="B210" s="42">
        <v>37</v>
      </c>
      <c r="C210" s="33">
        <v>1</v>
      </c>
      <c r="D210" s="33">
        <v>0</v>
      </c>
      <c r="E210" s="33">
        <v>0</v>
      </c>
      <c r="F210" s="33">
        <v>0</v>
      </c>
      <c r="G210" s="33">
        <v>0</v>
      </c>
      <c r="H210" s="33">
        <v>1</v>
      </c>
      <c r="I210" s="33">
        <v>0</v>
      </c>
      <c r="J210" s="33">
        <v>0</v>
      </c>
      <c r="K210" s="33">
        <v>0</v>
      </c>
      <c r="L210" s="33">
        <v>1</v>
      </c>
      <c r="M210" s="33">
        <v>0</v>
      </c>
      <c r="N210" s="33">
        <v>0</v>
      </c>
      <c r="O210" s="33">
        <v>0</v>
      </c>
      <c r="P210" s="33">
        <v>0</v>
      </c>
      <c r="Q210" s="21">
        <v>20</v>
      </c>
      <c r="R210">
        <f t="shared" si="8"/>
        <v>20.638730738790947</v>
      </c>
      <c r="S210">
        <f t="shared" si="9"/>
        <v>267.69113183778421</v>
      </c>
    </row>
    <row r="211" spans="1:19">
      <c r="A211" s="32">
        <v>41298</v>
      </c>
      <c r="B211" s="42">
        <v>29</v>
      </c>
      <c r="C211" s="33">
        <v>1</v>
      </c>
      <c r="D211" s="33">
        <v>0</v>
      </c>
      <c r="E211" s="33">
        <v>0</v>
      </c>
      <c r="F211" s="33">
        <v>0</v>
      </c>
      <c r="G211" s="33">
        <v>0</v>
      </c>
      <c r="H211" s="33">
        <v>1</v>
      </c>
      <c r="I211" s="33">
        <v>0</v>
      </c>
      <c r="J211" s="33">
        <v>0</v>
      </c>
      <c r="K211" s="33">
        <v>0</v>
      </c>
      <c r="L211" s="33">
        <v>0</v>
      </c>
      <c r="M211" s="33">
        <v>1</v>
      </c>
      <c r="N211" s="33">
        <v>0</v>
      </c>
      <c r="O211" s="33">
        <v>0</v>
      </c>
      <c r="P211" s="33">
        <v>0</v>
      </c>
      <c r="Q211" s="21">
        <v>16</v>
      </c>
      <c r="R211">
        <f t="shared" si="8"/>
        <v>16.97272168252427</v>
      </c>
      <c r="S211">
        <f t="shared" si="9"/>
        <v>144.65542372602184</v>
      </c>
    </row>
    <row r="212" spans="1:19">
      <c r="A212" s="32">
        <v>41299</v>
      </c>
      <c r="B212" s="42">
        <v>43</v>
      </c>
      <c r="C212" s="33">
        <v>1</v>
      </c>
      <c r="D212" s="33">
        <v>0</v>
      </c>
      <c r="E212" s="33">
        <v>0</v>
      </c>
      <c r="F212" s="33">
        <v>1</v>
      </c>
      <c r="G212" s="33">
        <v>0</v>
      </c>
      <c r="H212" s="33">
        <v>2</v>
      </c>
      <c r="I212" s="33">
        <v>0</v>
      </c>
      <c r="J212" s="33">
        <v>0</v>
      </c>
      <c r="K212" s="33">
        <v>0</v>
      </c>
      <c r="L212" s="33">
        <v>0</v>
      </c>
      <c r="M212" s="33">
        <v>0</v>
      </c>
      <c r="N212" s="33">
        <v>1</v>
      </c>
      <c r="O212" s="33">
        <v>0</v>
      </c>
      <c r="P212" s="33">
        <v>0</v>
      </c>
      <c r="Q212" s="21">
        <v>30</v>
      </c>
      <c r="R212">
        <f t="shared" si="8"/>
        <v>31.015776819500953</v>
      </c>
      <c r="S212">
        <f t="shared" si="9"/>
        <v>143.62160524001069</v>
      </c>
    </row>
    <row r="213" spans="1:19">
      <c r="A213" s="32">
        <v>41300</v>
      </c>
      <c r="B213" s="42">
        <v>56</v>
      </c>
      <c r="C213" s="33">
        <v>1</v>
      </c>
      <c r="D213" s="33">
        <v>0</v>
      </c>
      <c r="E213" s="33">
        <v>0</v>
      </c>
      <c r="F213" s="33">
        <v>2</v>
      </c>
      <c r="G213" s="33">
        <v>1</v>
      </c>
      <c r="H213" s="33">
        <v>6</v>
      </c>
      <c r="I213" s="33">
        <v>0</v>
      </c>
      <c r="J213" s="33">
        <v>0</v>
      </c>
      <c r="K213" s="33">
        <v>0</v>
      </c>
      <c r="L213" s="33">
        <v>0</v>
      </c>
      <c r="M213" s="33">
        <v>0</v>
      </c>
      <c r="N213" s="33">
        <v>0</v>
      </c>
      <c r="O213" s="33">
        <v>1</v>
      </c>
      <c r="P213" s="33">
        <v>0</v>
      </c>
      <c r="Q213" s="21">
        <v>32</v>
      </c>
      <c r="R213">
        <f t="shared" si="8"/>
        <v>36.38954588862989</v>
      </c>
      <c r="S213">
        <f t="shared" si="9"/>
        <v>384.56991045415288</v>
      </c>
    </row>
    <row r="214" spans="1:19">
      <c r="A214" s="32">
        <v>41301</v>
      </c>
      <c r="B214" s="42">
        <v>50</v>
      </c>
      <c r="C214" s="33">
        <v>1</v>
      </c>
      <c r="D214" s="33">
        <v>0</v>
      </c>
      <c r="E214" s="33">
        <v>0</v>
      </c>
      <c r="F214" s="33">
        <v>1</v>
      </c>
      <c r="G214" s="33">
        <v>1</v>
      </c>
      <c r="H214" s="33">
        <v>4</v>
      </c>
      <c r="I214" s="33">
        <v>0</v>
      </c>
      <c r="J214" s="33">
        <v>0</v>
      </c>
      <c r="K214" s="33">
        <v>0</v>
      </c>
      <c r="L214" s="33">
        <v>0</v>
      </c>
      <c r="M214" s="33">
        <v>0</v>
      </c>
      <c r="N214" s="33">
        <v>0</v>
      </c>
      <c r="O214" s="33">
        <v>0</v>
      </c>
      <c r="P214" s="33">
        <v>0</v>
      </c>
      <c r="Q214" s="21">
        <v>26</v>
      </c>
      <c r="R214">
        <f t="shared" si="8"/>
        <v>26.428047440106429</v>
      </c>
      <c r="S214">
        <f t="shared" si="9"/>
        <v>555.63694748587307</v>
      </c>
    </row>
    <row r="215" spans="1:19">
      <c r="A215" s="32">
        <v>41302</v>
      </c>
      <c r="B215" s="42">
        <v>42</v>
      </c>
      <c r="C215" s="33">
        <v>1</v>
      </c>
      <c r="D215" s="33">
        <v>0</v>
      </c>
      <c r="E215" s="33">
        <v>0</v>
      </c>
      <c r="F215" s="33">
        <v>1</v>
      </c>
      <c r="G215" s="33">
        <v>0</v>
      </c>
      <c r="H215" s="33">
        <v>2</v>
      </c>
      <c r="I215" s="33">
        <v>0</v>
      </c>
      <c r="J215" s="33">
        <v>1</v>
      </c>
      <c r="K215" s="33">
        <v>0</v>
      </c>
      <c r="L215" s="33">
        <v>0</v>
      </c>
      <c r="M215" s="33">
        <v>0</v>
      </c>
      <c r="N215" s="33">
        <v>0</v>
      </c>
      <c r="O215" s="33">
        <v>0</v>
      </c>
      <c r="P215" s="33">
        <v>0</v>
      </c>
      <c r="Q215" s="21">
        <v>33</v>
      </c>
      <c r="R215">
        <f t="shared" si="8"/>
        <v>33.069540358212038</v>
      </c>
      <c r="S215">
        <f t="shared" si="9"/>
        <v>79.753109413603582</v>
      </c>
    </row>
    <row r="216" spans="1:19">
      <c r="A216" s="32">
        <v>41303</v>
      </c>
      <c r="B216" s="42">
        <v>42</v>
      </c>
      <c r="C216" s="33">
        <v>1</v>
      </c>
      <c r="D216" s="33">
        <v>0</v>
      </c>
      <c r="E216" s="33">
        <v>0</v>
      </c>
      <c r="F216" s="33">
        <v>1</v>
      </c>
      <c r="G216" s="33">
        <v>0</v>
      </c>
      <c r="H216" s="33">
        <v>2</v>
      </c>
      <c r="I216" s="33">
        <v>0</v>
      </c>
      <c r="J216" s="33">
        <v>0</v>
      </c>
      <c r="K216" s="33">
        <v>1</v>
      </c>
      <c r="L216" s="33">
        <v>0</v>
      </c>
      <c r="M216" s="33">
        <v>0</v>
      </c>
      <c r="N216" s="33">
        <v>0</v>
      </c>
      <c r="O216" s="33">
        <v>0</v>
      </c>
      <c r="P216" s="33">
        <v>0</v>
      </c>
      <c r="Q216" s="21">
        <v>29</v>
      </c>
      <c r="R216">
        <f t="shared" si="8"/>
        <v>30.777631420720326</v>
      </c>
      <c r="S216">
        <f t="shared" si="9"/>
        <v>125.94155652920369</v>
      </c>
    </row>
    <row r="217" spans="1:19">
      <c r="A217" s="32">
        <v>41304</v>
      </c>
      <c r="B217" s="42">
        <v>45</v>
      </c>
      <c r="C217" s="33">
        <v>1</v>
      </c>
      <c r="D217" s="33">
        <v>0</v>
      </c>
      <c r="E217" s="33">
        <v>0</v>
      </c>
      <c r="F217" s="33">
        <v>1</v>
      </c>
      <c r="G217" s="33">
        <v>0</v>
      </c>
      <c r="H217" s="33">
        <v>2</v>
      </c>
      <c r="I217" s="33">
        <v>0</v>
      </c>
      <c r="J217" s="33">
        <v>0</v>
      </c>
      <c r="K217" s="33">
        <v>0</v>
      </c>
      <c r="L217" s="33">
        <v>1</v>
      </c>
      <c r="M217" s="33">
        <v>0</v>
      </c>
      <c r="N217" s="33">
        <v>0</v>
      </c>
      <c r="O217" s="33">
        <v>0</v>
      </c>
      <c r="P217" s="33">
        <v>0</v>
      </c>
      <c r="Q217" s="21">
        <v>27</v>
      </c>
      <c r="R217">
        <f t="shared" si="8"/>
        <v>29.228473598235492</v>
      </c>
      <c r="S217">
        <f t="shared" si="9"/>
        <v>248.74104504155491</v>
      </c>
    </row>
    <row r="218" spans="1:19">
      <c r="A218" s="32">
        <v>41305</v>
      </c>
      <c r="B218" s="42">
        <v>39</v>
      </c>
      <c r="C218" s="33">
        <v>1</v>
      </c>
      <c r="D218" s="33">
        <v>0</v>
      </c>
      <c r="E218" s="33">
        <v>0</v>
      </c>
      <c r="F218" s="33">
        <v>2</v>
      </c>
      <c r="G218" s="33">
        <v>1</v>
      </c>
      <c r="H218" s="33">
        <v>6</v>
      </c>
      <c r="I218" s="33">
        <v>0</v>
      </c>
      <c r="J218" s="33">
        <v>0</v>
      </c>
      <c r="K218" s="33">
        <v>0</v>
      </c>
      <c r="L218" s="33">
        <v>0</v>
      </c>
      <c r="M218" s="33">
        <v>1</v>
      </c>
      <c r="N218" s="33">
        <v>0</v>
      </c>
      <c r="O218" s="33">
        <v>0</v>
      </c>
      <c r="P218" s="33">
        <v>0</v>
      </c>
      <c r="Q218" s="21">
        <v>17</v>
      </c>
      <c r="R218">
        <f t="shared" si="8"/>
        <v>28.220866774315184</v>
      </c>
      <c r="S218">
        <f t="shared" si="9"/>
        <v>116.18971309706235</v>
      </c>
    </row>
    <row r="219" spans="1:19">
      <c r="A219" s="32">
        <v>41306</v>
      </c>
      <c r="B219" s="42">
        <v>48</v>
      </c>
      <c r="C219" s="33">
        <v>1</v>
      </c>
      <c r="D219" s="33">
        <v>0</v>
      </c>
      <c r="E219" s="33">
        <v>0</v>
      </c>
      <c r="F219" s="33">
        <v>1</v>
      </c>
      <c r="G219" s="33">
        <v>1</v>
      </c>
      <c r="H219" s="33">
        <v>4</v>
      </c>
      <c r="I219" s="33">
        <v>0</v>
      </c>
      <c r="J219" s="33">
        <v>0</v>
      </c>
      <c r="K219" s="33">
        <v>0</v>
      </c>
      <c r="L219" s="33">
        <v>0</v>
      </c>
      <c r="M219" s="33">
        <v>0</v>
      </c>
      <c r="N219" s="33">
        <v>1</v>
      </c>
      <c r="O219" s="33">
        <v>0</v>
      </c>
      <c r="P219" s="33">
        <v>0</v>
      </c>
      <c r="Q219" s="21">
        <v>19</v>
      </c>
      <c r="R219">
        <f t="shared" si="8"/>
        <v>26.988732633749738</v>
      </c>
      <c r="S219">
        <f t="shared" si="9"/>
        <v>441.47335633605326</v>
      </c>
    </row>
    <row r="220" spans="1:19">
      <c r="A220" s="32">
        <v>41307</v>
      </c>
      <c r="B220" s="42">
        <v>48</v>
      </c>
      <c r="C220" s="33">
        <v>1</v>
      </c>
      <c r="D220" s="33">
        <v>0</v>
      </c>
      <c r="E220" s="33">
        <v>0</v>
      </c>
      <c r="F220" s="33">
        <v>2</v>
      </c>
      <c r="G220" s="33">
        <v>1</v>
      </c>
      <c r="H220" s="33">
        <v>6</v>
      </c>
      <c r="I220" s="33">
        <v>0</v>
      </c>
      <c r="J220" s="33">
        <v>0</v>
      </c>
      <c r="K220" s="33">
        <v>0</v>
      </c>
      <c r="L220" s="33">
        <v>0</v>
      </c>
      <c r="M220" s="33">
        <v>0</v>
      </c>
      <c r="N220" s="33">
        <v>0</v>
      </c>
      <c r="O220" s="33">
        <v>1</v>
      </c>
      <c r="P220" s="33">
        <v>0</v>
      </c>
      <c r="Q220" s="21">
        <v>33</v>
      </c>
      <c r="R220">
        <f t="shared" si="8"/>
        <v>36.964671657973454</v>
      </c>
      <c r="S220">
        <f t="shared" si="9"/>
        <v>121.77847161633434</v>
      </c>
    </row>
    <row r="221" spans="1:19">
      <c r="A221" s="32">
        <v>41308</v>
      </c>
      <c r="B221" s="42">
        <v>41</v>
      </c>
      <c r="C221" s="33">
        <v>1</v>
      </c>
      <c r="D221" s="33">
        <v>0</v>
      </c>
      <c r="E221" s="33">
        <v>0</v>
      </c>
      <c r="F221" s="33">
        <v>1</v>
      </c>
      <c r="G221" s="33">
        <v>1</v>
      </c>
      <c r="H221" s="33">
        <v>4</v>
      </c>
      <c r="I221" s="33">
        <v>0</v>
      </c>
      <c r="J221" s="33">
        <v>0</v>
      </c>
      <c r="K221" s="33">
        <v>0</v>
      </c>
      <c r="L221" s="33">
        <v>0</v>
      </c>
      <c r="M221" s="33">
        <v>0</v>
      </c>
      <c r="N221" s="33">
        <v>0</v>
      </c>
      <c r="O221" s="33">
        <v>0</v>
      </c>
      <c r="P221" s="33">
        <v>0</v>
      </c>
      <c r="Q221" s="21">
        <v>19</v>
      </c>
      <c r="R221">
        <f t="shared" si="8"/>
        <v>22.402167054701462</v>
      </c>
      <c r="S221">
        <f t="shared" si="9"/>
        <v>345.87939026123172</v>
      </c>
    </row>
    <row r="222" spans="1:19">
      <c r="A222" s="32">
        <v>41309</v>
      </c>
      <c r="B222" s="42">
        <v>30</v>
      </c>
      <c r="C222" s="33">
        <v>1</v>
      </c>
      <c r="D222" s="33">
        <v>0</v>
      </c>
      <c r="E222" s="33">
        <v>0</v>
      </c>
      <c r="F222" s="33">
        <v>1</v>
      </c>
      <c r="G222" s="33">
        <v>0</v>
      </c>
      <c r="H222" s="33">
        <v>2</v>
      </c>
      <c r="I222" s="33">
        <v>0</v>
      </c>
      <c r="J222" s="33">
        <v>1</v>
      </c>
      <c r="K222" s="33">
        <v>0</v>
      </c>
      <c r="L222" s="33">
        <v>0</v>
      </c>
      <c r="M222" s="33">
        <v>0</v>
      </c>
      <c r="N222" s="33">
        <v>0</v>
      </c>
      <c r="O222" s="33">
        <v>0</v>
      </c>
      <c r="P222" s="33">
        <v>0</v>
      </c>
      <c r="Q222" s="21">
        <v>23</v>
      </c>
      <c r="R222">
        <f t="shared" si="8"/>
        <v>27.318282664776369</v>
      </c>
      <c r="S222">
        <f t="shared" si="9"/>
        <v>7.1916078660389324</v>
      </c>
    </row>
    <row r="223" spans="1:19">
      <c r="A223" s="32">
        <v>41310</v>
      </c>
      <c r="B223" s="42">
        <v>29</v>
      </c>
      <c r="C223" s="33">
        <v>1</v>
      </c>
      <c r="D223" s="33">
        <v>0</v>
      </c>
      <c r="E223" s="33">
        <v>0</v>
      </c>
      <c r="F223" s="33">
        <v>1</v>
      </c>
      <c r="G223" s="33">
        <v>0</v>
      </c>
      <c r="H223" s="33">
        <v>2</v>
      </c>
      <c r="I223" s="33">
        <v>0</v>
      </c>
      <c r="J223" s="33">
        <v>0</v>
      </c>
      <c r="K223" s="33">
        <v>1</v>
      </c>
      <c r="L223" s="33">
        <v>0</v>
      </c>
      <c r="M223" s="33">
        <v>0</v>
      </c>
      <c r="N223" s="33">
        <v>0</v>
      </c>
      <c r="O223" s="33">
        <v>0</v>
      </c>
      <c r="P223" s="33">
        <v>0</v>
      </c>
      <c r="Q223" s="21">
        <v>18</v>
      </c>
      <c r="R223">
        <f t="shared" si="8"/>
        <v>24.451247957941089</v>
      </c>
      <c r="S223">
        <f t="shared" si="9"/>
        <v>20.691145140135117</v>
      </c>
    </row>
    <row r="224" spans="1:19">
      <c r="A224" s="32">
        <v>41311</v>
      </c>
      <c r="B224" s="42">
        <v>21</v>
      </c>
      <c r="C224" s="33">
        <v>1</v>
      </c>
      <c r="D224" s="33">
        <v>0</v>
      </c>
      <c r="E224" s="33">
        <v>0</v>
      </c>
      <c r="F224" s="33">
        <v>0</v>
      </c>
      <c r="G224" s="33">
        <v>0</v>
      </c>
      <c r="H224" s="33">
        <v>1</v>
      </c>
      <c r="I224" s="33">
        <v>0</v>
      </c>
      <c r="J224" s="33">
        <v>0</v>
      </c>
      <c r="K224" s="33">
        <v>0</v>
      </c>
      <c r="L224" s="33">
        <v>1</v>
      </c>
      <c r="M224" s="33">
        <v>0</v>
      </c>
      <c r="N224" s="33">
        <v>0</v>
      </c>
      <c r="O224" s="33">
        <v>0</v>
      </c>
      <c r="P224" s="33">
        <v>0</v>
      </c>
      <c r="Q224" s="21">
        <v>22</v>
      </c>
      <c r="R224">
        <f t="shared" si="8"/>
        <v>21.78898227747808</v>
      </c>
      <c r="S224">
        <f t="shared" si="9"/>
        <v>0.62249303417449864</v>
      </c>
    </row>
    <row r="225" spans="1:19">
      <c r="A225" s="32">
        <v>41312</v>
      </c>
      <c r="B225" s="42">
        <v>25</v>
      </c>
      <c r="C225" s="33">
        <v>1</v>
      </c>
      <c r="D225" s="33">
        <v>0</v>
      </c>
      <c r="E225" s="33">
        <v>0</v>
      </c>
      <c r="F225" s="33">
        <v>0</v>
      </c>
      <c r="G225" s="33">
        <v>0</v>
      </c>
      <c r="H225" s="33">
        <v>1</v>
      </c>
      <c r="I225" s="33">
        <v>0</v>
      </c>
      <c r="J225" s="33">
        <v>0</v>
      </c>
      <c r="K225" s="33">
        <v>0</v>
      </c>
      <c r="L225" s="33">
        <v>0</v>
      </c>
      <c r="M225" s="33">
        <v>1</v>
      </c>
      <c r="N225" s="33">
        <v>0</v>
      </c>
      <c r="O225" s="33">
        <v>0</v>
      </c>
      <c r="P225" s="33">
        <v>0</v>
      </c>
      <c r="Q225" s="21">
        <v>14</v>
      </c>
      <c r="R225">
        <f t="shared" si="8"/>
        <v>15.822470143837137</v>
      </c>
      <c r="S225">
        <f t="shared" si="9"/>
        <v>84.227054260760738</v>
      </c>
    </row>
    <row r="226" spans="1:19">
      <c r="A226" s="32">
        <v>41313</v>
      </c>
      <c r="B226" s="42">
        <v>40</v>
      </c>
      <c r="C226" s="33">
        <v>1</v>
      </c>
      <c r="D226" s="33">
        <v>0</v>
      </c>
      <c r="E226" s="33">
        <v>0</v>
      </c>
      <c r="F226" s="33">
        <v>1</v>
      </c>
      <c r="G226" s="33">
        <v>0</v>
      </c>
      <c r="H226" s="33">
        <v>2</v>
      </c>
      <c r="I226" s="33">
        <v>0</v>
      </c>
      <c r="J226" s="33">
        <v>0</v>
      </c>
      <c r="K226" s="33">
        <v>0</v>
      </c>
      <c r="L226" s="33">
        <v>0</v>
      </c>
      <c r="M226" s="33">
        <v>0</v>
      </c>
      <c r="N226" s="33">
        <v>1</v>
      </c>
      <c r="O226" s="33">
        <v>0</v>
      </c>
      <c r="P226" s="33">
        <v>0</v>
      </c>
      <c r="Q226" s="21">
        <v>25</v>
      </c>
      <c r="R226">
        <f t="shared" si="8"/>
        <v>28.140147972783119</v>
      </c>
      <c r="S226">
        <f t="shared" si="9"/>
        <v>140.65609010748037</v>
      </c>
    </row>
    <row r="227" spans="1:19">
      <c r="A227" s="32">
        <v>41314</v>
      </c>
      <c r="B227" s="42">
        <v>36</v>
      </c>
      <c r="C227" s="33">
        <v>1</v>
      </c>
      <c r="D227" s="33">
        <v>0</v>
      </c>
      <c r="E227" s="33">
        <v>0</v>
      </c>
      <c r="F227" s="33">
        <v>2</v>
      </c>
      <c r="G227" s="33">
        <v>1</v>
      </c>
      <c r="H227" s="33">
        <v>6</v>
      </c>
      <c r="I227" s="33">
        <v>0</v>
      </c>
      <c r="J227" s="33">
        <v>0</v>
      </c>
      <c r="K227" s="33">
        <v>0</v>
      </c>
      <c r="L227" s="33">
        <v>0</v>
      </c>
      <c r="M227" s="33">
        <v>0</v>
      </c>
      <c r="N227" s="33">
        <v>0</v>
      </c>
      <c r="O227" s="33">
        <v>1</v>
      </c>
      <c r="P227" s="33">
        <v>0</v>
      </c>
      <c r="Q227" s="21">
        <v>36</v>
      </c>
      <c r="R227">
        <f t="shared" si="8"/>
        <v>38.690048966004156</v>
      </c>
      <c r="S227">
        <f t="shared" si="9"/>
        <v>7.2363634395000274</v>
      </c>
    </row>
    <row r="228" spans="1:19">
      <c r="A228" s="32">
        <v>41315</v>
      </c>
      <c r="B228" s="42">
        <v>44</v>
      </c>
      <c r="C228" s="33">
        <v>1</v>
      </c>
      <c r="D228" s="33">
        <v>0</v>
      </c>
      <c r="E228" s="33">
        <v>0</v>
      </c>
      <c r="F228" s="33">
        <v>2</v>
      </c>
      <c r="G228" s="33">
        <v>2</v>
      </c>
      <c r="H228" s="33">
        <v>9</v>
      </c>
      <c r="I228" s="33">
        <v>0</v>
      </c>
      <c r="J228" s="33">
        <v>0</v>
      </c>
      <c r="K228" s="33">
        <v>0</v>
      </c>
      <c r="L228" s="33">
        <v>0</v>
      </c>
      <c r="M228" s="33">
        <v>0</v>
      </c>
      <c r="N228" s="33">
        <v>0</v>
      </c>
      <c r="O228" s="33">
        <v>0</v>
      </c>
      <c r="P228" s="33">
        <v>0</v>
      </c>
      <c r="Q228" s="21">
        <v>22</v>
      </c>
      <c r="R228">
        <f t="shared" si="8"/>
        <v>29.482656308480109</v>
      </c>
      <c r="S228">
        <f t="shared" si="9"/>
        <v>210.75326785771236</v>
      </c>
    </row>
    <row r="229" spans="1:19">
      <c r="A229" s="32">
        <v>41316</v>
      </c>
      <c r="B229" s="42">
        <v>38</v>
      </c>
      <c r="C229" s="33">
        <v>1</v>
      </c>
      <c r="D229" s="33">
        <v>0</v>
      </c>
      <c r="E229" s="33">
        <v>0</v>
      </c>
      <c r="F229" s="33">
        <v>0</v>
      </c>
      <c r="G229" s="33">
        <v>0</v>
      </c>
      <c r="H229" s="33">
        <v>1</v>
      </c>
      <c r="I229" s="33">
        <v>1</v>
      </c>
      <c r="J229" s="33">
        <v>1</v>
      </c>
      <c r="K229" s="33">
        <v>0</v>
      </c>
      <c r="L229" s="33">
        <v>0</v>
      </c>
      <c r="M229" s="33">
        <v>0</v>
      </c>
      <c r="N229" s="33">
        <v>0</v>
      </c>
      <c r="O229" s="33">
        <v>0</v>
      </c>
      <c r="P229" s="33">
        <v>0</v>
      </c>
      <c r="Q229" s="21">
        <v>23</v>
      </c>
      <c r="R229">
        <f t="shared" si="8"/>
        <v>21.788289541083149</v>
      </c>
      <c r="S229">
        <f t="shared" si="9"/>
        <v>262.81955600375403</v>
      </c>
    </row>
    <row r="230" spans="1:19">
      <c r="A230" s="32">
        <v>41317</v>
      </c>
      <c r="B230" s="42">
        <v>43</v>
      </c>
      <c r="C230" s="33">
        <v>1</v>
      </c>
      <c r="D230" s="33">
        <v>0</v>
      </c>
      <c r="E230" s="33">
        <v>0</v>
      </c>
      <c r="F230" s="33">
        <v>0</v>
      </c>
      <c r="G230" s="33">
        <v>0</v>
      </c>
      <c r="H230" s="33">
        <v>1</v>
      </c>
      <c r="I230" s="33">
        <v>0</v>
      </c>
      <c r="J230" s="33">
        <v>0</v>
      </c>
      <c r="K230" s="33">
        <v>1</v>
      </c>
      <c r="L230" s="33">
        <v>0</v>
      </c>
      <c r="M230" s="33">
        <v>0</v>
      </c>
      <c r="N230" s="33">
        <v>0</v>
      </c>
      <c r="O230" s="33">
        <v>0</v>
      </c>
      <c r="P230" s="33">
        <v>0</v>
      </c>
      <c r="Q230" s="21">
        <v>18</v>
      </c>
      <c r="R230">
        <f t="shared" si="8"/>
        <v>19.887385483901511</v>
      </c>
      <c r="S230">
        <f t="shared" si="9"/>
        <v>534.19294976976664</v>
      </c>
    </row>
    <row r="231" spans="1:19">
      <c r="A231" s="32">
        <v>41318</v>
      </c>
      <c r="B231" s="42">
        <v>39</v>
      </c>
      <c r="C231" s="33">
        <v>1</v>
      </c>
      <c r="D231" s="33">
        <v>0</v>
      </c>
      <c r="E231" s="33">
        <v>0</v>
      </c>
      <c r="F231" s="33">
        <v>0</v>
      </c>
      <c r="G231" s="33">
        <v>0</v>
      </c>
      <c r="H231" s="33">
        <v>1</v>
      </c>
      <c r="I231" s="33">
        <v>0</v>
      </c>
      <c r="J231" s="33">
        <v>0</v>
      </c>
      <c r="K231" s="33">
        <v>0</v>
      </c>
      <c r="L231" s="33">
        <v>1</v>
      </c>
      <c r="M231" s="33">
        <v>0</v>
      </c>
      <c r="N231" s="33">
        <v>0</v>
      </c>
      <c r="O231" s="33">
        <v>0</v>
      </c>
      <c r="P231" s="33">
        <v>0</v>
      </c>
      <c r="Q231" s="21">
        <v>23</v>
      </c>
      <c r="R231">
        <f t="shared" si="8"/>
        <v>22.364108046821649</v>
      </c>
      <c r="S231">
        <f t="shared" si="9"/>
        <v>276.75290107782422</v>
      </c>
    </row>
    <row r="232" spans="1:19">
      <c r="A232" s="32">
        <v>41319</v>
      </c>
      <c r="B232" s="42">
        <v>43</v>
      </c>
      <c r="C232" s="33">
        <v>1</v>
      </c>
      <c r="D232" s="33">
        <v>0</v>
      </c>
      <c r="E232" s="33">
        <v>0</v>
      </c>
      <c r="F232" s="33">
        <v>0</v>
      </c>
      <c r="G232" s="33">
        <v>0</v>
      </c>
      <c r="H232" s="33">
        <v>1</v>
      </c>
      <c r="I232" s="33">
        <v>0</v>
      </c>
      <c r="J232" s="33">
        <v>0</v>
      </c>
      <c r="K232" s="33">
        <v>0</v>
      </c>
      <c r="L232" s="33">
        <v>0</v>
      </c>
      <c r="M232" s="33">
        <v>1</v>
      </c>
      <c r="N232" s="33">
        <v>0</v>
      </c>
      <c r="O232" s="33">
        <v>0</v>
      </c>
      <c r="P232" s="33">
        <v>0</v>
      </c>
      <c r="Q232" s="21">
        <v>22</v>
      </c>
      <c r="R232">
        <f t="shared" si="8"/>
        <v>20.423476298585673</v>
      </c>
      <c r="S232">
        <f t="shared" si="9"/>
        <v>509.69942244052288</v>
      </c>
    </row>
    <row r="233" spans="1:19">
      <c r="A233" s="32">
        <v>41320</v>
      </c>
      <c r="B233" s="42">
        <v>46</v>
      </c>
      <c r="C233" s="33">
        <v>1</v>
      </c>
      <c r="D233" s="33">
        <v>0</v>
      </c>
      <c r="E233" s="33">
        <v>0</v>
      </c>
      <c r="F233" s="33">
        <v>0</v>
      </c>
      <c r="G233" s="33">
        <v>0</v>
      </c>
      <c r="H233" s="33">
        <v>1</v>
      </c>
      <c r="I233" s="33">
        <v>0</v>
      </c>
      <c r="J233" s="33">
        <v>0</v>
      </c>
      <c r="K233" s="33">
        <v>0</v>
      </c>
      <c r="L233" s="33">
        <v>0</v>
      </c>
      <c r="M233" s="33">
        <v>0</v>
      </c>
      <c r="N233" s="33">
        <v>1</v>
      </c>
      <c r="O233" s="33">
        <v>0</v>
      </c>
      <c r="P233" s="33">
        <v>0</v>
      </c>
      <c r="Q233" s="21">
        <v>25</v>
      </c>
      <c r="R233">
        <f t="shared" si="8"/>
        <v>23.576285498743538</v>
      </c>
      <c r="S233">
        <f t="shared" si="9"/>
        <v>502.82297203385934</v>
      </c>
    </row>
    <row r="234" spans="1:19">
      <c r="A234" s="32">
        <v>41321</v>
      </c>
      <c r="B234" s="42">
        <v>52</v>
      </c>
      <c r="C234" s="33">
        <v>1</v>
      </c>
      <c r="D234" s="33">
        <v>0</v>
      </c>
      <c r="E234" s="33">
        <v>0</v>
      </c>
      <c r="F234" s="33">
        <v>1</v>
      </c>
      <c r="G234" s="33">
        <v>1</v>
      </c>
      <c r="H234" s="33">
        <v>4</v>
      </c>
      <c r="I234" s="33">
        <v>0</v>
      </c>
      <c r="J234" s="33">
        <v>0</v>
      </c>
      <c r="K234" s="33">
        <v>0</v>
      </c>
      <c r="L234" s="33">
        <v>0</v>
      </c>
      <c r="M234" s="33">
        <v>0</v>
      </c>
      <c r="N234" s="33">
        <v>0</v>
      </c>
      <c r="O234" s="33">
        <v>1</v>
      </c>
      <c r="P234" s="33">
        <v>0</v>
      </c>
      <c r="Q234" s="21">
        <v>33</v>
      </c>
      <c r="R234">
        <f t="shared" si="8"/>
        <v>33.154854086593708</v>
      </c>
      <c r="S234">
        <f t="shared" si="9"/>
        <v>355.13952449757386</v>
      </c>
    </row>
    <row r="235" spans="1:19">
      <c r="A235" s="32">
        <v>41322</v>
      </c>
      <c r="B235" s="42">
        <v>47</v>
      </c>
      <c r="C235" s="33">
        <v>1</v>
      </c>
      <c r="D235" s="33">
        <v>0</v>
      </c>
      <c r="E235" s="33">
        <v>0</v>
      </c>
      <c r="F235" s="33">
        <v>1</v>
      </c>
      <c r="G235" s="33">
        <v>0</v>
      </c>
      <c r="H235" s="33">
        <v>2</v>
      </c>
      <c r="I235" s="33">
        <v>0</v>
      </c>
      <c r="J235" s="33">
        <v>0</v>
      </c>
      <c r="K235" s="33">
        <v>0</v>
      </c>
      <c r="L235" s="33">
        <v>0</v>
      </c>
      <c r="M235" s="33">
        <v>0</v>
      </c>
      <c r="N235" s="33">
        <v>0</v>
      </c>
      <c r="O235" s="33">
        <v>0</v>
      </c>
      <c r="P235" s="33">
        <v>0</v>
      </c>
      <c r="Q235" s="21">
        <v>31</v>
      </c>
      <c r="R235">
        <f t="shared" si="8"/>
        <v>27.004337009796242</v>
      </c>
      <c r="S235">
        <f t="shared" si="9"/>
        <v>399.82653841780433</v>
      </c>
    </row>
    <row r="236" spans="1:19">
      <c r="A236" s="32">
        <v>41323</v>
      </c>
      <c r="B236" s="42">
        <v>41</v>
      </c>
      <c r="C236" s="33">
        <v>1</v>
      </c>
      <c r="D236" s="33">
        <v>0</v>
      </c>
      <c r="E236" s="33">
        <v>0</v>
      </c>
      <c r="F236" s="33">
        <v>0</v>
      </c>
      <c r="G236" s="33">
        <v>0</v>
      </c>
      <c r="H236" s="33">
        <v>1</v>
      </c>
      <c r="I236" s="33">
        <v>0</v>
      </c>
      <c r="J236" s="33">
        <v>1</v>
      </c>
      <c r="K236" s="33">
        <v>0</v>
      </c>
      <c r="L236" s="33">
        <v>0</v>
      </c>
      <c r="M236" s="33">
        <v>0</v>
      </c>
      <c r="N236" s="33">
        <v>0</v>
      </c>
      <c r="O236" s="33">
        <v>0</v>
      </c>
      <c r="P236" s="33">
        <v>0</v>
      </c>
      <c r="Q236" s="21">
        <v>26</v>
      </c>
      <c r="R236">
        <f t="shared" si="8"/>
        <v>24.479797498767493</v>
      </c>
      <c r="S236">
        <f t="shared" si="9"/>
        <v>272.91709068172878</v>
      </c>
    </row>
    <row r="237" spans="1:19">
      <c r="A237" s="32">
        <v>41324</v>
      </c>
      <c r="B237" s="42">
        <v>36</v>
      </c>
      <c r="C237" s="33">
        <v>1</v>
      </c>
      <c r="D237" s="33">
        <v>0</v>
      </c>
      <c r="E237" s="33">
        <v>0</v>
      </c>
      <c r="F237" s="33">
        <v>0</v>
      </c>
      <c r="G237" s="33">
        <v>0</v>
      </c>
      <c r="H237" s="33">
        <v>1</v>
      </c>
      <c r="I237" s="33">
        <v>0</v>
      </c>
      <c r="J237" s="33">
        <v>0</v>
      </c>
      <c r="K237" s="33">
        <v>1</v>
      </c>
      <c r="L237" s="33">
        <v>0</v>
      </c>
      <c r="M237" s="33">
        <v>0</v>
      </c>
      <c r="N237" s="33">
        <v>0</v>
      </c>
      <c r="O237" s="33">
        <v>0</v>
      </c>
      <c r="P237" s="33">
        <v>0</v>
      </c>
      <c r="Q237" s="21">
        <v>24</v>
      </c>
      <c r="R237">
        <f t="shared" si="8"/>
        <v>23.338140099962914</v>
      </c>
      <c r="S237">
        <f t="shared" si="9"/>
        <v>160.32269612816717</v>
      </c>
    </row>
    <row r="238" spans="1:19">
      <c r="A238" s="32">
        <v>41325</v>
      </c>
      <c r="B238" s="42">
        <v>43</v>
      </c>
      <c r="C238" s="33">
        <v>1</v>
      </c>
      <c r="D238" s="33">
        <v>0</v>
      </c>
      <c r="E238" s="33">
        <v>0</v>
      </c>
      <c r="F238" s="33">
        <v>0</v>
      </c>
      <c r="G238" s="33">
        <v>0</v>
      </c>
      <c r="H238" s="33">
        <v>1</v>
      </c>
      <c r="I238" s="33">
        <v>0</v>
      </c>
      <c r="J238" s="33">
        <v>0</v>
      </c>
      <c r="K238" s="33">
        <v>0</v>
      </c>
      <c r="L238" s="33">
        <v>1</v>
      </c>
      <c r="M238" s="33">
        <v>0</v>
      </c>
      <c r="N238" s="33">
        <v>0</v>
      </c>
      <c r="O238" s="33">
        <v>0</v>
      </c>
      <c r="P238" s="33">
        <v>0</v>
      </c>
      <c r="Q238" s="21">
        <v>32</v>
      </c>
      <c r="R238">
        <f t="shared" si="8"/>
        <v>27.540239970913749</v>
      </c>
      <c r="S238">
        <f t="shared" si="9"/>
        <v>239.0041801569329</v>
      </c>
    </row>
    <row r="239" spans="1:19">
      <c r="A239" s="32">
        <v>41326</v>
      </c>
      <c r="B239" s="42">
        <v>37</v>
      </c>
      <c r="C239" s="33">
        <v>1</v>
      </c>
      <c r="D239" s="33">
        <v>0</v>
      </c>
      <c r="E239" s="33">
        <v>0</v>
      </c>
      <c r="F239" s="33">
        <v>0</v>
      </c>
      <c r="G239" s="33">
        <v>0</v>
      </c>
      <c r="H239" s="33">
        <v>1</v>
      </c>
      <c r="I239" s="33">
        <v>0</v>
      </c>
      <c r="J239" s="33">
        <v>0</v>
      </c>
      <c r="K239" s="33">
        <v>0</v>
      </c>
      <c r="L239" s="33">
        <v>0</v>
      </c>
      <c r="M239" s="33">
        <v>1</v>
      </c>
      <c r="N239" s="33">
        <v>0</v>
      </c>
      <c r="O239" s="33">
        <v>0</v>
      </c>
      <c r="P239" s="33">
        <v>0</v>
      </c>
      <c r="Q239" s="21">
        <v>29</v>
      </c>
      <c r="R239">
        <f t="shared" si="8"/>
        <v>24.44935668399064</v>
      </c>
      <c r="S239">
        <f t="shared" si="9"/>
        <v>157.51864764569044</v>
      </c>
    </row>
    <row r="240" spans="1:19">
      <c r="A240" s="32">
        <v>41327</v>
      </c>
      <c r="B240" s="42">
        <v>52</v>
      </c>
      <c r="C240" s="33">
        <v>1</v>
      </c>
      <c r="D240" s="33">
        <v>0</v>
      </c>
      <c r="E240" s="33">
        <v>0</v>
      </c>
      <c r="F240" s="33">
        <v>1</v>
      </c>
      <c r="G240" s="33">
        <v>1</v>
      </c>
      <c r="H240" s="33">
        <v>4</v>
      </c>
      <c r="I240" s="33">
        <v>0</v>
      </c>
      <c r="J240" s="33">
        <v>0</v>
      </c>
      <c r="K240" s="33">
        <v>0</v>
      </c>
      <c r="L240" s="33">
        <v>0</v>
      </c>
      <c r="M240" s="33">
        <v>0</v>
      </c>
      <c r="N240" s="33">
        <v>1</v>
      </c>
      <c r="O240" s="33">
        <v>0</v>
      </c>
      <c r="P240" s="33">
        <v>0</v>
      </c>
      <c r="Q240" s="21">
        <v>43</v>
      </c>
      <c r="R240">
        <f t="shared" si="8"/>
        <v>40.791751097995345</v>
      </c>
      <c r="S240">
        <f t="shared" si="9"/>
        <v>125.62484344928856</v>
      </c>
    </row>
    <row r="241" spans="1:19">
      <c r="A241" s="32">
        <v>41328</v>
      </c>
      <c r="B241" s="42">
        <v>56</v>
      </c>
      <c r="C241" s="33">
        <v>1</v>
      </c>
      <c r="D241" s="33">
        <v>0</v>
      </c>
      <c r="E241" s="33">
        <v>0</v>
      </c>
      <c r="F241" s="33">
        <v>3</v>
      </c>
      <c r="G241" s="33">
        <v>2</v>
      </c>
      <c r="H241" s="33">
        <v>12</v>
      </c>
      <c r="I241" s="33">
        <v>0</v>
      </c>
      <c r="J241" s="33">
        <v>0</v>
      </c>
      <c r="K241" s="33">
        <v>0</v>
      </c>
      <c r="L241" s="33">
        <v>0</v>
      </c>
      <c r="M241" s="33">
        <v>0</v>
      </c>
      <c r="N241" s="33">
        <v>0</v>
      </c>
      <c r="O241" s="33">
        <v>1</v>
      </c>
      <c r="P241" s="33">
        <v>0</v>
      </c>
      <c r="Q241" s="21">
        <v>49</v>
      </c>
      <c r="R241">
        <f t="shared" si="8"/>
        <v>50.767751010558648</v>
      </c>
      <c r="S241">
        <f t="shared" si="9"/>
        <v>27.376429487510052</v>
      </c>
    </row>
    <row r="242" spans="1:19">
      <c r="A242" s="32">
        <v>41329</v>
      </c>
      <c r="B242" s="42">
        <v>58</v>
      </c>
      <c r="C242" s="33">
        <v>1</v>
      </c>
      <c r="D242" s="33">
        <v>0</v>
      </c>
      <c r="E242" s="33">
        <v>0</v>
      </c>
      <c r="F242" s="33">
        <v>2</v>
      </c>
      <c r="G242" s="33">
        <v>1</v>
      </c>
      <c r="H242" s="33">
        <v>6</v>
      </c>
      <c r="I242" s="33">
        <v>0</v>
      </c>
      <c r="J242" s="33">
        <v>0</v>
      </c>
      <c r="K242" s="33">
        <v>0</v>
      </c>
      <c r="L242" s="33">
        <v>0</v>
      </c>
      <c r="M242" s="33">
        <v>0</v>
      </c>
      <c r="N242" s="33">
        <v>0</v>
      </c>
      <c r="O242" s="33">
        <v>0</v>
      </c>
      <c r="P242" s="33">
        <v>0</v>
      </c>
      <c r="Q242" s="21">
        <v>47</v>
      </c>
      <c r="R242">
        <f t="shared" si="8"/>
        <v>42.315506167701088</v>
      </c>
      <c r="S242">
        <f t="shared" si="9"/>
        <v>246.00334677542261</v>
      </c>
    </row>
    <row r="243" spans="1:19">
      <c r="A243" s="32">
        <v>41330</v>
      </c>
      <c r="B243" s="42">
        <v>66</v>
      </c>
      <c r="C243" s="33">
        <v>1</v>
      </c>
      <c r="D243" s="33">
        <v>0</v>
      </c>
      <c r="E243" s="33">
        <v>0</v>
      </c>
      <c r="F243" s="33">
        <v>1</v>
      </c>
      <c r="G243" s="33">
        <v>1</v>
      </c>
      <c r="H243" s="33">
        <v>4</v>
      </c>
      <c r="I243" s="33">
        <v>0</v>
      </c>
      <c r="J243" s="33">
        <v>1</v>
      </c>
      <c r="K243" s="33">
        <v>0</v>
      </c>
      <c r="L243" s="33">
        <v>0</v>
      </c>
      <c r="M243" s="33">
        <v>0</v>
      </c>
      <c r="N243" s="33">
        <v>0</v>
      </c>
      <c r="O243" s="33">
        <v>0</v>
      </c>
      <c r="P243" s="33">
        <v>0</v>
      </c>
      <c r="Q243" s="21">
        <v>41</v>
      </c>
      <c r="R243">
        <f t="shared" si="8"/>
        <v>39.969885789988595</v>
      </c>
      <c r="S243">
        <f t="shared" si="9"/>
        <v>677.56684578623765</v>
      </c>
    </row>
    <row r="244" spans="1:19">
      <c r="A244" s="32">
        <v>41331</v>
      </c>
      <c r="B244" s="42">
        <v>61</v>
      </c>
      <c r="C244" s="33">
        <v>1</v>
      </c>
      <c r="D244" s="33">
        <v>0</v>
      </c>
      <c r="E244" s="33">
        <v>0</v>
      </c>
      <c r="F244" s="33">
        <v>1</v>
      </c>
      <c r="G244" s="33">
        <v>1</v>
      </c>
      <c r="H244" s="33">
        <v>4</v>
      </c>
      <c r="I244" s="33">
        <v>0</v>
      </c>
      <c r="J244" s="33">
        <v>0</v>
      </c>
      <c r="K244" s="33">
        <v>1</v>
      </c>
      <c r="L244" s="33">
        <v>0</v>
      </c>
      <c r="M244" s="33">
        <v>0</v>
      </c>
      <c r="N244" s="33">
        <v>0</v>
      </c>
      <c r="O244" s="33">
        <v>0</v>
      </c>
      <c r="P244" s="33">
        <v>0</v>
      </c>
      <c r="Q244" s="21">
        <v>40</v>
      </c>
      <c r="R244">
        <f t="shared" si="8"/>
        <v>39.403354160527584</v>
      </c>
      <c r="S244">
        <f t="shared" si="9"/>
        <v>466.41511151560121</v>
      </c>
    </row>
    <row r="245" spans="1:19">
      <c r="A245" s="32">
        <v>41332</v>
      </c>
      <c r="B245" s="42">
        <v>60</v>
      </c>
      <c r="C245" s="33">
        <v>1</v>
      </c>
      <c r="D245" s="33">
        <v>0</v>
      </c>
      <c r="E245" s="33">
        <v>0</v>
      </c>
      <c r="F245" s="33">
        <v>1</v>
      </c>
      <c r="G245" s="33">
        <v>1</v>
      </c>
      <c r="H245" s="33">
        <v>4</v>
      </c>
      <c r="I245" s="33">
        <v>0</v>
      </c>
      <c r="J245" s="33">
        <v>0</v>
      </c>
      <c r="K245" s="33">
        <v>0</v>
      </c>
      <c r="L245" s="33">
        <v>1</v>
      </c>
      <c r="M245" s="33">
        <v>0</v>
      </c>
      <c r="N245" s="33">
        <v>0</v>
      </c>
      <c r="O245" s="33">
        <v>0</v>
      </c>
      <c r="P245" s="33">
        <v>0</v>
      </c>
      <c r="Q245" s="21">
        <v>39</v>
      </c>
      <c r="R245">
        <f t="shared" si="8"/>
        <v>38.429322107386312</v>
      </c>
      <c r="S245">
        <f t="shared" si="9"/>
        <v>465.29414474689287</v>
      </c>
    </row>
    <row r="246" spans="1:19">
      <c r="A246" s="32">
        <v>41333</v>
      </c>
      <c r="B246" s="42">
        <v>66</v>
      </c>
      <c r="C246" s="33">
        <v>1</v>
      </c>
      <c r="D246" s="33">
        <v>0</v>
      </c>
      <c r="E246" s="33">
        <v>0</v>
      </c>
      <c r="F246" s="33">
        <v>2</v>
      </c>
      <c r="G246" s="33">
        <v>1</v>
      </c>
      <c r="H246" s="33">
        <v>6</v>
      </c>
      <c r="I246" s="33">
        <v>0</v>
      </c>
      <c r="J246" s="33">
        <v>0</v>
      </c>
      <c r="K246" s="33">
        <v>0</v>
      </c>
      <c r="L246" s="33">
        <v>0</v>
      </c>
      <c r="M246" s="33">
        <v>1</v>
      </c>
      <c r="N246" s="33">
        <v>0</v>
      </c>
      <c r="O246" s="33">
        <v>0</v>
      </c>
      <c r="P246" s="33">
        <v>0</v>
      </c>
      <c r="Q246" s="21">
        <v>36</v>
      </c>
      <c r="R246">
        <f t="shared" si="8"/>
        <v>39.148256391842956</v>
      </c>
      <c r="S246">
        <f t="shared" si="9"/>
        <v>721.01613479820264</v>
      </c>
    </row>
    <row r="247" spans="1:19">
      <c r="A247" s="32">
        <v>41334</v>
      </c>
      <c r="B247" s="42">
        <v>55</v>
      </c>
      <c r="C247" s="33">
        <v>1</v>
      </c>
      <c r="D247" s="33">
        <v>0</v>
      </c>
      <c r="E247" s="33">
        <v>0</v>
      </c>
      <c r="F247" s="33">
        <v>1</v>
      </c>
      <c r="G247" s="33">
        <v>1</v>
      </c>
      <c r="H247" s="33">
        <v>4</v>
      </c>
      <c r="I247" s="33">
        <v>0</v>
      </c>
      <c r="J247" s="33">
        <v>0</v>
      </c>
      <c r="K247" s="33">
        <v>0</v>
      </c>
      <c r="L247" s="33">
        <v>0</v>
      </c>
      <c r="M247" s="33">
        <v>0</v>
      </c>
      <c r="N247" s="33">
        <v>1</v>
      </c>
      <c r="O247" s="33">
        <v>0</v>
      </c>
      <c r="P247" s="33">
        <v>1</v>
      </c>
      <c r="Q247" s="21">
        <v>45</v>
      </c>
      <c r="R247">
        <f t="shared" si="8"/>
        <v>50.075220737387724</v>
      </c>
      <c r="S247">
        <f t="shared" si="9"/>
        <v>24.253450785455911</v>
      </c>
    </row>
    <row r="248" spans="1:19">
      <c r="A248" s="32">
        <v>41335</v>
      </c>
      <c r="B248" s="42">
        <v>58</v>
      </c>
      <c r="C248" s="33">
        <v>1</v>
      </c>
      <c r="D248" s="33">
        <v>0</v>
      </c>
      <c r="E248" s="33">
        <v>0</v>
      </c>
      <c r="F248" s="33">
        <v>2</v>
      </c>
      <c r="G248" s="33">
        <v>1</v>
      </c>
      <c r="H248" s="33">
        <v>6</v>
      </c>
      <c r="I248" s="33">
        <v>0</v>
      </c>
      <c r="J248" s="33">
        <v>0</v>
      </c>
      <c r="K248" s="33">
        <v>0</v>
      </c>
      <c r="L248" s="33">
        <v>0</v>
      </c>
      <c r="M248" s="33">
        <v>0</v>
      </c>
      <c r="N248" s="33">
        <v>0</v>
      </c>
      <c r="O248" s="33">
        <v>1</v>
      </c>
      <c r="P248" s="33">
        <v>1</v>
      </c>
      <c r="Q248" s="21">
        <v>37</v>
      </c>
      <c r="R248">
        <f t="shared" si="8"/>
        <v>47.398392836052977</v>
      </c>
      <c r="S248">
        <f t="shared" si="9"/>
        <v>112.39407445865284</v>
      </c>
    </row>
    <row r="249" spans="1:19">
      <c r="A249" s="32">
        <v>41336</v>
      </c>
      <c r="B249" s="42">
        <v>46</v>
      </c>
      <c r="C249" s="33">
        <v>1</v>
      </c>
      <c r="D249" s="33">
        <v>0</v>
      </c>
      <c r="E249" s="33">
        <v>0</v>
      </c>
      <c r="F249" s="33">
        <v>1</v>
      </c>
      <c r="G249" s="33">
        <v>1</v>
      </c>
      <c r="H249" s="33">
        <v>4</v>
      </c>
      <c r="I249" s="33">
        <v>0</v>
      </c>
      <c r="J249" s="33">
        <v>0</v>
      </c>
      <c r="K249" s="33">
        <v>0</v>
      </c>
      <c r="L249" s="33">
        <v>0</v>
      </c>
      <c r="M249" s="33">
        <v>0</v>
      </c>
      <c r="N249" s="33">
        <v>0</v>
      </c>
      <c r="O249" s="33">
        <v>0</v>
      </c>
      <c r="P249" s="33">
        <v>1</v>
      </c>
      <c r="Q249" s="21">
        <v>30</v>
      </c>
      <c r="R249">
        <f t="shared" si="8"/>
        <v>36.861768618185948</v>
      </c>
      <c r="S249">
        <f t="shared" si="9"/>
        <v>83.507272787571154</v>
      </c>
    </row>
    <row r="250" spans="1:19">
      <c r="A250" s="32">
        <v>41337</v>
      </c>
      <c r="B250" s="42">
        <v>50</v>
      </c>
      <c r="C250" s="33">
        <v>1</v>
      </c>
      <c r="D250" s="33">
        <v>0</v>
      </c>
      <c r="E250" s="33">
        <v>0</v>
      </c>
      <c r="F250" s="33">
        <v>0</v>
      </c>
      <c r="G250" s="33">
        <v>0</v>
      </c>
      <c r="H250" s="33">
        <v>1</v>
      </c>
      <c r="I250" s="33">
        <v>0</v>
      </c>
      <c r="J250" s="33">
        <v>1</v>
      </c>
      <c r="K250" s="33">
        <v>0</v>
      </c>
      <c r="L250" s="33">
        <v>0</v>
      </c>
      <c r="M250" s="33">
        <v>0</v>
      </c>
      <c r="N250" s="33">
        <v>0</v>
      </c>
      <c r="O250" s="33">
        <v>0</v>
      </c>
      <c r="P250" s="33">
        <v>1</v>
      </c>
      <c r="Q250" s="21">
        <v>29</v>
      </c>
      <c r="R250">
        <f t="shared" si="8"/>
        <v>34.338392907503447</v>
      </c>
      <c r="S250">
        <f t="shared" si="9"/>
        <v>245.28593671973832</v>
      </c>
    </row>
    <row r="251" spans="1:19">
      <c r="A251" s="32">
        <v>41338</v>
      </c>
      <c r="B251" s="42">
        <v>43</v>
      </c>
      <c r="C251" s="33">
        <v>1</v>
      </c>
      <c r="D251" s="33">
        <v>0</v>
      </c>
      <c r="E251" s="33">
        <v>0</v>
      </c>
      <c r="F251" s="33">
        <v>0</v>
      </c>
      <c r="G251" s="33">
        <v>0</v>
      </c>
      <c r="H251" s="33">
        <v>1</v>
      </c>
      <c r="I251" s="33">
        <v>0</v>
      </c>
      <c r="J251" s="33">
        <v>0</v>
      </c>
      <c r="K251" s="33">
        <v>1</v>
      </c>
      <c r="L251" s="33">
        <v>0</v>
      </c>
      <c r="M251" s="33">
        <v>0</v>
      </c>
      <c r="N251" s="33">
        <v>0</v>
      </c>
      <c r="O251" s="33">
        <v>0</v>
      </c>
      <c r="P251" s="33">
        <v>1</v>
      </c>
      <c r="Q251" s="21">
        <v>30</v>
      </c>
      <c r="R251">
        <f t="shared" si="8"/>
        <v>34.922112816729566</v>
      </c>
      <c r="S251">
        <f t="shared" si="9"/>
        <v>65.25226134564474</v>
      </c>
    </row>
    <row r="252" spans="1:19">
      <c r="A252" s="32">
        <v>41339</v>
      </c>
      <c r="B252" s="42">
        <v>34</v>
      </c>
      <c r="C252" s="33">
        <v>1</v>
      </c>
      <c r="D252" s="33">
        <v>0</v>
      </c>
      <c r="E252" s="33">
        <v>0</v>
      </c>
      <c r="F252" s="33">
        <v>0</v>
      </c>
      <c r="G252" s="33">
        <v>0</v>
      </c>
      <c r="H252" s="33">
        <v>1</v>
      </c>
      <c r="I252" s="33">
        <v>0</v>
      </c>
      <c r="J252" s="33">
        <v>0</v>
      </c>
      <c r="K252" s="33">
        <v>0</v>
      </c>
      <c r="L252" s="33">
        <v>1</v>
      </c>
      <c r="M252" s="33">
        <v>0</v>
      </c>
      <c r="N252" s="33">
        <v>0</v>
      </c>
      <c r="O252" s="33">
        <v>0</v>
      </c>
      <c r="P252" s="33">
        <v>1</v>
      </c>
      <c r="Q252" s="21">
        <v>38</v>
      </c>
      <c r="R252">
        <f t="shared" si="8"/>
        <v>39.124212687680398</v>
      </c>
      <c r="S252">
        <f t="shared" si="9"/>
        <v>26.257555668584768</v>
      </c>
    </row>
    <row r="253" spans="1:19">
      <c r="A253" s="32">
        <v>41340</v>
      </c>
      <c r="B253" s="42">
        <v>40</v>
      </c>
      <c r="C253" s="33">
        <v>1</v>
      </c>
      <c r="D253" s="33">
        <v>0</v>
      </c>
      <c r="E253" s="33">
        <v>0</v>
      </c>
      <c r="F253" s="33">
        <v>0</v>
      </c>
      <c r="G253" s="33">
        <v>0</v>
      </c>
      <c r="H253" s="33">
        <v>1</v>
      </c>
      <c r="I253" s="33">
        <v>0</v>
      </c>
      <c r="J253" s="33">
        <v>0</v>
      </c>
      <c r="K253" s="33">
        <v>0</v>
      </c>
      <c r="L253" s="33">
        <v>0</v>
      </c>
      <c r="M253" s="33">
        <v>1</v>
      </c>
      <c r="N253" s="33">
        <v>0</v>
      </c>
      <c r="O253" s="33">
        <v>0</v>
      </c>
      <c r="P253" s="33">
        <v>1</v>
      </c>
      <c r="Q253" s="21">
        <v>32</v>
      </c>
      <c r="R253">
        <f t="shared" si="8"/>
        <v>34.307952092726595</v>
      </c>
      <c r="S253">
        <f t="shared" si="9"/>
        <v>32.399409378695552</v>
      </c>
    </row>
    <row r="254" spans="1:19">
      <c r="A254" s="32">
        <v>41341</v>
      </c>
      <c r="B254" s="42">
        <v>46</v>
      </c>
      <c r="C254" s="33">
        <v>1</v>
      </c>
      <c r="D254" s="33">
        <v>0</v>
      </c>
      <c r="E254" s="33">
        <v>0</v>
      </c>
      <c r="F254" s="33">
        <v>0</v>
      </c>
      <c r="G254" s="33">
        <v>0</v>
      </c>
      <c r="H254" s="33">
        <v>1</v>
      </c>
      <c r="I254" s="33">
        <v>0</v>
      </c>
      <c r="J254" s="33">
        <v>0</v>
      </c>
      <c r="K254" s="33">
        <v>0</v>
      </c>
      <c r="L254" s="33">
        <v>0</v>
      </c>
      <c r="M254" s="33">
        <v>0</v>
      </c>
      <c r="N254" s="33">
        <v>1</v>
      </c>
      <c r="O254" s="33">
        <v>0</v>
      </c>
      <c r="P254" s="33">
        <v>1</v>
      </c>
      <c r="Q254" s="21">
        <v>33</v>
      </c>
      <c r="R254">
        <f t="shared" si="8"/>
        <v>36.310509754197327</v>
      </c>
      <c r="S254">
        <f t="shared" si="9"/>
        <v>93.88622122350516</v>
      </c>
    </row>
    <row r="255" spans="1:19">
      <c r="A255" s="32">
        <v>41342</v>
      </c>
      <c r="B255" s="42">
        <v>45</v>
      </c>
      <c r="C255" s="33">
        <v>1</v>
      </c>
      <c r="D255" s="33">
        <v>0</v>
      </c>
      <c r="E255" s="33">
        <v>0</v>
      </c>
      <c r="F255" s="33">
        <v>1</v>
      </c>
      <c r="G255" s="33">
        <v>1</v>
      </c>
      <c r="H255" s="33">
        <v>4</v>
      </c>
      <c r="I255" s="33">
        <v>0</v>
      </c>
      <c r="J255" s="33">
        <v>0</v>
      </c>
      <c r="K255" s="33">
        <v>0</v>
      </c>
      <c r="L255" s="33">
        <v>0</v>
      </c>
      <c r="M255" s="33">
        <v>0</v>
      </c>
      <c r="N255" s="33">
        <v>0</v>
      </c>
      <c r="O255" s="33">
        <v>1</v>
      </c>
      <c r="P255" s="33">
        <v>1</v>
      </c>
      <c r="Q255" s="21">
        <v>30</v>
      </c>
      <c r="R255">
        <f t="shared" si="8"/>
        <v>39.56269487926825</v>
      </c>
      <c r="S255">
        <f t="shared" si="9"/>
        <v>29.564286975935712</v>
      </c>
    </row>
    <row r="256" spans="1:19">
      <c r="A256" s="32">
        <v>41343</v>
      </c>
      <c r="B256" s="42">
        <v>50</v>
      </c>
      <c r="C256" s="33">
        <v>1</v>
      </c>
      <c r="D256" s="33">
        <v>0</v>
      </c>
      <c r="E256" s="33">
        <v>0</v>
      </c>
      <c r="F256" s="33">
        <v>1</v>
      </c>
      <c r="G256" s="33">
        <v>1</v>
      </c>
      <c r="H256" s="33">
        <v>4</v>
      </c>
      <c r="I256" s="33">
        <v>0</v>
      </c>
      <c r="J256" s="33">
        <v>0</v>
      </c>
      <c r="K256" s="33">
        <v>0</v>
      </c>
      <c r="L256" s="33">
        <v>0</v>
      </c>
      <c r="M256" s="33">
        <v>0</v>
      </c>
      <c r="N256" s="33">
        <v>0</v>
      </c>
      <c r="O256" s="33">
        <v>0</v>
      </c>
      <c r="P256" s="33">
        <v>1</v>
      </c>
      <c r="Q256" s="21">
        <v>28</v>
      </c>
      <c r="R256">
        <f t="shared" si="8"/>
        <v>35.711517079498819</v>
      </c>
      <c r="S256">
        <f t="shared" si="9"/>
        <v>204.16074416945398</v>
      </c>
    </row>
    <row r="257" spans="1:19">
      <c r="A257" s="32">
        <v>41344</v>
      </c>
      <c r="B257" s="42">
        <v>50</v>
      </c>
      <c r="C257" s="33">
        <v>1</v>
      </c>
      <c r="D257" s="33">
        <v>0</v>
      </c>
      <c r="E257" s="33">
        <v>0</v>
      </c>
      <c r="F257" s="33">
        <v>0</v>
      </c>
      <c r="G257" s="33">
        <v>0</v>
      </c>
      <c r="H257" s="33">
        <v>1</v>
      </c>
      <c r="I257" s="33">
        <v>0</v>
      </c>
      <c r="J257" s="33">
        <v>1</v>
      </c>
      <c r="K257" s="33">
        <v>0</v>
      </c>
      <c r="L257" s="33">
        <v>0</v>
      </c>
      <c r="M257" s="33">
        <v>0</v>
      </c>
      <c r="N257" s="33">
        <v>0</v>
      </c>
      <c r="O257" s="33">
        <v>0</v>
      </c>
      <c r="P257" s="33">
        <v>1</v>
      </c>
      <c r="Q257" s="21">
        <v>31</v>
      </c>
      <c r="R257">
        <f t="shared" si="8"/>
        <v>35.488644446190577</v>
      </c>
      <c r="S257">
        <f t="shared" si="9"/>
        <v>210.5794400090756</v>
      </c>
    </row>
    <row r="258" spans="1:19">
      <c r="A258" s="32">
        <v>41345</v>
      </c>
      <c r="B258" s="42">
        <v>53</v>
      </c>
      <c r="C258" s="33">
        <v>1</v>
      </c>
      <c r="D258" s="33">
        <v>0</v>
      </c>
      <c r="E258" s="33">
        <v>0</v>
      </c>
      <c r="F258" s="33">
        <v>0</v>
      </c>
      <c r="G258" s="33">
        <v>0</v>
      </c>
      <c r="H258" s="33">
        <v>1</v>
      </c>
      <c r="I258" s="33">
        <v>0</v>
      </c>
      <c r="J258" s="33">
        <v>0</v>
      </c>
      <c r="K258" s="33">
        <v>1</v>
      </c>
      <c r="L258" s="33">
        <v>0</v>
      </c>
      <c r="M258" s="33">
        <v>0</v>
      </c>
      <c r="N258" s="33">
        <v>0</v>
      </c>
      <c r="O258" s="33">
        <v>0</v>
      </c>
      <c r="P258" s="33">
        <v>1</v>
      </c>
      <c r="Q258" s="21">
        <v>35</v>
      </c>
      <c r="R258">
        <f t="shared" si="8"/>
        <v>37.797741663447397</v>
      </c>
      <c r="S258">
        <f t="shared" si="9"/>
        <v>231.10865853128311</v>
      </c>
    </row>
    <row r="259" spans="1:19">
      <c r="A259" s="32">
        <v>41346</v>
      </c>
      <c r="B259" s="42">
        <v>49</v>
      </c>
      <c r="C259" s="33">
        <v>1</v>
      </c>
      <c r="D259" s="33">
        <v>0</v>
      </c>
      <c r="E259" s="33">
        <v>0</v>
      </c>
      <c r="F259" s="33">
        <v>0</v>
      </c>
      <c r="G259" s="33">
        <v>0</v>
      </c>
      <c r="H259" s="33">
        <v>1</v>
      </c>
      <c r="I259" s="33">
        <v>0</v>
      </c>
      <c r="J259" s="33">
        <v>0</v>
      </c>
      <c r="K259" s="33">
        <v>0</v>
      </c>
      <c r="L259" s="33">
        <v>1</v>
      </c>
      <c r="M259" s="33">
        <v>0</v>
      </c>
      <c r="N259" s="33">
        <v>0</v>
      </c>
      <c r="O259" s="33">
        <v>0</v>
      </c>
      <c r="P259" s="33">
        <v>1</v>
      </c>
      <c r="Q259" s="21">
        <v>30</v>
      </c>
      <c r="R259">
        <f t="shared" si="8"/>
        <v>34.523206532931866</v>
      </c>
      <c r="S259">
        <f t="shared" si="9"/>
        <v>209.57754908814661</v>
      </c>
    </row>
    <row r="260" spans="1:19">
      <c r="A260" s="32">
        <v>41347</v>
      </c>
      <c r="B260" s="42">
        <v>43</v>
      </c>
      <c r="C260" s="33">
        <v>1</v>
      </c>
      <c r="D260" s="33">
        <v>0</v>
      </c>
      <c r="E260" s="33">
        <v>0</v>
      </c>
      <c r="F260" s="33">
        <v>0</v>
      </c>
      <c r="G260" s="33">
        <v>0</v>
      </c>
      <c r="H260" s="33">
        <v>1</v>
      </c>
      <c r="I260" s="33">
        <v>0</v>
      </c>
      <c r="J260" s="33">
        <v>0</v>
      </c>
      <c r="K260" s="33">
        <v>0</v>
      </c>
      <c r="L260" s="33">
        <v>0</v>
      </c>
      <c r="M260" s="33">
        <v>1</v>
      </c>
      <c r="N260" s="33">
        <v>0</v>
      </c>
      <c r="O260" s="33">
        <v>0</v>
      </c>
      <c r="P260" s="33">
        <v>1</v>
      </c>
      <c r="Q260" s="21">
        <v>36</v>
      </c>
      <c r="R260">
        <f t="shared" si="8"/>
        <v>36.608455170100854</v>
      </c>
      <c r="S260">
        <f t="shared" si="9"/>
        <v>40.851845312610507</v>
      </c>
    </row>
    <row r="261" spans="1:19">
      <c r="A261" s="32">
        <v>41348</v>
      </c>
      <c r="B261" s="42">
        <v>73</v>
      </c>
      <c r="C261" s="33">
        <v>1</v>
      </c>
      <c r="D261" s="33">
        <v>0</v>
      </c>
      <c r="E261" s="33">
        <v>0</v>
      </c>
      <c r="F261" s="33">
        <v>2</v>
      </c>
      <c r="G261" s="33">
        <v>1</v>
      </c>
      <c r="H261" s="33">
        <v>6</v>
      </c>
      <c r="I261" s="33">
        <v>0</v>
      </c>
      <c r="J261" s="33">
        <v>0</v>
      </c>
      <c r="K261" s="33">
        <v>0</v>
      </c>
      <c r="L261" s="33">
        <v>0</v>
      </c>
      <c r="M261" s="33">
        <v>0</v>
      </c>
      <c r="N261" s="33">
        <v>1</v>
      </c>
      <c r="O261" s="33">
        <v>0</v>
      </c>
      <c r="P261" s="33">
        <v>1</v>
      </c>
      <c r="Q261" s="21">
        <v>50</v>
      </c>
      <c r="R261">
        <f t="shared" ref="R261:R324" si="10">SUMPRODUCT($C$2:$Q$2,C261:Q261)</f>
        <v>56.760667155485315</v>
      </c>
      <c r="S261">
        <f t="shared" ref="S261:S324" si="11">(R261-B261)^2</f>
        <v>263.71593123493341</v>
      </c>
    </row>
    <row r="262" spans="1:19">
      <c r="A262" s="32">
        <v>41349</v>
      </c>
      <c r="B262" s="42">
        <v>66</v>
      </c>
      <c r="C262" s="33">
        <v>1</v>
      </c>
      <c r="D262" s="33">
        <v>0</v>
      </c>
      <c r="E262" s="33">
        <v>0</v>
      </c>
      <c r="F262" s="33">
        <v>3</v>
      </c>
      <c r="G262" s="33">
        <v>2</v>
      </c>
      <c r="H262" s="33">
        <v>12</v>
      </c>
      <c r="I262" s="33">
        <v>0</v>
      </c>
      <c r="J262" s="33">
        <v>0</v>
      </c>
      <c r="K262" s="33">
        <v>0</v>
      </c>
      <c r="L262" s="33">
        <v>0</v>
      </c>
      <c r="M262" s="33">
        <v>0</v>
      </c>
      <c r="N262" s="33">
        <v>0</v>
      </c>
      <c r="O262" s="33">
        <v>1</v>
      </c>
      <c r="P262" s="33">
        <v>1</v>
      </c>
      <c r="Q262" s="21">
        <v>58</v>
      </c>
      <c r="R262">
        <f t="shared" si="10"/>
        <v>64.077101035355994</v>
      </c>
      <c r="S262">
        <f t="shared" si="11"/>
        <v>3.6975404282289888</v>
      </c>
    </row>
    <row r="263" spans="1:19">
      <c r="A263" s="32">
        <v>41350</v>
      </c>
      <c r="B263" s="42">
        <v>59</v>
      </c>
      <c r="C263" s="33">
        <v>1</v>
      </c>
      <c r="D263" s="33">
        <v>0</v>
      </c>
      <c r="E263" s="33">
        <v>0</v>
      </c>
      <c r="F263" s="33">
        <v>2</v>
      </c>
      <c r="G263" s="33">
        <v>2</v>
      </c>
      <c r="H263" s="33">
        <v>9</v>
      </c>
      <c r="I263" s="33">
        <v>0</v>
      </c>
      <c r="J263" s="33">
        <v>0</v>
      </c>
      <c r="K263" s="33">
        <v>0</v>
      </c>
      <c r="L263" s="33">
        <v>0</v>
      </c>
      <c r="M263" s="33">
        <v>0</v>
      </c>
      <c r="N263" s="33">
        <v>0</v>
      </c>
      <c r="O263" s="33">
        <v>0</v>
      </c>
      <c r="P263" s="33">
        <v>1</v>
      </c>
      <c r="Q263" s="21">
        <v>45</v>
      </c>
      <c r="R263">
        <f t="shared" si="10"/>
        <v>50.843767104087398</v>
      </c>
      <c r="S263">
        <f t="shared" si="11"/>
        <v>66.524135052366873</v>
      </c>
    </row>
    <row r="264" spans="1:19">
      <c r="A264" s="32">
        <v>41351</v>
      </c>
      <c r="B264" s="42">
        <v>73</v>
      </c>
      <c r="C264" s="33">
        <v>1</v>
      </c>
      <c r="D264" s="33">
        <v>0</v>
      </c>
      <c r="E264" s="33">
        <v>0</v>
      </c>
      <c r="F264" s="33">
        <v>2</v>
      </c>
      <c r="G264" s="33">
        <v>2</v>
      </c>
      <c r="H264" s="33">
        <v>9</v>
      </c>
      <c r="I264" s="33">
        <v>0</v>
      </c>
      <c r="J264" s="33">
        <v>1</v>
      </c>
      <c r="K264" s="33">
        <v>0</v>
      </c>
      <c r="L264" s="33">
        <v>0</v>
      </c>
      <c r="M264" s="33">
        <v>0</v>
      </c>
      <c r="N264" s="33">
        <v>0</v>
      </c>
      <c r="O264" s="33">
        <v>0</v>
      </c>
      <c r="P264" s="33">
        <v>1</v>
      </c>
      <c r="Q264" s="21">
        <v>48</v>
      </c>
      <c r="R264">
        <f t="shared" si="10"/>
        <v>57.484096221846762</v>
      </c>
      <c r="S264">
        <f t="shared" si="11"/>
        <v>240.74327005290991</v>
      </c>
    </row>
    <row r="265" spans="1:19">
      <c r="A265" s="32">
        <v>41352</v>
      </c>
      <c r="B265" s="42">
        <v>68</v>
      </c>
      <c r="C265" s="33">
        <v>1</v>
      </c>
      <c r="D265" s="33">
        <v>0</v>
      </c>
      <c r="E265" s="33">
        <v>0</v>
      </c>
      <c r="F265" s="33">
        <v>2</v>
      </c>
      <c r="G265" s="33">
        <v>2</v>
      </c>
      <c r="H265" s="33">
        <v>9</v>
      </c>
      <c r="I265" s="33">
        <v>0</v>
      </c>
      <c r="J265" s="33">
        <v>0</v>
      </c>
      <c r="K265" s="33">
        <v>1</v>
      </c>
      <c r="L265" s="33">
        <v>0</v>
      </c>
      <c r="M265" s="33">
        <v>0</v>
      </c>
      <c r="N265" s="33">
        <v>0</v>
      </c>
      <c r="O265" s="33">
        <v>0</v>
      </c>
      <c r="P265" s="33">
        <v>1</v>
      </c>
      <c r="Q265" s="21">
        <v>51</v>
      </c>
      <c r="R265">
        <f t="shared" si="10"/>
        <v>59.218067669760018</v>
      </c>
      <c r="S265">
        <f t="shared" si="11"/>
        <v>77.122335452914243</v>
      </c>
    </row>
    <row r="266" spans="1:19">
      <c r="A266" s="32">
        <v>41353</v>
      </c>
      <c r="B266" s="42">
        <v>74</v>
      </c>
      <c r="C266" s="33">
        <v>1</v>
      </c>
      <c r="D266" s="33">
        <v>0</v>
      </c>
      <c r="E266" s="33">
        <v>0</v>
      </c>
      <c r="F266" s="33">
        <v>5</v>
      </c>
      <c r="G266" s="33">
        <v>4</v>
      </c>
      <c r="H266" s="33">
        <v>30</v>
      </c>
      <c r="I266" s="33">
        <v>1</v>
      </c>
      <c r="J266" s="33">
        <v>0</v>
      </c>
      <c r="K266" s="33">
        <v>0</v>
      </c>
      <c r="L266" s="33">
        <v>1</v>
      </c>
      <c r="M266" s="33">
        <v>0</v>
      </c>
      <c r="N266" s="33">
        <v>0</v>
      </c>
      <c r="O266" s="33">
        <v>0</v>
      </c>
      <c r="P266" s="33">
        <v>1</v>
      </c>
      <c r="Q266" s="21">
        <v>60</v>
      </c>
      <c r="R266">
        <f t="shared" si="10"/>
        <v>70.762799999337972</v>
      </c>
      <c r="S266">
        <f t="shared" si="11"/>
        <v>10.479463844286236</v>
      </c>
    </row>
    <row r="267" spans="1:19">
      <c r="A267" s="32">
        <v>41354</v>
      </c>
      <c r="B267" s="42">
        <v>71</v>
      </c>
      <c r="C267" s="33">
        <v>1</v>
      </c>
      <c r="D267" s="33">
        <v>0</v>
      </c>
      <c r="E267" s="33">
        <v>0</v>
      </c>
      <c r="F267" s="33">
        <v>5</v>
      </c>
      <c r="G267" s="33">
        <v>4</v>
      </c>
      <c r="H267" s="33">
        <v>30</v>
      </c>
      <c r="I267" s="33">
        <v>0</v>
      </c>
      <c r="J267" s="33">
        <v>0</v>
      </c>
      <c r="K267" s="33">
        <v>0</v>
      </c>
      <c r="L267" s="33">
        <v>0</v>
      </c>
      <c r="M267" s="33">
        <v>1</v>
      </c>
      <c r="N267" s="33">
        <v>0</v>
      </c>
      <c r="O267" s="33">
        <v>0</v>
      </c>
      <c r="P267" s="33">
        <v>1</v>
      </c>
      <c r="Q267" s="21">
        <v>49</v>
      </c>
      <c r="R267">
        <f t="shared" si="10"/>
        <v>64.037041207319973</v>
      </c>
      <c r="S267">
        <f t="shared" si="11"/>
        <v>48.482795148560101</v>
      </c>
    </row>
    <row r="268" spans="1:19">
      <c r="A268" s="32">
        <v>41355</v>
      </c>
      <c r="B268" s="42">
        <v>65</v>
      </c>
      <c r="C268" s="33">
        <v>1</v>
      </c>
      <c r="D268" s="33">
        <v>0</v>
      </c>
      <c r="E268" s="33">
        <v>0</v>
      </c>
      <c r="F268" s="33">
        <v>4</v>
      </c>
      <c r="G268" s="33">
        <v>3</v>
      </c>
      <c r="H268" s="33">
        <v>20</v>
      </c>
      <c r="I268" s="33">
        <v>0</v>
      </c>
      <c r="J268" s="33">
        <v>0</v>
      </c>
      <c r="K268" s="33">
        <v>0</v>
      </c>
      <c r="L268" s="33">
        <v>0</v>
      </c>
      <c r="M268" s="33">
        <v>0</v>
      </c>
      <c r="N268" s="33">
        <v>1</v>
      </c>
      <c r="O268" s="33">
        <v>0</v>
      </c>
      <c r="P268" s="33">
        <v>1</v>
      </c>
      <c r="Q268" s="21">
        <v>47</v>
      </c>
      <c r="R268">
        <f t="shared" si="10"/>
        <v>62.729334128311194</v>
      </c>
      <c r="S268">
        <f t="shared" si="11"/>
        <v>5.1559235008522837</v>
      </c>
    </row>
    <row r="269" spans="1:19">
      <c r="A269" s="32">
        <v>41356</v>
      </c>
      <c r="B269" s="42">
        <v>60</v>
      </c>
      <c r="C269" s="33">
        <v>1</v>
      </c>
      <c r="D269" s="33">
        <v>0</v>
      </c>
      <c r="E269" s="33">
        <v>0</v>
      </c>
      <c r="F269" s="33">
        <v>5</v>
      </c>
      <c r="G269" s="33">
        <v>4</v>
      </c>
      <c r="H269" s="33">
        <v>30</v>
      </c>
      <c r="I269" s="33">
        <v>0</v>
      </c>
      <c r="J269" s="33">
        <v>0</v>
      </c>
      <c r="K269" s="33">
        <v>0</v>
      </c>
      <c r="L269" s="33">
        <v>0</v>
      </c>
      <c r="M269" s="33">
        <v>0</v>
      </c>
      <c r="N269" s="33">
        <v>0</v>
      </c>
      <c r="O269" s="33">
        <v>1</v>
      </c>
      <c r="P269" s="33">
        <v>1</v>
      </c>
      <c r="Q269" s="21">
        <v>55</v>
      </c>
      <c r="R269">
        <f t="shared" si="10"/>
        <v>67.029588397542568</v>
      </c>
      <c r="S269">
        <f t="shared" si="11"/>
        <v>49.415113038865094</v>
      </c>
    </row>
    <row r="270" spans="1:19">
      <c r="A270" s="32">
        <v>41357</v>
      </c>
      <c r="B270" s="42">
        <v>66</v>
      </c>
      <c r="C270" s="33">
        <v>1</v>
      </c>
      <c r="D270" s="33">
        <v>0</v>
      </c>
      <c r="E270" s="33">
        <v>0</v>
      </c>
      <c r="F270" s="33">
        <v>4</v>
      </c>
      <c r="G270" s="33">
        <v>3</v>
      </c>
      <c r="H270" s="33">
        <v>20</v>
      </c>
      <c r="I270" s="33">
        <v>0</v>
      </c>
      <c r="J270" s="33">
        <v>0</v>
      </c>
      <c r="K270" s="33">
        <v>0</v>
      </c>
      <c r="L270" s="33">
        <v>0</v>
      </c>
      <c r="M270" s="33">
        <v>0</v>
      </c>
      <c r="N270" s="33">
        <v>0</v>
      </c>
      <c r="O270" s="33">
        <v>0</v>
      </c>
      <c r="P270" s="33">
        <v>1</v>
      </c>
      <c r="Q270" s="21">
        <v>49</v>
      </c>
      <c r="R270">
        <f t="shared" si="10"/>
        <v>59.293020087950048</v>
      </c>
      <c r="S270">
        <f t="shared" si="11"/>
        <v>44.983579540641585</v>
      </c>
    </row>
    <row r="271" spans="1:19">
      <c r="A271" s="32">
        <v>41358</v>
      </c>
      <c r="B271" s="42">
        <v>76</v>
      </c>
      <c r="C271" s="33">
        <v>1</v>
      </c>
      <c r="D271" s="33">
        <v>0</v>
      </c>
      <c r="E271" s="33">
        <v>0</v>
      </c>
      <c r="F271" s="33">
        <v>3</v>
      </c>
      <c r="G271" s="33">
        <v>3</v>
      </c>
      <c r="H271" s="33">
        <v>16</v>
      </c>
      <c r="I271" s="33">
        <v>0</v>
      </c>
      <c r="J271" s="33">
        <v>1</v>
      </c>
      <c r="K271" s="33">
        <v>0</v>
      </c>
      <c r="L271" s="33">
        <v>0</v>
      </c>
      <c r="M271" s="33">
        <v>0</v>
      </c>
      <c r="N271" s="33">
        <v>0</v>
      </c>
      <c r="O271" s="33">
        <v>0</v>
      </c>
      <c r="P271" s="33">
        <v>1</v>
      </c>
      <c r="Q271" s="21">
        <v>69</v>
      </c>
      <c r="R271">
        <f t="shared" si="10"/>
        <v>73.408759518489973</v>
      </c>
      <c r="S271">
        <f t="shared" si="11"/>
        <v>6.7145272330163186</v>
      </c>
    </row>
    <row r="272" spans="1:19">
      <c r="A272" s="32">
        <v>41359</v>
      </c>
      <c r="B272" s="42">
        <v>81</v>
      </c>
      <c r="C272" s="33">
        <v>1</v>
      </c>
      <c r="D272" s="33">
        <v>0</v>
      </c>
      <c r="E272" s="33">
        <v>0</v>
      </c>
      <c r="F272" s="33">
        <v>3</v>
      </c>
      <c r="G272" s="33">
        <v>3</v>
      </c>
      <c r="H272" s="33">
        <v>16</v>
      </c>
      <c r="I272" s="33">
        <v>0</v>
      </c>
      <c r="J272" s="33">
        <v>0</v>
      </c>
      <c r="K272" s="33">
        <v>1</v>
      </c>
      <c r="L272" s="33">
        <v>0</v>
      </c>
      <c r="M272" s="33">
        <v>0</v>
      </c>
      <c r="N272" s="33">
        <v>0</v>
      </c>
      <c r="O272" s="33">
        <v>0</v>
      </c>
      <c r="P272" s="33">
        <v>1</v>
      </c>
      <c r="Q272" s="21">
        <v>88</v>
      </c>
      <c r="R272">
        <f t="shared" si="10"/>
        <v>84.344743275900285</v>
      </c>
      <c r="S272">
        <f t="shared" si="11"/>
        <v>11.187307581680171</v>
      </c>
    </row>
    <row r="273" spans="1:19">
      <c r="A273" s="32">
        <v>41360</v>
      </c>
      <c r="B273" s="42">
        <v>74</v>
      </c>
      <c r="C273" s="33">
        <v>1</v>
      </c>
      <c r="D273" s="33">
        <v>0</v>
      </c>
      <c r="E273" s="33">
        <v>0</v>
      </c>
      <c r="F273" s="33">
        <v>4</v>
      </c>
      <c r="G273" s="33">
        <v>3</v>
      </c>
      <c r="H273" s="33">
        <v>20</v>
      </c>
      <c r="I273" s="33">
        <v>0</v>
      </c>
      <c r="J273" s="33">
        <v>0</v>
      </c>
      <c r="K273" s="33">
        <v>0</v>
      </c>
      <c r="L273" s="33">
        <v>1</v>
      </c>
      <c r="M273" s="33">
        <v>0</v>
      </c>
      <c r="N273" s="33">
        <v>0</v>
      </c>
      <c r="O273" s="33">
        <v>0</v>
      </c>
      <c r="P273" s="33">
        <v>1</v>
      </c>
      <c r="Q273" s="21">
        <v>66</v>
      </c>
      <c r="R273">
        <f t="shared" si="10"/>
        <v>73.5947978326042</v>
      </c>
      <c r="S273">
        <f t="shared" si="11"/>
        <v>0.16418879646225351</v>
      </c>
    </row>
    <row r="274" spans="1:19">
      <c r="A274" s="32">
        <v>41361</v>
      </c>
      <c r="B274" s="42">
        <v>83</v>
      </c>
      <c r="C274" s="33">
        <v>1</v>
      </c>
      <c r="D274" s="33">
        <v>0</v>
      </c>
      <c r="E274" s="33">
        <v>0</v>
      </c>
      <c r="F274" s="33">
        <v>4</v>
      </c>
      <c r="G274" s="33">
        <v>4</v>
      </c>
      <c r="H274" s="33">
        <v>25</v>
      </c>
      <c r="I274" s="33">
        <v>0</v>
      </c>
      <c r="J274" s="33">
        <v>0</v>
      </c>
      <c r="K274" s="33">
        <v>0</v>
      </c>
      <c r="L274" s="33">
        <v>0</v>
      </c>
      <c r="M274" s="33">
        <v>1</v>
      </c>
      <c r="N274" s="33">
        <v>0</v>
      </c>
      <c r="O274" s="33">
        <v>0</v>
      </c>
      <c r="P274" s="33">
        <v>1</v>
      </c>
      <c r="Q274" s="21">
        <v>63</v>
      </c>
      <c r="R274">
        <f t="shared" si="10"/>
        <v>70.541119114729639</v>
      </c>
      <c r="S274">
        <f t="shared" si="11"/>
        <v>155.22371291335517</v>
      </c>
    </row>
    <row r="275" spans="1:19">
      <c r="A275" s="32">
        <v>41362</v>
      </c>
      <c r="B275" s="42">
        <v>71</v>
      </c>
      <c r="C275" s="33">
        <v>1</v>
      </c>
      <c r="D275" s="33">
        <v>0</v>
      </c>
      <c r="E275" s="33">
        <v>0</v>
      </c>
      <c r="F275" s="33">
        <v>4</v>
      </c>
      <c r="G275" s="33">
        <v>4</v>
      </c>
      <c r="H275" s="33">
        <v>25</v>
      </c>
      <c r="I275" s="33">
        <v>0</v>
      </c>
      <c r="J275" s="33">
        <v>0</v>
      </c>
      <c r="K275" s="33">
        <v>0</v>
      </c>
      <c r="L275" s="33">
        <v>0</v>
      </c>
      <c r="M275" s="33">
        <v>0</v>
      </c>
      <c r="N275" s="33">
        <v>1</v>
      </c>
      <c r="O275" s="33">
        <v>0</v>
      </c>
      <c r="P275" s="33">
        <v>1</v>
      </c>
      <c r="Q275" s="21">
        <v>69</v>
      </c>
      <c r="R275">
        <f t="shared" si="10"/>
        <v>75.419305622918216</v>
      </c>
      <c r="S275">
        <f t="shared" si="11"/>
        <v>19.530262188756563</v>
      </c>
    </row>
    <row r="276" spans="1:19">
      <c r="A276" s="32">
        <v>41363</v>
      </c>
      <c r="B276" s="42">
        <v>84</v>
      </c>
      <c r="C276" s="33">
        <v>1</v>
      </c>
      <c r="D276" s="33">
        <v>0</v>
      </c>
      <c r="E276" s="33">
        <v>0</v>
      </c>
      <c r="F276" s="33">
        <v>5</v>
      </c>
      <c r="G276" s="33">
        <v>5</v>
      </c>
      <c r="H276" s="33">
        <v>36</v>
      </c>
      <c r="I276" s="33">
        <v>0</v>
      </c>
      <c r="J276" s="33">
        <v>0</v>
      </c>
      <c r="K276" s="33">
        <v>0</v>
      </c>
      <c r="L276" s="33">
        <v>0</v>
      </c>
      <c r="M276" s="33">
        <v>0</v>
      </c>
      <c r="N276" s="33">
        <v>0</v>
      </c>
      <c r="O276" s="33">
        <v>1</v>
      </c>
      <c r="P276" s="33">
        <v>1</v>
      </c>
      <c r="Q276" s="21">
        <v>63</v>
      </c>
      <c r="R276">
        <f t="shared" si="10"/>
        <v>70.913754218679813</v>
      </c>
      <c r="S276">
        <f t="shared" si="11"/>
        <v>171.24982864912039</v>
      </c>
    </row>
    <row r="277" spans="1:19">
      <c r="A277" s="32">
        <v>41364</v>
      </c>
      <c r="B277" s="42">
        <v>69</v>
      </c>
      <c r="C277" s="33">
        <v>1</v>
      </c>
      <c r="D277" s="33">
        <v>0</v>
      </c>
      <c r="E277" s="33">
        <v>0</v>
      </c>
      <c r="F277" s="33">
        <v>5</v>
      </c>
      <c r="G277" s="33">
        <v>4</v>
      </c>
      <c r="H277" s="33">
        <v>30</v>
      </c>
      <c r="I277" s="33">
        <v>0</v>
      </c>
      <c r="J277" s="33">
        <v>0</v>
      </c>
      <c r="K277" s="33">
        <v>0</v>
      </c>
      <c r="L277" s="33">
        <v>0</v>
      </c>
      <c r="M277" s="33">
        <v>0</v>
      </c>
      <c r="N277" s="33">
        <v>0</v>
      </c>
      <c r="O277" s="33">
        <v>0</v>
      </c>
      <c r="P277" s="33">
        <v>1</v>
      </c>
      <c r="Q277" s="21">
        <v>36</v>
      </c>
      <c r="R277">
        <f t="shared" si="10"/>
        <v>53.401272518932487</v>
      </c>
      <c r="S277">
        <f t="shared" si="11"/>
        <v>243.32029902861083</v>
      </c>
    </row>
    <row r="278" spans="1:19">
      <c r="A278" s="32">
        <v>41365</v>
      </c>
      <c r="B278" s="42">
        <v>67</v>
      </c>
      <c r="C278" s="33">
        <v>1</v>
      </c>
      <c r="D278" s="33">
        <v>0</v>
      </c>
      <c r="E278" s="33">
        <v>0</v>
      </c>
      <c r="F278" s="33">
        <v>4</v>
      </c>
      <c r="G278" s="33">
        <v>2</v>
      </c>
      <c r="H278" s="33">
        <v>15</v>
      </c>
      <c r="I278" s="33">
        <v>0</v>
      </c>
      <c r="J278" s="33">
        <v>1</v>
      </c>
      <c r="K278" s="33">
        <v>0</v>
      </c>
      <c r="L278" s="33">
        <v>0</v>
      </c>
      <c r="M278" s="33">
        <v>0</v>
      </c>
      <c r="N278" s="33">
        <v>0</v>
      </c>
      <c r="O278" s="33">
        <v>0</v>
      </c>
      <c r="P278" s="33">
        <v>1</v>
      </c>
      <c r="Q278" s="21">
        <v>45</v>
      </c>
      <c r="R278">
        <f t="shared" si="10"/>
        <v>61.870264251255911</v>
      </c>
      <c r="S278">
        <f t="shared" si="11"/>
        <v>26.314188851943079</v>
      </c>
    </row>
    <row r="279" spans="1:19">
      <c r="A279" s="32">
        <v>41366</v>
      </c>
      <c r="B279" s="42">
        <v>55</v>
      </c>
      <c r="C279" s="33">
        <v>1</v>
      </c>
      <c r="D279" s="33">
        <v>0</v>
      </c>
      <c r="E279" s="33">
        <v>0</v>
      </c>
      <c r="F279" s="33">
        <v>2</v>
      </c>
      <c r="G279" s="33">
        <v>1</v>
      </c>
      <c r="H279" s="33">
        <v>6</v>
      </c>
      <c r="I279" s="33">
        <v>0</v>
      </c>
      <c r="J279" s="33">
        <v>0</v>
      </c>
      <c r="K279" s="33">
        <v>1</v>
      </c>
      <c r="L279" s="33">
        <v>0</v>
      </c>
      <c r="M279" s="33">
        <v>0</v>
      </c>
      <c r="N279" s="33">
        <v>0</v>
      </c>
      <c r="O279" s="33">
        <v>0</v>
      </c>
      <c r="P279" s="33">
        <v>1</v>
      </c>
      <c r="Q279" s="21">
        <v>36</v>
      </c>
      <c r="R279">
        <f t="shared" si="10"/>
        <v>49.045886755238314</v>
      </c>
      <c r="S279">
        <f t="shared" si="11"/>
        <v>35.451464531446533</v>
      </c>
    </row>
    <row r="280" spans="1:19">
      <c r="A280" s="32">
        <v>41367</v>
      </c>
      <c r="B280" s="42">
        <v>59</v>
      </c>
      <c r="C280" s="33">
        <v>1</v>
      </c>
      <c r="D280" s="33">
        <v>0</v>
      </c>
      <c r="E280" s="33">
        <v>0</v>
      </c>
      <c r="F280" s="33">
        <v>2</v>
      </c>
      <c r="G280" s="33">
        <v>0</v>
      </c>
      <c r="H280" s="33">
        <v>3</v>
      </c>
      <c r="I280" s="33">
        <v>0</v>
      </c>
      <c r="J280" s="33">
        <v>0</v>
      </c>
      <c r="K280" s="33">
        <v>0</v>
      </c>
      <c r="L280" s="33">
        <v>1</v>
      </c>
      <c r="M280" s="33">
        <v>0</v>
      </c>
      <c r="N280" s="33">
        <v>0</v>
      </c>
      <c r="O280" s="33">
        <v>0</v>
      </c>
      <c r="P280" s="33">
        <v>1</v>
      </c>
      <c r="Q280" s="21">
        <v>32</v>
      </c>
      <c r="R280">
        <f t="shared" si="10"/>
        <v>44.801183019698158</v>
      </c>
      <c r="S280">
        <f t="shared" si="11"/>
        <v>201.60640364010791</v>
      </c>
    </row>
    <row r="281" spans="1:19">
      <c r="A281" s="32">
        <v>41368</v>
      </c>
      <c r="B281" s="42">
        <v>42</v>
      </c>
      <c r="C281" s="33">
        <v>1</v>
      </c>
      <c r="D281" s="33">
        <v>0</v>
      </c>
      <c r="E281" s="33">
        <v>0</v>
      </c>
      <c r="F281" s="33">
        <v>1</v>
      </c>
      <c r="G281" s="33">
        <v>0</v>
      </c>
      <c r="H281" s="33">
        <v>2</v>
      </c>
      <c r="I281" s="33">
        <v>0</v>
      </c>
      <c r="J281" s="33">
        <v>0</v>
      </c>
      <c r="K281" s="33">
        <v>0</v>
      </c>
      <c r="L281" s="33">
        <v>0</v>
      </c>
      <c r="M281" s="33">
        <v>1</v>
      </c>
      <c r="N281" s="33">
        <v>0</v>
      </c>
      <c r="O281" s="33">
        <v>0</v>
      </c>
      <c r="P281" s="33">
        <v>1</v>
      </c>
      <c r="Q281" s="21">
        <v>43</v>
      </c>
      <c r="R281">
        <f t="shared" si="10"/>
        <v>45.198198029545409</v>
      </c>
      <c r="S281">
        <f t="shared" si="11"/>
        <v>10.228470636188138</v>
      </c>
    </row>
    <row r="282" spans="1:19">
      <c r="A282" s="32">
        <v>41369</v>
      </c>
      <c r="B282" s="42">
        <v>43</v>
      </c>
      <c r="C282" s="33">
        <v>1</v>
      </c>
      <c r="D282" s="33">
        <v>0</v>
      </c>
      <c r="E282" s="33">
        <v>0</v>
      </c>
      <c r="F282" s="33">
        <v>0</v>
      </c>
      <c r="G282" s="33">
        <v>0</v>
      </c>
      <c r="H282" s="33">
        <v>1</v>
      </c>
      <c r="I282" s="33">
        <v>0</v>
      </c>
      <c r="J282" s="33">
        <v>0</v>
      </c>
      <c r="K282" s="33">
        <v>0</v>
      </c>
      <c r="L282" s="33">
        <v>0</v>
      </c>
      <c r="M282" s="33">
        <v>0</v>
      </c>
      <c r="N282" s="33">
        <v>1</v>
      </c>
      <c r="O282" s="33">
        <v>0</v>
      </c>
      <c r="P282" s="33">
        <v>1</v>
      </c>
      <c r="Q282" s="21">
        <v>36</v>
      </c>
      <c r="R282">
        <f t="shared" si="10"/>
        <v>38.035887062228028</v>
      </c>
      <c r="S282">
        <f t="shared" si="11"/>
        <v>24.642417258955081</v>
      </c>
    </row>
    <row r="283" spans="1:19">
      <c r="A283" s="32">
        <v>41370</v>
      </c>
      <c r="B283" s="42">
        <v>60</v>
      </c>
      <c r="C283" s="33">
        <v>1</v>
      </c>
      <c r="D283" s="33">
        <v>0</v>
      </c>
      <c r="E283" s="33">
        <v>0</v>
      </c>
      <c r="F283" s="33">
        <v>3</v>
      </c>
      <c r="G283" s="33">
        <v>2</v>
      </c>
      <c r="H283" s="33">
        <v>12</v>
      </c>
      <c r="I283" s="33">
        <v>0</v>
      </c>
      <c r="J283" s="33">
        <v>0</v>
      </c>
      <c r="K283" s="33">
        <v>0</v>
      </c>
      <c r="L283" s="33">
        <v>0</v>
      </c>
      <c r="M283" s="33">
        <v>0</v>
      </c>
      <c r="N283" s="33">
        <v>0</v>
      </c>
      <c r="O283" s="33">
        <v>1</v>
      </c>
      <c r="P283" s="33">
        <v>1</v>
      </c>
      <c r="Q283" s="21">
        <v>39</v>
      </c>
      <c r="R283">
        <f t="shared" si="10"/>
        <v>53.149711417828229</v>
      </c>
      <c r="S283">
        <f t="shared" si="11"/>
        <v>46.926453659032937</v>
      </c>
    </row>
    <row r="284" spans="1:19">
      <c r="A284" s="32">
        <v>41371</v>
      </c>
      <c r="B284" s="42">
        <v>55</v>
      </c>
      <c r="C284" s="33">
        <v>1</v>
      </c>
      <c r="D284" s="33">
        <v>0</v>
      </c>
      <c r="E284" s="33">
        <v>0</v>
      </c>
      <c r="F284" s="33">
        <v>2</v>
      </c>
      <c r="G284" s="33">
        <v>1</v>
      </c>
      <c r="H284" s="33">
        <v>6</v>
      </c>
      <c r="I284" s="33">
        <v>0</v>
      </c>
      <c r="J284" s="33">
        <v>0</v>
      </c>
      <c r="K284" s="33">
        <v>0</v>
      </c>
      <c r="L284" s="33">
        <v>0</v>
      </c>
      <c r="M284" s="33">
        <v>0</v>
      </c>
      <c r="N284" s="33">
        <v>0</v>
      </c>
      <c r="O284" s="33">
        <v>0</v>
      </c>
      <c r="P284" s="33">
        <v>1</v>
      </c>
      <c r="Q284" s="21">
        <v>33</v>
      </c>
      <c r="R284">
        <f t="shared" si="10"/>
        <v>42.396963497596403</v>
      </c>
      <c r="S284">
        <f t="shared" si="11"/>
        <v>158.8365290809175</v>
      </c>
    </row>
    <row r="285" spans="1:19">
      <c r="A285" s="32">
        <v>41372</v>
      </c>
      <c r="B285" s="42">
        <v>41</v>
      </c>
      <c r="C285" s="33">
        <v>1</v>
      </c>
      <c r="D285" s="33">
        <v>0</v>
      </c>
      <c r="E285" s="33">
        <v>0</v>
      </c>
      <c r="F285" s="33">
        <v>0</v>
      </c>
      <c r="G285" s="33">
        <v>0</v>
      </c>
      <c r="H285" s="33">
        <v>1</v>
      </c>
      <c r="I285" s="33">
        <v>0</v>
      </c>
      <c r="J285" s="33">
        <v>1</v>
      </c>
      <c r="K285" s="33">
        <v>0</v>
      </c>
      <c r="L285" s="33">
        <v>0</v>
      </c>
      <c r="M285" s="33">
        <v>0</v>
      </c>
      <c r="N285" s="33">
        <v>0</v>
      </c>
      <c r="O285" s="33">
        <v>0</v>
      </c>
      <c r="P285" s="33">
        <v>1</v>
      </c>
      <c r="Q285" s="21">
        <v>33</v>
      </c>
      <c r="R285">
        <f t="shared" si="10"/>
        <v>36.638895984877713</v>
      </c>
      <c r="S285">
        <f t="shared" si="11"/>
        <v>19.019228230715729</v>
      </c>
    </row>
    <row r="286" spans="1:19">
      <c r="A286" s="32">
        <v>41373</v>
      </c>
      <c r="B286" s="42">
        <v>36</v>
      </c>
      <c r="C286" s="33">
        <v>1</v>
      </c>
      <c r="D286" s="33">
        <v>0</v>
      </c>
      <c r="E286" s="33">
        <v>0</v>
      </c>
      <c r="F286" s="33">
        <v>0</v>
      </c>
      <c r="G286" s="33">
        <v>0</v>
      </c>
      <c r="H286" s="33">
        <v>1</v>
      </c>
      <c r="I286" s="33">
        <v>0</v>
      </c>
      <c r="J286" s="33">
        <v>0</v>
      </c>
      <c r="K286" s="33">
        <v>1</v>
      </c>
      <c r="L286" s="33">
        <v>0</v>
      </c>
      <c r="M286" s="33">
        <v>0</v>
      </c>
      <c r="N286" s="33">
        <v>0</v>
      </c>
      <c r="O286" s="33">
        <v>0</v>
      </c>
      <c r="P286" s="33">
        <v>1</v>
      </c>
      <c r="Q286" s="21">
        <v>32</v>
      </c>
      <c r="R286">
        <f t="shared" si="10"/>
        <v>36.072364355416696</v>
      </c>
      <c r="S286">
        <f t="shared" si="11"/>
        <v>5.2365999348738274E-3</v>
      </c>
    </row>
    <row r="287" spans="1:19">
      <c r="A287" s="32">
        <v>41374</v>
      </c>
      <c r="B287" s="42">
        <v>41</v>
      </c>
      <c r="C287" s="33">
        <v>1</v>
      </c>
      <c r="D287" s="33">
        <v>0</v>
      </c>
      <c r="E287" s="33">
        <v>0</v>
      </c>
      <c r="F287" s="33">
        <v>0</v>
      </c>
      <c r="G287" s="33">
        <v>0</v>
      </c>
      <c r="H287" s="33">
        <v>1</v>
      </c>
      <c r="I287" s="33">
        <v>0</v>
      </c>
      <c r="J287" s="33">
        <v>0</v>
      </c>
      <c r="K287" s="33">
        <v>0</v>
      </c>
      <c r="L287" s="33">
        <v>1</v>
      </c>
      <c r="M287" s="33">
        <v>0</v>
      </c>
      <c r="N287" s="33">
        <v>0</v>
      </c>
      <c r="O287" s="33">
        <v>0</v>
      </c>
      <c r="P287" s="33">
        <v>1</v>
      </c>
      <c r="Q287" s="21">
        <v>20</v>
      </c>
      <c r="R287">
        <f t="shared" si="10"/>
        <v>28.771948839496197</v>
      </c>
      <c r="S287">
        <f t="shared" si="11"/>
        <v>149.52523518389839</v>
      </c>
    </row>
    <row r="288" spans="1:19">
      <c r="A288" s="32">
        <v>41375</v>
      </c>
      <c r="B288" s="42">
        <v>27</v>
      </c>
      <c r="C288" s="33">
        <v>1</v>
      </c>
      <c r="D288" s="33">
        <v>0</v>
      </c>
      <c r="E288" s="33">
        <v>0</v>
      </c>
      <c r="F288" s="33">
        <v>0</v>
      </c>
      <c r="G288" s="33">
        <v>0</v>
      </c>
      <c r="H288" s="33">
        <v>1</v>
      </c>
      <c r="I288" s="33">
        <v>0</v>
      </c>
      <c r="J288" s="33">
        <v>0</v>
      </c>
      <c r="K288" s="33">
        <v>0</v>
      </c>
      <c r="L288" s="33">
        <v>0</v>
      </c>
      <c r="M288" s="33">
        <v>1</v>
      </c>
      <c r="N288" s="33">
        <v>0</v>
      </c>
      <c r="O288" s="33">
        <v>0</v>
      </c>
      <c r="P288" s="33">
        <v>1</v>
      </c>
      <c r="Q288" s="21">
        <v>25</v>
      </c>
      <c r="R288">
        <f t="shared" si="10"/>
        <v>30.28207170732162</v>
      </c>
      <c r="S288">
        <f t="shared" si="11"/>
        <v>10.771994692001055</v>
      </c>
    </row>
    <row r="289" spans="1:19">
      <c r="A289" s="32">
        <v>41376</v>
      </c>
      <c r="B289" s="42">
        <v>43</v>
      </c>
      <c r="C289" s="33">
        <v>1</v>
      </c>
      <c r="D289" s="33">
        <v>0</v>
      </c>
      <c r="E289" s="33">
        <v>0</v>
      </c>
      <c r="F289" s="33">
        <v>0</v>
      </c>
      <c r="G289" s="33">
        <v>0</v>
      </c>
      <c r="H289" s="33">
        <v>1</v>
      </c>
      <c r="I289" s="33">
        <v>0</v>
      </c>
      <c r="J289" s="33">
        <v>0</v>
      </c>
      <c r="K289" s="33">
        <v>0</v>
      </c>
      <c r="L289" s="33">
        <v>0</v>
      </c>
      <c r="M289" s="33">
        <v>0</v>
      </c>
      <c r="N289" s="33">
        <v>1</v>
      </c>
      <c r="O289" s="33">
        <v>0</v>
      </c>
      <c r="P289" s="33">
        <v>1</v>
      </c>
      <c r="Q289" s="21">
        <v>34</v>
      </c>
      <c r="R289">
        <f t="shared" si="10"/>
        <v>36.885635523540891</v>
      </c>
      <c r="S289">
        <f t="shared" si="11"/>
        <v>37.385452950985069</v>
      </c>
    </row>
    <row r="290" spans="1:19">
      <c r="A290" s="32">
        <v>41377</v>
      </c>
      <c r="B290" s="42">
        <v>43</v>
      </c>
      <c r="C290" s="33">
        <v>1</v>
      </c>
      <c r="D290" s="33">
        <v>0</v>
      </c>
      <c r="E290" s="33">
        <v>0</v>
      </c>
      <c r="F290" s="33">
        <v>2</v>
      </c>
      <c r="G290" s="33">
        <v>2</v>
      </c>
      <c r="H290" s="33">
        <v>9</v>
      </c>
      <c r="I290" s="33">
        <v>0</v>
      </c>
      <c r="J290" s="33">
        <v>0</v>
      </c>
      <c r="K290" s="33">
        <v>0</v>
      </c>
      <c r="L290" s="33">
        <v>0</v>
      </c>
      <c r="M290" s="33">
        <v>0</v>
      </c>
      <c r="N290" s="33">
        <v>0</v>
      </c>
      <c r="O290" s="33">
        <v>1</v>
      </c>
      <c r="P290" s="33">
        <v>1</v>
      </c>
      <c r="Q290" s="21">
        <v>43</v>
      </c>
      <c r="R290">
        <f t="shared" si="10"/>
        <v>52.394441826482577</v>
      </c>
      <c r="S290">
        <f t="shared" si="11"/>
        <v>88.255537231165306</v>
      </c>
    </row>
    <row r="291" spans="1:19">
      <c r="A291" s="32">
        <v>41378</v>
      </c>
      <c r="B291" s="42">
        <v>49</v>
      </c>
      <c r="C291" s="33">
        <v>1</v>
      </c>
      <c r="D291" s="33">
        <v>0</v>
      </c>
      <c r="E291" s="33">
        <v>0</v>
      </c>
      <c r="F291" s="33">
        <v>2</v>
      </c>
      <c r="G291" s="33">
        <v>1</v>
      </c>
      <c r="H291" s="33">
        <v>6</v>
      </c>
      <c r="I291" s="33">
        <v>0</v>
      </c>
      <c r="J291" s="33">
        <v>0</v>
      </c>
      <c r="K291" s="33">
        <v>0</v>
      </c>
      <c r="L291" s="33">
        <v>0</v>
      </c>
      <c r="M291" s="33">
        <v>0</v>
      </c>
      <c r="N291" s="33">
        <v>0</v>
      </c>
      <c r="O291" s="33">
        <v>0</v>
      </c>
      <c r="P291" s="33">
        <v>1</v>
      </c>
      <c r="Q291" s="21">
        <v>40</v>
      </c>
      <c r="R291">
        <f t="shared" si="10"/>
        <v>46.422843883001363</v>
      </c>
      <c r="S291">
        <f t="shared" si="11"/>
        <v>6.6417336513834924</v>
      </c>
    </row>
    <row r="292" spans="1:19">
      <c r="A292" s="32">
        <v>41379</v>
      </c>
      <c r="B292" s="42">
        <v>44</v>
      </c>
      <c r="C292" s="33">
        <v>1</v>
      </c>
      <c r="D292" s="33">
        <v>0</v>
      </c>
      <c r="E292" s="33">
        <v>0</v>
      </c>
      <c r="F292" s="33">
        <v>0</v>
      </c>
      <c r="G292" s="33">
        <v>0</v>
      </c>
      <c r="H292" s="33">
        <v>1</v>
      </c>
      <c r="I292" s="33">
        <v>0</v>
      </c>
      <c r="J292" s="33">
        <v>1</v>
      </c>
      <c r="K292" s="33">
        <v>0</v>
      </c>
      <c r="L292" s="33">
        <v>0</v>
      </c>
      <c r="M292" s="33">
        <v>0</v>
      </c>
      <c r="N292" s="33">
        <v>0</v>
      </c>
      <c r="O292" s="33">
        <v>0</v>
      </c>
      <c r="P292" s="33">
        <v>1</v>
      </c>
      <c r="Q292" s="21">
        <v>27</v>
      </c>
      <c r="R292">
        <f t="shared" si="10"/>
        <v>33.188141368816311</v>
      </c>
      <c r="S292">
        <f t="shared" si="11"/>
        <v>116.89628706070124</v>
      </c>
    </row>
    <row r="293" spans="1:19">
      <c r="A293" s="32">
        <v>41380</v>
      </c>
      <c r="B293" s="42">
        <v>29</v>
      </c>
      <c r="C293" s="33">
        <v>1</v>
      </c>
      <c r="D293" s="33">
        <v>0</v>
      </c>
      <c r="E293" s="33">
        <v>0</v>
      </c>
      <c r="F293" s="33">
        <v>0</v>
      </c>
      <c r="G293" s="33">
        <v>0</v>
      </c>
      <c r="H293" s="33">
        <v>1</v>
      </c>
      <c r="I293" s="33">
        <v>0</v>
      </c>
      <c r="J293" s="33">
        <v>0</v>
      </c>
      <c r="K293" s="33">
        <v>1</v>
      </c>
      <c r="L293" s="33">
        <v>0</v>
      </c>
      <c r="M293" s="33">
        <v>0</v>
      </c>
      <c r="N293" s="33">
        <v>0</v>
      </c>
      <c r="O293" s="33">
        <v>0</v>
      </c>
      <c r="P293" s="33">
        <v>1</v>
      </c>
      <c r="Q293" s="21">
        <v>21</v>
      </c>
      <c r="R293">
        <f t="shared" si="10"/>
        <v>29.745980892637462</v>
      </c>
      <c r="S293">
        <f t="shared" si="11"/>
        <v>0.55648749218018467</v>
      </c>
    </row>
    <row r="294" spans="1:19">
      <c r="A294" s="32">
        <v>41381</v>
      </c>
      <c r="B294" s="42">
        <v>7</v>
      </c>
      <c r="C294" s="33">
        <v>1</v>
      </c>
      <c r="D294" s="33">
        <v>0</v>
      </c>
      <c r="E294" s="33">
        <v>0</v>
      </c>
      <c r="F294" s="33">
        <v>0</v>
      </c>
      <c r="G294" s="33">
        <v>0</v>
      </c>
      <c r="H294" s="33">
        <v>1</v>
      </c>
      <c r="I294" s="33">
        <v>0</v>
      </c>
      <c r="J294" s="33">
        <v>0</v>
      </c>
      <c r="K294" s="33">
        <v>0</v>
      </c>
      <c r="L294" s="33">
        <v>1</v>
      </c>
      <c r="M294" s="33">
        <v>0</v>
      </c>
      <c r="N294" s="33">
        <v>0</v>
      </c>
      <c r="O294" s="33">
        <v>0</v>
      </c>
      <c r="P294" s="33">
        <v>1</v>
      </c>
      <c r="Q294" s="21">
        <v>21</v>
      </c>
      <c r="R294">
        <f t="shared" si="10"/>
        <v>29.347074608839762</v>
      </c>
      <c r="S294">
        <f t="shared" si="11"/>
        <v>499.3917435730508</v>
      </c>
    </row>
    <row r="295" spans="1:19">
      <c r="A295" s="32">
        <v>41382</v>
      </c>
      <c r="B295" s="42">
        <v>29</v>
      </c>
      <c r="C295" s="33">
        <v>1</v>
      </c>
      <c r="D295" s="33">
        <v>0</v>
      </c>
      <c r="E295" s="33">
        <v>0</v>
      </c>
      <c r="F295" s="33">
        <v>0</v>
      </c>
      <c r="G295" s="33">
        <v>0</v>
      </c>
      <c r="H295" s="33">
        <v>1</v>
      </c>
      <c r="I295" s="33">
        <v>0</v>
      </c>
      <c r="J295" s="33">
        <v>0</v>
      </c>
      <c r="K295" s="33">
        <v>0</v>
      </c>
      <c r="L295" s="33">
        <v>0</v>
      </c>
      <c r="M295" s="33">
        <v>1</v>
      </c>
      <c r="N295" s="33">
        <v>0</v>
      </c>
      <c r="O295" s="33">
        <v>0</v>
      </c>
      <c r="P295" s="33">
        <v>1</v>
      </c>
      <c r="Q295" s="21">
        <v>21</v>
      </c>
      <c r="R295">
        <f t="shared" si="10"/>
        <v>27.981568629947354</v>
      </c>
      <c r="S295">
        <f t="shared" si="11"/>
        <v>1.0372024555073094</v>
      </c>
    </row>
    <row r="296" spans="1:19">
      <c r="A296" s="32">
        <v>41383</v>
      </c>
      <c r="B296" s="42">
        <v>36</v>
      </c>
      <c r="C296" s="33">
        <v>1</v>
      </c>
      <c r="D296" s="33">
        <v>0</v>
      </c>
      <c r="E296" s="33">
        <v>0</v>
      </c>
      <c r="F296" s="33">
        <v>0</v>
      </c>
      <c r="G296" s="33">
        <v>0</v>
      </c>
      <c r="H296" s="33">
        <v>1</v>
      </c>
      <c r="I296" s="33">
        <v>0</v>
      </c>
      <c r="J296" s="33">
        <v>0</v>
      </c>
      <c r="K296" s="33">
        <v>0</v>
      </c>
      <c r="L296" s="33">
        <v>0</v>
      </c>
      <c r="M296" s="33">
        <v>0</v>
      </c>
      <c r="N296" s="33">
        <v>1</v>
      </c>
      <c r="O296" s="33">
        <v>0</v>
      </c>
      <c r="P296" s="33">
        <v>1</v>
      </c>
      <c r="Q296" s="21">
        <v>25</v>
      </c>
      <c r="R296">
        <f t="shared" si="10"/>
        <v>31.709503599448787</v>
      </c>
      <c r="S296">
        <f t="shared" si="11"/>
        <v>18.408359363142914</v>
      </c>
    </row>
    <row r="297" spans="1:19">
      <c r="A297" s="32">
        <v>41384</v>
      </c>
      <c r="B297" s="42">
        <v>46</v>
      </c>
      <c r="C297" s="33">
        <v>1</v>
      </c>
      <c r="D297" s="33">
        <v>0</v>
      </c>
      <c r="E297" s="33">
        <v>0</v>
      </c>
      <c r="F297" s="33">
        <v>2</v>
      </c>
      <c r="G297" s="33">
        <v>1</v>
      </c>
      <c r="H297" s="33">
        <v>6</v>
      </c>
      <c r="I297" s="33">
        <v>0</v>
      </c>
      <c r="J297" s="33">
        <v>0</v>
      </c>
      <c r="K297" s="33">
        <v>0</v>
      </c>
      <c r="L297" s="33">
        <v>0</v>
      </c>
      <c r="M297" s="33">
        <v>0</v>
      </c>
      <c r="N297" s="33">
        <v>0</v>
      </c>
      <c r="O297" s="33">
        <v>1</v>
      </c>
      <c r="P297" s="33">
        <v>1</v>
      </c>
      <c r="Q297" s="21">
        <v>29</v>
      </c>
      <c r="R297">
        <f t="shared" si="10"/>
        <v>42.797386681304438</v>
      </c>
      <c r="S297">
        <f t="shared" si="11"/>
        <v>10.256732069086201</v>
      </c>
    </row>
    <row r="298" spans="1:19">
      <c r="A298" s="32">
        <v>41385</v>
      </c>
      <c r="B298" s="42">
        <v>44</v>
      </c>
      <c r="C298" s="33">
        <v>1</v>
      </c>
      <c r="D298" s="33">
        <v>0</v>
      </c>
      <c r="E298" s="33">
        <v>0</v>
      </c>
      <c r="F298" s="33">
        <v>1</v>
      </c>
      <c r="G298" s="33">
        <v>0</v>
      </c>
      <c r="H298" s="33">
        <v>2</v>
      </c>
      <c r="I298" s="33">
        <v>0</v>
      </c>
      <c r="J298" s="33">
        <v>0</v>
      </c>
      <c r="K298" s="33">
        <v>0</v>
      </c>
      <c r="L298" s="33">
        <v>0</v>
      </c>
      <c r="M298" s="33">
        <v>0</v>
      </c>
      <c r="N298" s="33">
        <v>0</v>
      </c>
      <c r="O298" s="33">
        <v>0</v>
      </c>
      <c r="P298" s="33">
        <v>1</v>
      </c>
      <c r="Q298" s="21">
        <v>28</v>
      </c>
      <c r="R298">
        <f t="shared" si="10"/>
        <v>33.412177802470794</v>
      </c>
      <c r="S298">
        <f t="shared" si="11"/>
        <v>112.10197888649219</v>
      </c>
    </row>
    <row r="299" spans="1:19">
      <c r="A299" s="32">
        <v>41386</v>
      </c>
      <c r="B299" s="42">
        <v>33</v>
      </c>
      <c r="C299" s="33">
        <v>1</v>
      </c>
      <c r="D299" s="33">
        <v>0</v>
      </c>
      <c r="E299" s="33">
        <v>0</v>
      </c>
      <c r="F299" s="33">
        <v>0</v>
      </c>
      <c r="G299" s="33">
        <v>0</v>
      </c>
      <c r="H299" s="33">
        <v>1</v>
      </c>
      <c r="I299" s="33">
        <v>0</v>
      </c>
      <c r="J299" s="33">
        <v>1</v>
      </c>
      <c r="K299" s="33">
        <v>0</v>
      </c>
      <c r="L299" s="33">
        <v>0</v>
      </c>
      <c r="M299" s="33">
        <v>0</v>
      </c>
      <c r="N299" s="33">
        <v>0</v>
      </c>
      <c r="O299" s="33">
        <v>0</v>
      </c>
      <c r="P299" s="33">
        <v>1</v>
      </c>
      <c r="Q299" s="21">
        <v>32</v>
      </c>
      <c r="R299">
        <f t="shared" si="10"/>
        <v>36.063770215534149</v>
      </c>
      <c r="S299">
        <f t="shared" si="11"/>
        <v>9.386687933594164</v>
      </c>
    </row>
    <row r="300" spans="1:19">
      <c r="A300" s="32">
        <v>41387</v>
      </c>
      <c r="B300" s="42">
        <v>36</v>
      </c>
      <c r="C300" s="33">
        <v>1</v>
      </c>
      <c r="D300" s="33">
        <v>0</v>
      </c>
      <c r="E300" s="33">
        <v>0</v>
      </c>
      <c r="F300" s="33">
        <v>0</v>
      </c>
      <c r="G300" s="33">
        <v>0</v>
      </c>
      <c r="H300" s="33">
        <v>1</v>
      </c>
      <c r="I300" s="33">
        <v>0</v>
      </c>
      <c r="J300" s="33">
        <v>0</v>
      </c>
      <c r="K300" s="33">
        <v>1</v>
      </c>
      <c r="L300" s="33">
        <v>0</v>
      </c>
      <c r="M300" s="33">
        <v>0</v>
      </c>
      <c r="N300" s="33">
        <v>0</v>
      </c>
      <c r="O300" s="33">
        <v>0</v>
      </c>
      <c r="P300" s="33">
        <v>1</v>
      </c>
      <c r="Q300" s="21">
        <v>27</v>
      </c>
      <c r="R300">
        <f t="shared" si="10"/>
        <v>33.196735508698865</v>
      </c>
      <c r="S300">
        <f t="shared" si="11"/>
        <v>7.8582918081898132</v>
      </c>
    </row>
    <row r="301" spans="1:19">
      <c r="A301" s="32">
        <v>41388</v>
      </c>
      <c r="B301" s="42">
        <v>37</v>
      </c>
      <c r="C301" s="33">
        <v>1</v>
      </c>
      <c r="D301" s="33">
        <v>0</v>
      </c>
      <c r="E301" s="33">
        <v>0</v>
      </c>
      <c r="F301" s="33">
        <v>0</v>
      </c>
      <c r="G301" s="33">
        <v>0</v>
      </c>
      <c r="H301" s="33">
        <v>1</v>
      </c>
      <c r="I301" s="33">
        <v>0</v>
      </c>
      <c r="J301" s="33">
        <v>0</v>
      </c>
      <c r="K301" s="33">
        <v>0</v>
      </c>
      <c r="L301" s="33">
        <v>1</v>
      </c>
      <c r="M301" s="33">
        <v>0</v>
      </c>
      <c r="N301" s="33">
        <v>0</v>
      </c>
      <c r="O301" s="33">
        <v>0</v>
      </c>
      <c r="P301" s="33">
        <v>1</v>
      </c>
      <c r="Q301" s="21">
        <v>35</v>
      </c>
      <c r="R301">
        <f t="shared" si="10"/>
        <v>37.398835379649697</v>
      </c>
      <c r="S301">
        <f t="shared" si="11"/>
        <v>0.15906966006031764</v>
      </c>
    </row>
    <row r="302" spans="1:19">
      <c r="A302" s="32">
        <v>41389</v>
      </c>
      <c r="B302" s="42">
        <v>47</v>
      </c>
      <c r="C302" s="33">
        <v>1</v>
      </c>
      <c r="D302" s="33">
        <v>0</v>
      </c>
      <c r="E302" s="33">
        <v>0</v>
      </c>
      <c r="F302" s="33">
        <v>0</v>
      </c>
      <c r="G302" s="33">
        <v>0</v>
      </c>
      <c r="H302" s="33">
        <v>1</v>
      </c>
      <c r="I302" s="33">
        <v>0</v>
      </c>
      <c r="J302" s="33">
        <v>0</v>
      </c>
      <c r="K302" s="33">
        <v>0</v>
      </c>
      <c r="L302" s="33">
        <v>0</v>
      </c>
      <c r="M302" s="33">
        <v>1</v>
      </c>
      <c r="N302" s="33">
        <v>0</v>
      </c>
      <c r="O302" s="33">
        <v>0</v>
      </c>
      <c r="P302" s="33">
        <v>1</v>
      </c>
      <c r="Q302" s="21">
        <v>29</v>
      </c>
      <c r="R302">
        <f t="shared" si="10"/>
        <v>32.582574784695893</v>
      </c>
      <c r="S302">
        <f t="shared" si="11"/>
        <v>207.86214983888667</v>
      </c>
    </row>
    <row r="303" spans="1:19">
      <c r="A303" s="32">
        <v>41390</v>
      </c>
      <c r="B303" s="42">
        <v>42</v>
      </c>
      <c r="C303" s="33">
        <v>1</v>
      </c>
      <c r="D303" s="33">
        <v>0</v>
      </c>
      <c r="E303" s="33">
        <v>0</v>
      </c>
      <c r="F303" s="33">
        <v>1</v>
      </c>
      <c r="G303" s="33">
        <v>1</v>
      </c>
      <c r="H303" s="33">
        <v>4</v>
      </c>
      <c r="I303" s="33">
        <v>0</v>
      </c>
      <c r="J303" s="33">
        <v>0</v>
      </c>
      <c r="K303" s="33">
        <v>0</v>
      </c>
      <c r="L303" s="33">
        <v>0</v>
      </c>
      <c r="M303" s="33">
        <v>0</v>
      </c>
      <c r="N303" s="33">
        <v>1</v>
      </c>
      <c r="O303" s="33">
        <v>0</v>
      </c>
      <c r="P303" s="33">
        <v>1</v>
      </c>
      <c r="Q303" s="21">
        <v>32</v>
      </c>
      <c r="R303">
        <f t="shared" si="10"/>
        <v>42.598585735921361</v>
      </c>
      <c r="S303">
        <f t="shared" si="11"/>
        <v>0.35830488324851745</v>
      </c>
    </row>
    <row r="304" spans="1:19">
      <c r="A304" s="32">
        <v>41391</v>
      </c>
      <c r="B304" s="42">
        <v>52</v>
      </c>
      <c r="C304" s="33">
        <v>1</v>
      </c>
      <c r="D304" s="33">
        <v>0</v>
      </c>
      <c r="E304" s="33">
        <v>0</v>
      </c>
      <c r="F304" s="33">
        <v>2</v>
      </c>
      <c r="G304" s="33">
        <v>2</v>
      </c>
      <c r="H304" s="33">
        <v>9</v>
      </c>
      <c r="I304" s="33">
        <v>0</v>
      </c>
      <c r="J304" s="33">
        <v>0</v>
      </c>
      <c r="K304" s="33">
        <v>0</v>
      </c>
      <c r="L304" s="33">
        <v>0</v>
      </c>
      <c r="M304" s="33">
        <v>0</v>
      </c>
      <c r="N304" s="33">
        <v>0</v>
      </c>
      <c r="O304" s="33">
        <v>1</v>
      </c>
      <c r="P304" s="33">
        <v>1</v>
      </c>
      <c r="Q304" s="21">
        <v>43</v>
      </c>
      <c r="R304">
        <f t="shared" si="10"/>
        <v>52.394441826482577</v>
      </c>
      <c r="S304">
        <f t="shared" si="11"/>
        <v>0.15558435447891145</v>
      </c>
    </row>
    <row r="305" spans="1:19">
      <c r="A305" s="32">
        <v>41392</v>
      </c>
      <c r="B305" s="42">
        <v>66</v>
      </c>
      <c r="C305" s="33">
        <v>1</v>
      </c>
      <c r="D305" s="33">
        <v>0</v>
      </c>
      <c r="E305" s="33">
        <v>0</v>
      </c>
      <c r="F305" s="33">
        <v>2</v>
      </c>
      <c r="G305" s="33">
        <v>1</v>
      </c>
      <c r="H305" s="33">
        <v>6</v>
      </c>
      <c r="I305" s="33">
        <v>0</v>
      </c>
      <c r="J305" s="33">
        <v>0</v>
      </c>
      <c r="K305" s="33">
        <v>0</v>
      </c>
      <c r="L305" s="33">
        <v>0</v>
      </c>
      <c r="M305" s="33">
        <v>0</v>
      </c>
      <c r="N305" s="33">
        <v>0</v>
      </c>
      <c r="O305" s="33">
        <v>0</v>
      </c>
      <c r="P305" s="33">
        <v>1</v>
      </c>
      <c r="Q305" s="21">
        <v>54</v>
      </c>
      <c r="R305">
        <f t="shared" si="10"/>
        <v>54.474604653811305</v>
      </c>
      <c r="S305">
        <f t="shared" si="11"/>
        <v>132.83473788594804</v>
      </c>
    </row>
    <row r="306" spans="1:19">
      <c r="A306" s="32">
        <v>41393</v>
      </c>
      <c r="B306" s="42">
        <v>59</v>
      </c>
      <c r="C306" s="33">
        <v>1</v>
      </c>
      <c r="D306" s="33">
        <v>0</v>
      </c>
      <c r="E306" s="33">
        <v>0</v>
      </c>
      <c r="F306" s="33">
        <v>1</v>
      </c>
      <c r="G306" s="33">
        <v>0</v>
      </c>
      <c r="H306" s="33">
        <v>2</v>
      </c>
      <c r="I306" s="33">
        <v>1</v>
      </c>
      <c r="J306" s="33">
        <v>1</v>
      </c>
      <c r="K306" s="33">
        <v>0</v>
      </c>
      <c r="L306" s="33">
        <v>0</v>
      </c>
      <c r="M306" s="33">
        <v>0</v>
      </c>
      <c r="N306" s="33">
        <v>0</v>
      </c>
      <c r="O306" s="33">
        <v>0</v>
      </c>
      <c r="P306" s="33">
        <v>1</v>
      </c>
      <c r="Q306" s="21">
        <v>39</v>
      </c>
      <c r="R306">
        <f t="shared" si="10"/>
        <v>43.687382425325048</v>
      </c>
      <c r="S306">
        <f t="shared" si="11"/>
        <v>234.47625698824422</v>
      </c>
    </row>
    <row r="307" spans="1:19">
      <c r="A307" s="32">
        <v>41394</v>
      </c>
      <c r="B307" s="42">
        <v>56</v>
      </c>
      <c r="C307" s="33">
        <v>1</v>
      </c>
      <c r="D307" s="33">
        <v>0</v>
      </c>
      <c r="E307" s="33">
        <v>0</v>
      </c>
      <c r="F307" s="33">
        <v>2</v>
      </c>
      <c r="G307" s="33">
        <v>1</v>
      </c>
      <c r="H307" s="33">
        <v>6</v>
      </c>
      <c r="I307" s="33">
        <v>0</v>
      </c>
      <c r="J307" s="33">
        <v>0</v>
      </c>
      <c r="K307" s="33">
        <v>1</v>
      </c>
      <c r="L307" s="33">
        <v>0</v>
      </c>
      <c r="M307" s="33">
        <v>0</v>
      </c>
      <c r="N307" s="33">
        <v>0</v>
      </c>
      <c r="O307" s="33">
        <v>0</v>
      </c>
      <c r="P307" s="33">
        <v>1</v>
      </c>
      <c r="Q307" s="21">
        <v>31</v>
      </c>
      <c r="R307">
        <f t="shared" si="10"/>
        <v>46.170257908520483</v>
      </c>
      <c r="S307">
        <f t="shared" si="11"/>
        <v>96.623829585004103</v>
      </c>
    </row>
    <row r="308" spans="1:19">
      <c r="A308" s="32">
        <v>41395</v>
      </c>
      <c r="B308" s="42">
        <v>47</v>
      </c>
      <c r="C308" s="33">
        <v>1</v>
      </c>
      <c r="D308" s="33">
        <v>0</v>
      </c>
      <c r="E308" s="33">
        <v>0</v>
      </c>
      <c r="F308" s="33">
        <v>0</v>
      </c>
      <c r="G308" s="33">
        <v>0</v>
      </c>
      <c r="H308" s="33">
        <v>1</v>
      </c>
      <c r="I308" s="33">
        <v>0</v>
      </c>
      <c r="J308" s="33">
        <v>0</v>
      </c>
      <c r="K308" s="33">
        <v>0</v>
      </c>
      <c r="L308" s="33">
        <v>1</v>
      </c>
      <c r="M308" s="33">
        <v>0</v>
      </c>
      <c r="N308" s="33">
        <v>0</v>
      </c>
      <c r="O308" s="33">
        <v>0</v>
      </c>
      <c r="P308" s="33">
        <v>0</v>
      </c>
      <c r="Q308" s="21">
        <v>30</v>
      </c>
      <c r="R308">
        <f t="shared" si="10"/>
        <v>26.389988432226616</v>
      </c>
      <c r="S308">
        <f t="shared" si="11"/>
        <v>424.77257682375267</v>
      </c>
    </row>
    <row r="309" spans="1:19">
      <c r="A309" s="32">
        <v>41396</v>
      </c>
      <c r="B309" s="42">
        <v>27</v>
      </c>
      <c r="C309" s="33">
        <v>1</v>
      </c>
      <c r="D309" s="33">
        <v>0</v>
      </c>
      <c r="E309" s="33">
        <v>0</v>
      </c>
      <c r="F309" s="33">
        <v>0</v>
      </c>
      <c r="G309" s="33">
        <v>0</v>
      </c>
      <c r="H309" s="33">
        <v>1</v>
      </c>
      <c r="I309" s="33">
        <v>0</v>
      </c>
      <c r="J309" s="33">
        <v>0</v>
      </c>
      <c r="K309" s="33">
        <v>0</v>
      </c>
      <c r="L309" s="33">
        <v>0</v>
      </c>
      <c r="M309" s="33">
        <v>1</v>
      </c>
      <c r="N309" s="33">
        <v>0</v>
      </c>
      <c r="O309" s="33">
        <v>0</v>
      </c>
      <c r="P309" s="33">
        <v>0</v>
      </c>
      <c r="Q309" s="21">
        <v>27</v>
      </c>
      <c r="R309">
        <f t="shared" si="10"/>
        <v>23.299105145303507</v>
      </c>
      <c r="S309">
        <f t="shared" si="11"/>
        <v>13.696622725518976</v>
      </c>
    </row>
    <row r="310" spans="1:19">
      <c r="A310" s="32">
        <v>41397</v>
      </c>
      <c r="B310" s="42">
        <v>46</v>
      </c>
      <c r="C310" s="33">
        <v>1</v>
      </c>
      <c r="D310" s="33">
        <v>0</v>
      </c>
      <c r="E310" s="33">
        <v>0</v>
      </c>
      <c r="F310" s="33">
        <v>1</v>
      </c>
      <c r="G310" s="33">
        <v>1</v>
      </c>
      <c r="H310" s="33">
        <v>4</v>
      </c>
      <c r="I310" s="33">
        <v>1</v>
      </c>
      <c r="J310" s="33">
        <v>0</v>
      </c>
      <c r="K310" s="33">
        <v>0</v>
      </c>
      <c r="L310" s="33">
        <v>0</v>
      </c>
      <c r="M310" s="33">
        <v>0</v>
      </c>
      <c r="N310" s="33">
        <v>1</v>
      </c>
      <c r="O310" s="33">
        <v>0</v>
      </c>
      <c r="P310" s="33">
        <v>0</v>
      </c>
      <c r="Q310" s="21">
        <v>27</v>
      </c>
      <c r="R310">
        <f t="shared" si="10"/>
        <v>30.623608138844631</v>
      </c>
      <c r="S310">
        <f t="shared" si="11"/>
        <v>236.43342666780507</v>
      </c>
    </row>
    <row r="311" spans="1:19">
      <c r="A311" s="32">
        <v>41398</v>
      </c>
      <c r="B311" s="42">
        <v>27</v>
      </c>
      <c r="C311" s="33">
        <v>1</v>
      </c>
      <c r="D311" s="33">
        <v>0</v>
      </c>
      <c r="E311" s="33">
        <v>0</v>
      </c>
      <c r="F311" s="33">
        <v>2</v>
      </c>
      <c r="G311" s="33">
        <v>1</v>
      </c>
      <c r="H311" s="33">
        <v>6</v>
      </c>
      <c r="I311" s="33">
        <v>1</v>
      </c>
      <c r="J311" s="33">
        <v>0</v>
      </c>
      <c r="K311" s="33">
        <v>0</v>
      </c>
      <c r="L311" s="33">
        <v>0</v>
      </c>
      <c r="M311" s="33">
        <v>0</v>
      </c>
      <c r="N311" s="33">
        <v>0</v>
      </c>
      <c r="O311" s="33">
        <v>1</v>
      </c>
      <c r="P311" s="33">
        <v>0</v>
      </c>
      <c r="Q311" s="21">
        <v>16</v>
      </c>
      <c r="R311">
        <f t="shared" si="10"/>
        <v>26.221402929479176</v>
      </c>
      <c r="S311">
        <f t="shared" si="11"/>
        <v>0.60621339822360942</v>
      </c>
    </row>
    <row r="312" spans="1:19">
      <c r="A312" s="32">
        <v>41399</v>
      </c>
      <c r="B312" s="42">
        <v>17</v>
      </c>
      <c r="C312" s="33">
        <v>1</v>
      </c>
      <c r="D312" s="33">
        <v>0</v>
      </c>
      <c r="E312" s="33">
        <v>0</v>
      </c>
      <c r="F312" s="33">
        <v>1</v>
      </c>
      <c r="G312" s="33">
        <v>0</v>
      </c>
      <c r="H312" s="33">
        <v>2</v>
      </c>
      <c r="I312" s="33">
        <v>1</v>
      </c>
      <c r="J312" s="33">
        <v>0</v>
      </c>
      <c r="K312" s="33">
        <v>0</v>
      </c>
      <c r="L312" s="33">
        <v>0</v>
      </c>
      <c r="M312" s="33">
        <v>0</v>
      </c>
      <c r="N312" s="33">
        <v>0</v>
      </c>
      <c r="O312" s="33">
        <v>0</v>
      </c>
      <c r="P312" s="33">
        <v>0</v>
      </c>
      <c r="Q312" s="21">
        <v>12</v>
      </c>
      <c r="R312">
        <f t="shared" si="10"/>
        <v>15.110816742614826</v>
      </c>
      <c r="S312">
        <f t="shared" si="11"/>
        <v>3.5690133799844554</v>
      </c>
    </row>
    <row r="313" spans="1:19">
      <c r="A313" s="32">
        <v>41400</v>
      </c>
      <c r="B313" s="42">
        <v>24</v>
      </c>
      <c r="C313" s="33">
        <v>1</v>
      </c>
      <c r="D313" s="33">
        <v>0</v>
      </c>
      <c r="E313" s="33">
        <v>0</v>
      </c>
      <c r="F313" s="33">
        <v>0</v>
      </c>
      <c r="G313" s="33">
        <v>0</v>
      </c>
      <c r="H313" s="33">
        <v>1</v>
      </c>
      <c r="I313" s="33">
        <v>1</v>
      </c>
      <c r="J313" s="33">
        <v>1</v>
      </c>
      <c r="K313" s="33">
        <v>0</v>
      </c>
      <c r="L313" s="33">
        <v>0</v>
      </c>
      <c r="M313" s="33">
        <v>0</v>
      </c>
      <c r="N313" s="33">
        <v>0</v>
      </c>
      <c r="O313" s="33">
        <v>0</v>
      </c>
      <c r="P313" s="33">
        <v>0</v>
      </c>
      <c r="Q313" s="21">
        <v>21</v>
      </c>
      <c r="R313">
        <f t="shared" si="10"/>
        <v>20.638038002396016</v>
      </c>
      <c r="S313">
        <f t="shared" si="11"/>
        <v>11.302788473333372</v>
      </c>
    </row>
    <row r="314" spans="1:19">
      <c r="A314" s="32">
        <v>41401</v>
      </c>
      <c r="B314" s="42">
        <v>30</v>
      </c>
      <c r="C314" s="33">
        <v>1</v>
      </c>
      <c r="D314" s="33">
        <v>0</v>
      </c>
      <c r="E314" s="33">
        <v>0</v>
      </c>
      <c r="F314" s="33">
        <v>0</v>
      </c>
      <c r="G314" s="33">
        <v>0</v>
      </c>
      <c r="H314" s="33">
        <v>1</v>
      </c>
      <c r="I314" s="33">
        <v>0</v>
      </c>
      <c r="J314" s="33">
        <v>0</v>
      </c>
      <c r="K314" s="33">
        <v>1</v>
      </c>
      <c r="L314" s="33">
        <v>0</v>
      </c>
      <c r="M314" s="33">
        <v>0</v>
      </c>
      <c r="N314" s="33">
        <v>0</v>
      </c>
      <c r="O314" s="33">
        <v>0</v>
      </c>
      <c r="P314" s="33">
        <v>0</v>
      </c>
      <c r="Q314" s="21">
        <v>22</v>
      </c>
      <c r="R314">
        <f t="shared" si="10"/>
        <v>22.187888561275781</v>
      </c>
      <c r="S314">
        <f t="shared" si="11"/>
        <v>61.029085131045797</v>
      </c>
    </row>
    <row r="315" spans="1:19">
      <c r="A315" s="32">
        <v>41402</v>
      </c>
      <c r="B315" s="42">
        <v>24</v>
      </c>
      <c r="C315" s="33">
        <v>1</v>
      </c>
      <c r="D315" s="33">
        <v>0</v>
      </c>
      <c r="E315" s="33">
        <v>0</v>
      </c>
      <c r="F315" s="33">
        <v>0</v>
      </c>
      <c r="G315" s="33">
        <v>0</v>
      </c>
      <c r="H315" s="33">
        <v>1</v>
      </c>
      <c r="I315" s="33">
        <v>0</v>
      </c>
      <c r="J315" s="33">
        <v>0</v>
      </c>
      <c r="K315" s="33">
        <v>0</v>
      </c>
      <c r="L315" s="33">
        <v>1</v>
      </c>
      <c r="M315" s="33">
        <v>0</v>
      </c>
      <c r="N315" s="33">
        <v>0</v>
      </c>
      <c r="O315" s="33">
        <v>0</v>
      </c>
      <c r="P315" s="33">
        <v>0</v>
      </c>
      <c r="Q315" s="21">
        <v>19</v>
      </c>
      <c r="R315">
        <f t="shared" si="10"/>
        <v>20.063604969447379</v>
      </c>
      <c r="S315">
        <f t="shared" si="11"/>
        <v>15.49520583655937</v>
      </c>
    </row>
    <row r="316" spans="1:19">
      <c r="A316" s="32">
        <v>41403</v>
      </c>
      <c r="B316" s="42">
        <v>17</v>
      </c>
      <c r="C316" s="33">
        <v>1</v>
      </c>
      <c r="D316" s="33">
        <v>0</v>
      </c>
      <c r="E316" s="33">
        <v>0</v>
      </c>
      <c r="F316" s="33">
        <v>0</v>
      </c>
      <c r="G316" s="33">
        <v>0</v>
      </c>
      <c r="H316" s="33">
        <v>1</v>
      </c>
      <c r="I316" s="33">
        <v>0</v>
      </c>
      <c r="J316" s="33">
        <v>0</v>
      </c>
      <c r="K316" s="33">
        <v>0</v>
      </c>
      <c r="L316" s="33">
        <v>0</v>
      </c>
      <c r="M316" s="33">
        <v>1</v>
      </c>
      <c r="N316" s="33">
        <v>0</v>
      </c>
      <c r="O316" s="33">
        <v>0</v>
      </c>
      <c r="P316" s="33">
        <v>0</v>
      </c>
      <c r="Q316" s="21">
        <v>16</v>
      </c>
      <c r="R316">
        <f t="shared" si="10"/>
        <v>16.97272168252427</v>
      </c>
      <c r="S316">
        <f t="shared" si="11"/>
        <v>7.4410660430672014E-4</v>
      </c>
    </row>
    <row r="317" spans="1:19">
      <c r="A317" s="32">
        <v>41404</v>
      </c>
      <c r="B317" s="42">
        <v>26</v>
      </c>
      <c r="C317" s="33">
        <v>1</v>
      </c>
      <c r="D317" s="33">
        <v>0</v>
      </c>
      <c r="E317" s="33">
        <v>0</v>
      </c>
      <c r="F317" s="33">
        <v>0</v>
      </c>
      <c r="G317" s="33">
        <v>0</v>
      </c>
      <c r="H317" s="33">
        <v>1</v>
      </c>
      <c r="I317" s="33">
        <v>0</v>
      </c>
      <c r="J317" s="33">
        <v>0</v>
      </c>
      <c r="K317" s="33">
        <v>0</v>
      </c>
      <c r="L317" s="33">
        <v>0</v>
      </c>
      <c r="M317" s="33">
        <v>0</v>
      </c>
      <c r="N317" s="33">
        <v>1</v>
      </c>
      <c r="O317" s="33">
        <v>0</v>
      </c>
      <c r="P317" s="33">
        <v>0</v>
      </c>
      <c r="Q317" s="21">
        <v>19</v>
      </c>
      <c r="R317">
        <f t="shared" si="10"/>
        <v>20.125530882682138</v>
      </c>
      <c r="S317">
        <f t="shared" si="11"/>
        <v>34.509387410321295</v>
      </c>
    </row>
    <row r="318" spans="1:19">
      <c r="A318" s="32">
        <v>41405</v>
      </c>
      <c r="B318" s="42">
        <v>44</v>
      </c>
      <c r="C318" s="33">
        <v>1</v>
      </c>
      <c r="D318" s="33">
        <v>0</v>
      </c>
      <c r="E318" s="33">
        <v>0</v>
      </c>
      <c r="F318" s="33">
        <v>1</v>
      </c>
      <c r="G318" s="33">
        <v>1</v>
      </c>
      <c r="H318" s="33">
        <v>4</v>
      </c>
      <c r="I318" s="33">
        <v>0</v>
      </c>
      <c r="J318" s="33">
        <v>0</v>
      </c>
      <c r="K318" s="33">
        <v>0</v>
      </c>
      <c r="L318" s="33">
        <v>0</v>
      </c>
      <c r="M318" s="33">
        <v>0</v>
      </c>
      <c r="N318" s="33">
        <v>0</v>
      </c>
      <c r="O318" s="33">
        <v>1</v>
      </c>
      <c r="P318" s="33">
        <v>0</v>
      </c>
      <c r="Q318" s="21">
        <v>32</v>
      </c>
      <c r="R318">
        <f t="shared" si="10"/>
        <v>32.579728317250137</v>
      </c>
      <c r="S318">
        <f t="shared" si="11"/>
        <v>130.4226053078184</v>
      </c>
    </row>
    <row r="319" spans="1:19">
      <c r="A319" s="32">
        <v>41406</v>
      </c>
      <c r="B319" s="42">
        <v>38</v>
      </c>
      <c r="C319" s="33">
        <v>1</v>
      </c>
      <c r="D319" s="33">
        <v>0</v>
      </c>
      <c r="E319" s="33">
        <v>0</v>
      </c>
      <c r="F319" s="33">
        <v>0</v>
      </c>
      <c r="G319" s="33">
        <v>0</v>
      </c>
      <c r="H319" s="33">
        <v>1</v>
      </c>
      <c r="I319" s="33">
        <v>0</v>
      </c>
      <c r="J319" s="33">
        <v>0</v>
      </c>
      <c r="K319" s="33">
        <v>0</v>
      </c>
      <c r="L319" s="33">
        <v>0</v>
      </c>
      <c r="M319" s="33">
        <v>0</v>
      </c>
      <c r="N319" s="33">
        <v>0</v>
      </c>
      <c r="O319" s="33">
        <v>0</v>
      </c>
      <c r="P319" s="33">
        <v>0</v>
      </c>
      <c r="Q319" s="21">
        <v>26</v>
      </c>
      <c r="R319">
        <f t="shared" si="10"/>
        <v>19.56484568903883</v>
      </c>
      <c r="S319">
        <f t="shared" si="11"/>
        <v>339.8549144689502</v>
      </c>
    </row>
    <row r="320" spans="1:19">
      <c r="A320" s="32">
        <v>41407</v>
      </c>
      <c r="B320" s="42">
        <v>32</v>
      </c>
      <c r="C320" s="33">
        <v>1</v>
      </c>
      <c r="D320" s="33">
        <v>0</v>
      </c>
      <c r="E320" s="33">
        <v>0</v>
      </c>
      <c r="F320" s="33">
        <v>0</v>
      </c>
      <c r="G320" s="33">
        <v>0</v>
      </c>
      <c r="H320" s="33">
        <v>1</v>
      </c>
      <c r="I320" s="33">
        <v>0</v>
      </c>
      <c r="J320" s="33">
        <v>1</v>
      </c>
      <c r="K320" s="33">
        <v>0</v>
      </c>
      <c r="L320" s="33">
        <v>0</v>
      </c>
      <c r="M320" s="33">
        <v>0</v>
      </c>
      <c r="N320" s="33">
        <v>0</v>
      </c>
      <c r="O320" s="33">
        <v>0</v>
      </c>
      <c r="P320" s="33">
        <v>0</v>
      </c>
      <c r="Q320" s="21">
        <v>22</v>
      </c>
      <c r="R320">
        <f t="shared" si="10"/>
        <v>22.179294421393227</v>
      </c>
      <c r="S320">
        <f t="shared" si="11"/>
        <v>96.446258061678193</v>
      </c>
    </row>
    <row r="321" spans="1:19">
      <c r="A321" s="32">
        <v>41408</v>
      </c>
      <c r="B321" s="42">
        <v>22</v>
      </c>
      <c r="C321" s="33">
        <v>1</v>
      </c>
      <c r="D321" s="33">
        <v>0</v>
      </c>
      <c r="E321" s="33">
        <v>0</v>
      </c>
      <c r="F321" s="33">
        <v>0</v>
      </c>
      <c r="G321" s="33">
        <v>0</v>
      </c>
      <c r="H321" s="33">
        <v>1</v>
      </c>
      <c r="I321" s="33">
        <v>0</v>
      </c>
      <c r="J321" s="33">
        <v>0</v>
      </c>
      <c r="K321" s="33">
        <v>1</v>
      </c>
      <c r="L321" s="33">
        <v>0</v>
      </c>
      <c r="M321" s="33">
        <v>0</v>
      </c>
      <c r="N321" s="33">
        <v>0</v>
      </c>
      <c r="O321" s="33">
        <v>0</v>
      </c>
      <c r="P321" s="33">
        <v>0</v>
      </c>
      <c r="Q321" s="21">
        <v>21</v>
      </c>
      <c r="R321">
        <f t="shared" si="10"/>
        <v>21.612762791932212</v>
      </c>
      <c r="S321">
        <f t="shared" si="11"/>
        <v>0.14995265531213511</v>
      </c>
    </row>
    <row r="322" spans="1:19">
      <c r="A322" s="32">
        <v>41409</v>
      </c>
      <c r="B322" s="42">
        <v>24</v>
      </c>
      <c r="C322" s="33">
        <v>1</v>
      </c>
      <c r="D322" s="33">
        <v>0</v>
      </c>
      <c r="E322" s="33">
        <v>0</v>
      </c>
      <c r="F322" s="33">
        <v>0</v>
      </c>
      <c r="G322" s="33">
        <v>0</v>
      </c>
      <c r="H322" s="33">
        <v>1</v>
      </c>
      <c r="I322" s="33">
        <v>0</v>
      </c>
      <c r="J322" s="33">
        <v>0</v>
      </c>
      <c r="K322" s="33">
        <v>0</v>
      </c>
      <c r="L322" s="33">
        <v>1</v>
      </c>
      <c r="M322" s="33">
        <v>0</v>
      </c>
      <c r="N322" s="33">
        <v>0</v>
      </c>
      <c r="O322" s="33">
        <v>0</v>
      </c>
      <c r="P322" s="33">
        <v>0</v>
      </c>
      <c r="Q322" s="21">
        <v>11</v>
      </c>
      <c r="R322">
        <f t="shared" si="10"/>
        <v>15.462598814698843</v>
      </c>
      <c r="S322">
        <f t="shared" si="11"/>
        <v>72.887218998781591</v>
      </c>
    </row>
    <row r="323" spans="1:19">
      <c r="A323" s="32">
        <v>41410</v>
      </c>
      <c r="B323" s="42">
        <v>29</v>
      </c>
      <c r="C323" s="33">
        <v>1</v>
      </c>
      <c r="D323" s="33">
        <v>0</v>
      </c>
      <c r="E323" s="33">
        <v>0</v>
      </c>
      <c r="F323" s="33">
        <v>0</v>
      </c>
      <c r="G323" s="33">
        <v>0</v>
      </c>
      <c r="H323" s="33">
        <v>1</v>
      </c>
      <c r="I323" s="33">
        <v>0</v>
      </c>
      <c r="J323" s="33">
        <v>0</v>
      </c>
      <c r="K323" s="33">
        <v>0</v>
      </c>
      <c r="L323" s="33">
        <v>0</v>
      </c>
      <c r="M323" s="33">
        <v>1</v>
      </c>
      <c r="N323" s="33">
        <v>0</v>
      </c>
      <c r="O323" s="33">
        <v>0</v>
      </c>
      <c r="P323" s="33">
        <v>0</v>
      </c>
      <c r="Q323" s="21">
        <v>14</v>
      </c>
      <c r="R323">
        <f t="shared" si="10"/>
        <v>15.822470143837137</v>
      </c>
      <c r="S323">
        <f t="shared" si="11"/>
        <v>173.64729311006366</v>
      </c>
    </row>
    <row r="324" spans="1:19">
      <c r="A324" s="32">
        <v>41411</v>
      </c>
      <c r="B324" s="42">
        <v>38</v>
      </c>
      <c r="C324" s="33">
        <v>1</v>
      </c>
      <c r="D324" s="33">
        <v>0</v>
      </c>
      <c r="E324" s="33">
        <v>0</v>
      </c>
      <c r="F324" s="33">
        <v>1</v>
      </c>
      <c r="G324" s="33">
        <v>0</v>
      </c>
      <c r="H324" s="33">
        <v>2</v>
      </c>
      <c r="I324" s="33">
        <v>0</v>
      </c>
      <c r="J324" s="33">
        <v>0</v>
      </c>
      <c r="K324" s="33">
        <v>0</v>
      </c>
      <c r="L324" s="33">
        <v>0</v>
      </c>
      <c r="M324" s="33">
        <v>0</v>
      </c>
      <c r="N324" s="33">
        <v>1</v>
      </c>
      <c r="O324" s="33">
        <v>0</v>
      </c>
      <c r="P324" s="33">
        <v>0</v>
      </c>
      <c r="Q324" s="21">
        <v>19</v>
      </c>
      <c r="R324">
        <f t="shared" si="10"/>
        <v>24.689393356721716</v>
      </c>
      <c r="S324">
        <f t="shared" si="11"/>
        <v>177.17224921208398</v>
      </c>
    </row>
    <row r="325" spans="1:19">
      <c r="A325" s="32">
        <v>41412</v>
      </c>
      <c r="B325" s="42">
        <v>47</v>
      </c>
      <c r="C325" s="33">
        <v>1</v>
      </c>
      <c r="D325" s="33">
        <v>0</v>
      </c>
      <c r="E325" s="33">
        <v>0</v>
      </c>
      <c r="F325" s="33">
        <v>1</v>
      </c>
      <c r="G325" s="33">
        <v>1</v>
      </c>
      <c r="H325" s="33">
        <v>4</v>
      </c>
      <c r="I325" s="33">
        <v>0</v>
      </c>
      <c r="J325" s="33">
        <v>0</v>
      </c>
      <c r="K325" s="33">
        <v>0</v>
      </c>
      <c r="L325" s="33">
        <v>0</v>
      </c>
      <c r="M325" s="33">
        <v>0</v>
      </c>
      <c r="N325" s="33">
        <v>0</v>
      </c>
      <c r="O325" s="33">
        <v>1</v>
      </c>
      <c r="P325" s="33">
        <v>0</v>
      </c>
      <c r="Q325" s="21">
        <v>33</v>
      </c>
      <c r="R325">
        <f t="shared" ref="R325:R369" si="12">SUMPRODUCT($C$2:$Q$2,C325:Q325)</f>
        <v>33.154854086593708</v>
      </c>
      <c r="S325">
        <f t="shared" ref="S325:S369" si="13">(R325-B325)^2</f>
        <v>191.68806536351093</v>
      </c>
    </row>
    <row r="326" spans="1:19">
      <c r="A326" s="32">
        <v>41413</v>
      </c>
      <c r="B326" s="42">
        <v>52</v>
      </c>
      <c r="C326" s="33">
        <v>1</v>
      </c>
      <c r="D326" s="33">
        <v>0</v>
      </c>
      <c r="E326" s="33">
        <v>0</v>
      </c>
      <c r="F326" s="33">
        <v>1</v>
      </c>
      <c r="G326" s="33">
        <v>0</v>
      </c>
      <c r="H326" s="33">
        <v>2</v>
      </c>
      <c r="I326" s="33">
        <v>0</v>
      </c>
      <c r="J326" s="33">
        <v>0</v>
      </c>
      <c r="K326" s="33">
        <v>0</v>
      </c>
      <c r="L326" s="33">
        <v>0</v>
      </c>
      <c r="M326" s="33">
        <v>0</v>
      </c>
      <c r="N326" s="33">
        <v>0</v>
      </c>
      <c r="O326" s="33">
        <v>0</v>
      </c>
      <c r="P326" s="33">
        <v>0</v>
      </c>
      <c r="Q326" s="21">
        <v>25</v>
      </c>
      <c r="R326">
        <f t="shared" si="12"/>
        <v>23.553582393734843</v>
      </c>
      <c r="S326">
        <f t="shared" si="13"/>
        <v>809.19867463003231</v>
      </c>
    </row>
    <row r="327" spans="1:19">
      <c r="A327" s="32">
        <v>41414</v>
      </c>
      <c r="B327" s="42">
        <v>37</v>
      </c>
      <c r="C327" s="33">
        <v>1</v>
      </c>
      <c r="D327" s="33">
        <v>0</v>
      </c>
      <c r="E327" s="33">
        <v>0</v>
      </c>
      <c r="F327" s="33">
        <v>0</v>
      </c>
      <c r="G327" s="33">
        <v>0</v>
      </c>
      <c r="H327" s="33">
        <v>1</v>
      </c>
      <c r="I327" s="33">
        <v>0</v>
      </c>
      <c r="J327" s="33">
        <v>1</v>
      </c>
      <c r="K327" s="33">
        <v>0</v>
      </c>
      <c r="L327" s="33">
        <v>0</v>
      </c>
      <c r="M327" s="33">
        <v>0</v>
      </c>
      <c r="N327" s="33">
        <v>0</v>
      </c>
      <c r="O327" s="33">
        <v>0</v>
      </c>
      <c r="P327" s="33">
        <v>0</v>
      </c>
      <c r="Q327" s="21">
        <v>15</v>
      </c>
      <c r="R327">
        <f t="shared" si="12"/>
        <v>18.153414035988256</v>
      </c>
      <c r="S327">
        <f t="shared" si="13"/>
        <v>355.19380249888451</v>
      </c>
    </row>
    <row r="328" spans="1:19">
      <c r="A328" s="32">
        <v>41415</v>
      </c>
      <c r="B328" s="42">
        <v>23</v>
      </c>
      <c r="C328" s="33">
        <v>1</v>
      </c>
      <c r="D328" s="33">
        <v>0</v>
      </c>
      <c r="E328" s="33">
        <v>0</v>
      </c>
      <c r="F328" s="33">
        <v>0</v>
      </c>
      <c r="G328" s="33">
        <v>0</v>
      </c>
      <c r="H328" s="33">
        <v>1</v>
      </c>
      <c r="I328" s="33">
        <v>0</v>
      </c>
      <c r="J328" s="33">
        <v>0</v>
      </c>
      <c r="K328" s="33">
        <v>1</v>
      </c>
      <c r="L328" s="33">
        <v>0</v>
      </c>
      <c r="M328" s="33">
        <v>0</v>
      </c>
      <c r="N328" s="33">
        <v>0</v>
      </c>
      <c r="O328" s="33">
        <v>0</v>
      </c>
      <c r="P328" s="33">
        <v>0</v>
      </c>
      <c r="Q328" s="21">
        <v>21</v>
      </c>
      <c r="R328">
        <f t="shared" si="12"/>
        <v>21.612762791932212</v>
      </c>
      <c r="S328">
        <f t="shared" si="13"/>
        <v>1.9244270714477105</v>
      </c>
    </row>
    <row r="329" spans="1:19">
      <c r="A329" s="32">
        <v>41416</v>
      </c>
      <c r="B329" s="42">
        <v>22</v>
      </c>
      <c r="C329" s="33">
        <v>1</v>
      </c>
      <c r="D329" s="33">
        <v>0</v>
      </c>
      <c r="E329" s="33">
        <v>0</v>
      </c>
      <c r="F329" s="33">
        <v>0</v>
      </c>
      <c r="G329" s="33">
        <v>0</v>
      </c>
      <c r="H329" s="33">
        <v>1</v>
      </c>
      <c r="I329" s="33">
        <v>0</v>
      </c>
      <c r="J329" s="33">
        <v>0</v>
      </c>
      <c r="K329" s="33">
        <v>0</v>
      </c>
      <c r="L329" s="33">
        <v>1</v>
      </c>
      <c r="M329" s="33">
        <v>0</v>
      </c>
      <c r="N329" s="33">
        <v>0</v>
      </c>
      <c r="O329" s="33">
        <v>0</v>
      </c>
      <c r="P329" s="33">
        <v>0</v>
      </c>
      <c r="Q329" s="21">
        <v>19</v>
      </c>
      <c r="R329">
        <f t="shared" si="12"/>
        <v>20.063604969447379</v>
      </c>
      <c r="S329">
        <f t="shared" si="13"/>
        <v>3.7496257143488858</v>
      </c>
    </row>
    <row r="330" spans="1:19">
      <c r="A330" s="32">
        <v>41417</v>
      </c>
      <c r="B330" s="42">
        <v>26</v>
      </c>
      <c r="C330" s="33">
        <v>1</v>
      </c>
      <c r="D330" s="33">
        <v>0</v>
      </c>
      <c r="E330" s="33">
        <v>0</v>
      </c>
      <c r="F330" s="33">
        <v>0</v>
      </c>
      <c r="G330" s="33">
        <v>0</v>
      </c>
      <c r="H330" s="33">
        <v>1</v>
      </c>
      <c r="I330" s="33">
        <v>0</v>
      </c>
      <c r="J330" s="33">
        <v>0</v>
      </c>
      <c r="K330" s="33">
        <v>0</v>
      </c>
      <c r="L330" s="33">
        <v>0</v>
      </c>
      <c r="M330" s="33">
        <v>1</v>
      </c>
      <c r="N330" s="33">
        <v>0</v>
      </c>
      <c r="O330" s="33">
        <v>0</v>
      </c>
      <c r="P330" s="33">
        <v>0</v>
      </c>
      <c r="Q330" s="21">
        <v>23</v>
      </c>
      <c r="R330">
        <f t="shared" si="12"/>
        <v>20.998602067929241</v>
      </c>
      <c r="S330">
        <f t="shared" si="13"/>
        <v>25.013981274921665</v>
      </c>
    </row>
    <row r="331" spans="1:19">
      <c r="A331" s="32">
        <v>41418</v>
      </c>
      <c r="B331" s="42">
        <v>30</v>
      </c>
      <c r="C331" s="33">
        <v>1</v>
      </c>
      <c r="D331" s="33">
        <v>0</v>
      </c>
      <c r="E331" s="33">
        <v>0</v>
      </c>
      <c r="F331" s="33">
        <v>1</v>
      </c>
      <c r="G331" s="33">
        <v>1</v>
      </c>
      <c r="H331" s="33">
        <v>4</v>
      </c>
      <c r="I331" s="33">
        <v>0</v>
      </c>
      <c r="J331" s="33">
        <v>0</v>
      </c>
      <c r="K331" s="33">
        <v>0</v>
      </c>
      <c r="L331" s="33">
        <v>0</v>
      </c>
      <c r="M331" s="33">
        <v>0</v>
      </c>
      <c r="N331" s="33">
        <v>1</v>
      </c>
      <c r="O331" s="33">
        <v>0</v>
      </c>
      <c r="P331" s="33">
        <v>0</v>
      </c>
      <c r="Q331" s="21">
        <v>32</v>
      </c>
      <c r="R331">
        <f t="shared" si="12"/>
        <v>34.465367635216111</v>
      </c>
      <c r="S331">
        <f t="shared" si="13"/>
        <v>19.939508117635526</v>
      </c>
    </row>
    <row r="332" spans="1:19">
      <c r="A332" s="32">
        <v>41419</v>
      </c>
      <c r="B332" s="42">
        <v>52</v>
      </c>
      <c r="C332" s="33">
        <v>1</v>
      </c>
      <c r="D332" s="33">
        <v>0</v>
      </c>
      <c r="E332" s="33">
        <v>0</v>
      </c>
      <c r="F332" s="33">
        <v>2</v>
      </c>
      <c r="G332" s="33">
        <v>1</v>
      </c>
      <c r="H332" s="33">
        <v>6</v>
      </c>
      <c r="I332" s="33">
        <v>0</v>
      </c>
      <c r="J332" s="33">
        <v>0</v>
      </c>
      <c r="K332" s="33">
        <v>0</v>
      </c>
      <c r="L332" s="33">
        <v>0</v>
      </c>
      <c r="M332" s="33">
        <v>0</v>
      </c>
      <c r="N332" s="33">
        <v>0</v>
      </c>
      <c r="O332" s="33">
        <v>1</v>
      </c>
      <c r="P332" s="33">
        <v>0</v>
      </c>
      <c r="Q332" s="21">
        <v>39</v>
      </c>
      <c r="R332">
        <f t="shared" si="12"/>
        <v>40.415426274034857</v>
      </c>
      <c r="S332">
        <f t="shared" si="13"/>
        <v>134.20234841232192</v>
      </c>
    </row>
    <row r="333" spans="1:19">
      <c r="A333" s="32">
        <v>41420</v>
      </c>
      <c r="B333" s="42">
        <v>42</v>
      </c>
      <c r="C333" s="33">
        <v>1</v>
      </c>
      <c r="D333" s="33">
        <v>0</v>
      </c>
      <c r="E333" s="33">
        <v>0</v>
      </c>
      <c r="F333" s="33">
        <v>1</v>
      </c>
      <c r="G333" s="33">
        <v>1</v>
      </c>
      <c r="H333" s="33">
        <v>4</v>
      </c>
      <c r="I333" s="33">
        <v>0</v>
      </c>
      <c r="J333" s="33">
        <v>0</v>
      </c>
      <c r="K333" s="33">
        <v>0</v>
      </c>
      <c r="L333" s="33">
        <v>0</v>
      </c>
      <c r="M333" s="33">
        <v>0</v>
      </c>
      <c r="N333" s="33">
        <v>0</v>
      </c>
      <c r="O333" s="33">
        <v>0</v>
      </c>
      <c r="P333" s="33">
        <v>0</v>
      </c>
      <c r="Q333" s="21">
        <v>32</v>
      </c>
      <c r="R333">
        <f t="shared" si="12"/>
        <v>29.878802056167832</v>
      </c>
      <c r="S333">
        <f t="shared" si="13"/>
        <v>146.9234395935612</v>
      </c>
    </row>
    <row r="334" spans="1:19">
      <c r="A334" s="32">
        <v>41421</v>
      </c>
      <c r="B334" s="42">
        <v>47</v>
      </c>
      <c r="C334" s="33">
        <v>1</v>
      </c>
      <c r="D334" s="33">
        <v>0</v>
      </c>
      <c r="E334" s="33">
        <v>0</v>
      </c>
      <c r="F334" s="33">
        <v>0</v>
      </c>
      <c r="G334" s="33">
        <v>0</v>
      </c>
      <c r="H334" s="33">
        <v>1</v>
      </c>
      <c r="I334" s="33">
        <v>0</v>
      </c>
      <c r="J334" s="33">
        <v>1</v>
      </c>
      <c r="K334" s="33">
        <v>0</v>
      </c>
      <c r="L334" s="33">
        <v>0</v>
      </c>
      <c r="M334" s="33">
        <v>0</v>
      </c>
      <c r="N334" s="33">
        <v>0</v>
      </c>
      <c r="O334" s="33">
        <v>0</v>
      </c>
      <c r="P334" s="33">
        <v>0</v>
      </c>
      <c r="Q334" s="21">
        <v>30</v>
      </c>
      <c r="R334">
        <f t="shared" si="12"/>
        <v>26.780300576141762</v>
      </c>
      <c r="S334">
        <f t="shared" si="13"/>
        <v>408.83624479117316</v>
      </c>
    </row>
    <row r="335" spans="1:19">
      <c r="A335" s="32">
        <v>41422</v>
      </c>
      <c r="B335" s="42">
        <v>32</v>
      </c>
      <c r="C335" s="33">
        <v>1</v>
      </c>
      <c r="D335" s="33">
        <v>0</v>
      </c>
      <c r="E335" s="33">
        <v>0</v>
      </c>
      <c r="F335" s="33">
        <v>0</v>
      </c>
      <c r="G335" s="33">
        <v>0</v>
      </c>
      <c r="H335" s="33">
        <v>1</v>
      </c>
      <c r="I335" s="33">
        <v>0</v>
      </c>
      <c r="J335" s="33">
        <v>0</v>
      </c>
      <c r="K335" s="33">
        <v>1</v>
      </c>
      <c r="L335" s="33">
        <v>0</v>
      </c>
      <c r="M335" s="33">
        <v>0</v>
      </c>
      <c r="N335" s="33">
        <v>0</v>
      </c>
      <c r="O335" s="33">
        <v>0</v>
      </c>
      <c r="P335" s="33">
        <v>0</v>
      </c>
      <c r="Q335" s="21">
        <v>33</v>
      </c>
      <c r="R335">
        <f t="shared" si="12"/>
        <v>28.514272024055018</v>
      </c>
      <c r="S335">
        <f t="shared" si="13"/>
        <v>12.150299522285504</v>
      </c>
    </row>
    <row r="336" spans="1:19">
      <c r="A336" s="32">
        <v>41423</v>
      </c>
      <c r="B336" s="42">
        <v>40</v>
      </c>
      <c r="C336" s="33">
        <v>1</v>
      </c>
      <c r="D336" s="33">
        <v>0</v>
      </c>
      <c r="E336" s="33">
        <v>0</v>
      </c>
      <c r="F336" s="33">
        <v>1</v>
      </c>
      <c r="G336" s="33">
        <v>1</v>
      </c>
      <c r="H336" s="33">
        <v>4</v>
      </c>
      <c r="I336" s="33">
        <v>0</v>
      </c>
      <c r="J336" s="33">
        <v>0</v>
      </c>
      <c r="K336" s="33">
        <v>0</v>
      </c>
      <c r="L336" s="33">
        <v>1</v>
      </c>
      <c r="M336" s="33">
        <v>0</v>
      </c>
      <c r="N336" s="33">
        <v>0</v>
      </c>
      <c r="O336" s="33">
        <v>0</v>
      </c>
      <c r="P336" s="33">
        <v>0</v>
      </c>
      <c r="Q336" s="21">
        <v>27</v>
      </c>
      <c r="R336">
        <f t="shared" si="12"/>
        <v>31.527812875263514</v>
      </c>
      <c r="S336">
        <f t="shared" si="13"/>
        <v>71.777954676550678</v>
      </c>
    </row>
    <row r="337" spans="1:19">
      <c r="A337" s="32">
        <v>41424</v>
      </c>
      <c r="B337" s="42">
        <v>42</v>
      </c>
      <c r="C337" s="33">
        <v>1</v>
      </c>
      <c r="D337" s="33">
        <v>0</v>
      </c>
      <c r="E337" s="33">
        <v>0</v>
      </c>
      <c r="F337" s="33">
        <v>1</v>
      </c>
      <c r="G337" s="33">
        <v>0</v>
      </c>
      <c r="H337" s="33">
        <v>2</v>
      </c>
      <c r="I337" s="33">
        <v>0</v>
      </c>
      <c r="J337" s="33">
        <v>0</v>
      </c>
      <c r="K337" s="33">
        <v>0</v>
      </c>
      <c r="L337" s="33">
        <v>0</v>
      </c>
      <c r="M337" s="33">
        <v>1</v>
      </c>
      <c r="N337" s="33">
        <v>0</v>
      </c>
      <c r="O337" s="33">
        <v>0</v>
      </c>
      <c r="P337" s="33">
        <v>0</v>
      </c>
      <c r="Q337" s="21">
        <v>35</v>
      </c>
      <c r="R337">
        <f t="shared" si="12"/>
        <v>32.46397377409162</v>
      </c>
      <c r="S337">
        <f t="shared" si="13"/>
        <v>90.93579618121241</v>
      </c>
    </row>
    <row r="338" spans="1:19">
      <c r="A338" s="32">
        <v>41425</v>
      </c>
      <c r="B338" s="42">
        <v>54</v>
      </c>
      <c r="C338" s="33">
        <v>1</v>
      </c>
      <c r="D338" s="33">
        <v>0</v>
      </c>
      <c r="E338" s="33">
        <v>0</v>
      </c>
      <c r="F338" s="33">
        <v>1</v>
      </c>
      <c r="G338" s="33">
        <v>1</v>
      </c>
      <c r="H338" s="33">
        <v>4</v>
      </c>
      <c r="I338" s="33">
        <v>0</v>
      </c>
      <c r="J338" s="33">
        <v>0</v>
      </c>
      <c r="K338" s="33">
        <v>0</v>
      </c>
      <c r="L338" s="33">
        <v>0</v>
      </c>
      <c r="M338" s="33">
        <v>0</v>
      </c>
      <c r="N338" s="33">
        <v>1</v>
      </c>
      <c r="O338" s="33">
        <v>0</v>
      </c>
      <c r="P338" s="33">
        <v>0</v>
      </c>
      <c r="Q338" s="21">
        <v>30</v>
      </c>
      <c r="R338">
        <f t="shared" si="12"/>
        <v>33.315116096528975</v>
      </c>
      <c r="S338">
        <f t="shared" si="13"/>
        <v>427.86442210007471</v>
      </c>
    </row>
    <row r="339" spans="1:19">
      <c r="A339" s="32">
        <v>41426</v>
      </c>
      <c r="B339" s="42">
        <v>57</v>
      </c>
      <c r="C339" s="33">
        <v>1</v>
      </c>
      <c r="D339" s="33">
        <v>0</v>
      </c>
      <c r="E339" s="33">
        <v>0</v>
      </c>
      <c r="F339" s="33">
        <v>2</v>
      </c>
      <c r="G339" s="33">
        <v>1</v>
      </c>
      <c r="H339" s="33">
        <v>6</v>
      </c>
      <c r="I339" s="33">
        <v>0</v>
      </c>
      <c r="J339" s="33">
        <v>0</v>
      </c>
      <c r="K339" s="33">
        <v>0</v>
      </c>
      <c r="L339" s="33">
        <v>0</v>
      </c>
      <c r="M339" s="33">
        <v>0</v>
      </c>
      <c r="N339" s="33">
        <v>0</v>
      </c>
      <c r="O339" s="33">
        <v>1</v>
      </c>
      <c r="P339" s="33">
        <v>0</v>
      </c>
      <c r="Q339" s="21">
        <v>36</v>
      </c>
      <c r="R339">
        <f t="shared" si="12"/>
        <v>38.690048966004156</v>
      </c>
      <c r="S339">
        <f t="shared" si="13"/>
        <v>335.25430686732551</v>
      </c>
    </row>
    <row r="340" spans="1:19">
      <c r="A340" s="32">
        <v>41427</v>
      </c>
      <c r="B340" s="42">
        <v>42</v>
      </c>
      <c r="C340" s="33">
        <v>1</v>
      </c>
      <c r="D340" s="33">
        <v>0</v>
      </c>
      <c r="E340" s="33">
        <v>0</v>
      </c>
      <c r="F340" s="33">
        <v>1</v>
      </c>
      <c r="G340" s="33">
        <v>1</v>
      </c>
      <c r="H340" s="33">
        <v>4</v>
      </c>
      <c r="I340" s="33">
        <v>0</v>
      </c>
      <c r="J340" s="33">
        <v>0</v>
      </c>
      <c r="K340" s="33">
        <v>0</v>
      </c>
      <c r="L340" s="33">
        <v>0</v>
      </c>
      <c r="M340" s="33">
        <v>0</v>
      </c>
      <c r="N340" s="33">
        <v>0</v>
      </c>
      <c r="O340" s="33">
        <v>0</v>
      </c>
      <c r="P340" s="33">
        <v>0</v>
      </c>
      <c r="Q340" s="21">
        <v>28</v>
      </c>
      <c r="R340">
        <f t="shared" si="12"/>
        <v>27.578298978793566</v>
      </c>
      <c r="S340">
        <f t="shared" si="13"/>
        <v>207.98546034506671</v>
      </c>
    </row>
    <row r="341" spans="1:19">
      <c r="A341" s="32">
        <v>41428</v>
      </c>
      <c r="B341" s="42">
        <v>31</v>
      </c>
      <c r="C341" s="33">
        <v>1</v>
      </c>
      <c r="D341" s="33">
        <v>0</v>
      </c>
      <c r="E341" s="33">
        <v>0</v>
      </c>
      <c r="F341" s="33">
        <v>0</v>
      </c>
      <c r="G341" s="33">
        <v>0</v>
      </c>
      <c r="H341" s="33">
        <v>1</v>
      </c>
      <c r="I341" s="33">
        <v>0</v>
      </c>
      <c r="J341" s="33">
        <v>1</v>
      </c>
      <c r="K341" s="33">
        <v>0</v>
      </c>
      <c r="L341" s="33">
        <v>0</v>
      </c>
      <c r="M341" s="33">
        <v>0</v>
      </c>
      <c r="N341" s="33">
        <v>0</v>
      </c>
      <c r="O341" s="33">
        <v>0</v>
      </c>
      <c r="P341" s="33">
        <v>0</v>
      </c>
      <c r="Q341" s="21">
        <v>22</v>
      </c>
      <c r="R341">
        <f t="shared" si="12"/>
        <v>22.179294421393227</v>
      </c>
      <c r="S341">
        <f t="shared" si="13"/>
        <v>77.804846904464654</v>
      </c>
    </row>
    <row r="342" spans="1:19">
      <c r="A342" s="32">
        <v>41429</v>
      </c>
      <c r="B342" s="42">
        <v>18</v>
      </c>
      <c r="C342" s="33">
        <v>1</v>
      </c>
      <c r="D342" s="33">
        <v>0</v>
      </c>
      <c r="E342" s="33">
        <v>0</v>
      </c>
      <c r="F342" s="33">
        <v>0</v>
      </c>
      <c r="G342" s="33">
        <v>0</v>
      </c>
      <c r="H342" s="33">
        <v>1</v>
      </c>
      <c r="I342" s="33">
        <v>0</v>
      </c>
      <c r="J342" s="33">
        <v>0</v>
      </c>
      <c r="K342" s="33">
        <v>1</v>
      </c>
      <c r="L342" s="33">
        <v>0</v>
      </c>
      <c r="M342" s="33">
        <v>0</v>
      </c>
      <c r="N342" s="33">
        <v>0</v>
      </c>
      <c r="O342" s="33">
        <v>0</v>
      </c>
      <c r="P342" s="33">
        <v>0</v>
      </c>
      <c r="Q342" s="21">
        <v>23</v>
      </c>
      <c r="R342">
        <f t="shared" si="12"/>
        <v>22.763014330619349</v>
      </c>
      <c r="S342">
        <f t="shared" si="13"/>
        <v>22.686305513685284</v>
      </c>
    </row>
    <row r="343" spans="1:19">
      <c r="A343" s="32">
        <v>41430</v>
      </c>
      <c r="B343" s="42">
        <v>18</v>
      </c>
      <c r="C343" s="33">
        <v>1</v>
      </c>
      <c r="D343" s="33">
        <v>0</v>
      </c>
      <c r="E343" s="33">
        <v>0</v>
      </c>
      <c r="F343" s="33">
        <v>0</v>
      </c>
      <c r="G343" s="33">
        <v>0</v>
      </c>
      <c r="H343" s="33">
        <v>1</v>
      </c>
      <c r="I343" s="33">
        <v>0</v>
      </c>
      <c r="J343" s="33">
        <v>0</v>
      </c>
      <c r="K343" s="33">
        <v>0</v>
      </c>
      <c r="L343" s="33">
        <v>1</v>
      </c>
      <c r="M343" s="33">
        <v>0</v>
      </c>
      <c r="N343" s="33">
        <v>0</v>
      </c>
      <c r="O343" s="33">
        <v>0</v>
      </c>
      <c r="P343" s="33">
        <v>0</v>
      </c>
      <c r="Q343" s="21">
        <v>13</v>
      </c>
      <c r="R343">
        <f t="shared" si="12"/>
        <v>16.612850353385976</v>
      </c>
      <c r="S343">
        <f t="shared" si="13"/>
        <v>1.9241841421014105</v>
      </c>
    </row>
    <row r="344" spans="1:19">
      <c r="A344" s="32">
        <v>41431</v>
      </c>
      <c r="B344" s="42">
        <v>29</v>
      </c>
      <c r="C344" s="33">
        <v>1</v>
      </c>
      <c r="D344" s="33">
        <v>0</v>
      </c>
      <c r="E344" s="33">
        <v>0</v>
      </c>
      <c r="F344" s="33">
        <v>0</v>
      </c>
      <c r="G344" s="33">
        <v>0</v>
      </c>
      <c r="H344" s="33">
        <v>1</v>
      </c>
      <c r="I344" s="33">
        <v>0</v>
      </c>
      <c r="J344" s="33">
        <v>0</v>
      </c>
      <c r="K344" s="33">
        <v>0</v>
      </c>
      <c r="L344" s="33">
        <v>0</v>
      </c>
      <c r="M344" s="33">
        <v>1</v>
      </c>
      <c r="N344" s="33">
        <v>0</v>
      </c>
      <c r="O344" s="33">
        <v>0</v>
      </c>
      <c r="P344" s="33">
        <v>0</v>
      </c>
      <c r="Q344" s="21">
        <v>13</v>
      </c>
      <c r="R344">
        <f t="shared" si="12"/>
        <v>15.247344374493569</v>
      </c>
      <c r="S344">
        <f t="shared" si="13"/>
        <v>189.13553675377369</v>
      </c>
    </row>
    <row r="345" spans="1:19">
      <c r="A345" s="32">
        <v>41432</v>
      </c>
      <c r="B345" s="42">
        <v>21</v>
      </c>
      <c r="C345" s="33">
        <v>1</v>
      </c>
      <c r="D345" s="33">
        <v>0</v>
      </c>
      <c r="E345" s="33">
        <v>0</v>
      </c>
      <c r="F345" s="33">
        <v>0</v>
      </c>
      <c r="G345" s="33">
        <v>0</v>
      </c>
      <c r="H345" s="33">
        <v>1</v>
      </c>
      <c r="I345" s="33">
        <v>0</v>
      </c>
      <c r="J345" s="33">
        <v>0</v>
      </c>
      <c r="K345" s="33">
        <v>0</v>
      </c>
      <c r="L345" s="33">
        <v>0</v>
      </c>
      <c r="M345" s="33">
        <v>0</v>
      </c>
      <c r="N345" s="33">
        <v>1</v>
      </c>
      <c r="O345" s="33">
        <v>0</v>
      </c>
      <c r="P345" s="33">
        <v>0</v>
      </c>
      <c r="Q345" s="21">
        <v>12</v>
      </c>
      <c r="R345">
        <f t="shared" si="12"/>
        <v>16.099650497277167</v>
      </c>
      <c r="S345">
        <f t="shared" si="13"/>
        <v>24.013425248835912</v>
      </c>
    </row>
    <row r="346" spans="1:19">
      <c r="A346" s="32">
        <v>41433</v>
      </c>
      <c r="B346" s="42">
        <v>40</v>
      </c>
      <c r="C346" s="33">
        <v>1</v>
      </c>
      <c r="D346" s="33">
        <v>0</v>
      </c>
      <c r="E346" s="33">
        <v>0</v>
      </c>
      <c r="F346" s="33">
        <v>1</v>
      </c>
      <c r="G346" s="33">
        <v>0</v>
      </c>
      <c r="H346" s="33">
        <v>2</v>
      </c>
      <c r="I346" s="33">
        <v>0</v>
      </c>
      <c r="J346" s="33">
        <v>0</v>
      </c>
      <c r="K346" s="33">
        <v>0</v>
      </c>
      <c r="L346" s="33">
        <v>0</v>
      </c>
      <c r="M346" s="33">
        <v>0</v>
      </c>
      <c r="N346" s="33">
        <v>0</v>
      </c>
      <c r="O346" s="33">
        <v>1</v>
      </c>
      <c r="P346" s="33">
        <v>0</v>
      </c>
      <c r="Q346" s="21">
        <v>38</v>
      </c>
      <c r="R346">
        <f t="shared" si="12"/>
        <v>33.731143656283521</v>
      </c>
      <c r="S346">
        <f t="shared" si="13"/>
        <v>39.298559858154341</v>
      </c>
    </row>
    <row r="347" spans="1:19">
      <c r="A347" s="32">
        <v>41434</v>
      </c>
      <c r="B347" s="42">
        <v>32</v>
      </c>
      <c r="C347" s="33">
        <v>1</v>
      </c>
      <c r="D347" s="33">
        <v>0</v>
      </c>
      <c r="E347" s="33">
        <v>0</v>
      </c>
      <c r="F347" s="33">
        <v>0</v>
      </c>
      <c r="G347" s="33">
        <v>0</v>
      </c>
      <c r="H347" s="33">
        <v>1</v>
      </c>
      <c r="I347" s="33">
        <v>0</v>
      </c>
      <c r="J347" s="33">
        <v>0</v>
      </c>
      <c r="K347" s="33">
        <v>0</v>
      </c>
      <c r="L347" s="33">
        <v>0</v>
      </c>
      <c r="M347" s="33">
        <v>0</v>
      </c>
      <c r="N347" s="33">
        <v>0</v>
      </c>
      <c r="O347" s="33">
        <v>0</v>
      </c>
      <c r="P347" s="33">
        <v>0</v>
      </c>
      <c r="Q347" s="21">
        <v>17</v>
      </c>
      <c r="R347">
        <f t="shared" si="12"/>
        <v>14.388713764946727</v>
      </c>
      <c r="S347">
        <f t="shared" si="13"/>
        <v>310.15740285297682</v>
      </c>
    </row>
    <row r="348" spans="1:19">
      <c r="A348" s="32">
        <v>41435</v>
      </c>
      <c r="B348" s="42">
        <v>28</v>
      </c>
      <c r="C348" s="33">
        <v>1</v>
      </c>
      <c r="D348" s="33">
        <v>0</v>
      </c>
      <c r="E348" s="33">
        <v>0</v>
      </c>
      <c r="F348" s="33">
        <v>0</v>
      </c>
      <c r="G348" s="33">
        <v>0</v>
      </c>
      <c r="H348" s="33">
        <v>1</v>
      </c>
      <c r="I348" s="33">
        <v>0</v>
      </c>
      <c r="J348" s="33">
        <v>1</v>
      </c>
      <c r="K348" s="33">
        <v>0</v>
      </c>
      <c r="L348" s="33">
        <v>0</v>
      </c>
      <c r="M348" s="33">
        <v>0</v>
      </c>
      <c r="N348" s="33">
        <v>0</v>
      </c>
      <c r="O348" s="33">
        <v>0</v>
      </c>
      <c r="P348" s="33">
        <v>0</v>
      </c>
      <c r="Q348" s="21">
        <v>22</v>
      </c>
      <c r="R348">
        <f t="shared" si="12"/>
        <v>22.179294421393227</v>
      </c>
      <c r="S348">
        <f t="shared" si="13"/>
        <v>33.880613432824013</v>
      </c>
    </row>
    <row r="349" spans="1:19">
      <c r="A349" s="32">
        <v>41436</v>
      </c>
      <c r="B349" s="42">
        <v>16</v>
      </c>
      <c r="C349" s="33">
        <v>1</v>
      </c>
      <c r="D349" s="33">
        <v>0</v>
      </c>
      <c r="E349" s="33">
        <v>0</v>
      </c>
      <c r="F349" s="33">
        <v>0</v>
      </c>
      <c r="G349" s="33">
        <v>0</v>
      </c>
      <c r="H349" s="33">
        <v>1</v>
      </c>
      <c r="I349" s="33">
        <v>0</v>
      </c>
      <c r="J349" s="33">
        <v>0</v>
      </c>
      <c r="K349" s="33">
        <v>1</v>
      </c>
      <c r="L349" s="33">
        <v>0</v>
      </c>
      <c r="M349" s="33">
        <v>0</v>
      </c>
      <c r="N349" s="33">
        <v>0</v>
      </c>
      <c r="O349" s="33">
        <v>0</v>
      </c>
      <c r="P349" s="33">
        <v>0</v>
      </c>
      <c r="Q349" s="21">
        <v>12</v>
      </c>
      <c r="R349">
        <f t="shared" si="12"/>
        <v>16.436630867840108</v>
      </c>
      <c r="S349">
        <f t="shared" si="13"/>
        <v>0.19064651475080613</v>
      </c>
    </row>
    <row r="350" spans="1:19">
      <c r="A350" s="32">
        <v>41437</v>
      </c>
      <c r="B350" s="42">
        <v>20</v>
      </c>
      <c r="C350" s="33">
        <v>1</v>
      </c>
      <c r="D350" s="33">
        <v>0</v>
      </c>
      <c r="E350" s="33">
        <v>0</v>
      </c>
      <c r="F350" s="33">
        <v>0</v>
      </c>
      <c r="G350" s="33">
        <v>0</v>
      </c>
      <c r="H350" s="33">
        <v>1</v>
      </c>
      <c r="I350" s="33">
        <v>0</v>
      </c>
      <c r="J350" s="33">
        <v>0</v>
      </c>
      <c r="K350" s="33">
        <v>0</v>
      </c>
      <c r="L350" s="33">
        <v>1</v>
      </c>
      <c r="M350" s="33">
        <v>0</v>
      </c>
      <c r="N350" s="33">
        <v>0</v>
      </c>
      <c r="O350" s="33">
        <v>0</v>
      </c>
      <c r="P350" s="33">
        <v>0</v>
      </c>
      <c r="Q350" s="21">
        <v>22</v>
      </c>
      <c r="R350">
        <f t="shared" si="12"/>
        <v>21.78898227747808</v>
      </c>
      <c r="S350">
        <f t="shared" si="13"/>
        <v>3.2004575891306595</v>
      </c>
    </row>
    <row r="351" spans="1:19">
      <c r="A351" s="32">
        <v>41438</v>
      </c>
      <c r="B351" s="42">
        <v>29</v>
      </c>
      <c r="C351" s="33">
        <v>1</v>
      </c>
      <c r="D351" s="33">
        <v>0</v>
      </c>
      <c r="E351" s="33">
        <v>0</v>
      </c>
      <c r="F351" s="33">
        <v>0</v>
      </c>
      <c r="G351" s="33">
        <v>0</v>
      </c>
      <c r="H351" s="33">
        <v>1</v>
      </c>
      <c r="I351" s="33">
        <v>0</v>
      </c>
      <c r="J351" s="33">
        <v>0</v>
      </c>
      <c r="K351" s="33">
        <v>0</v>
      </c>
      <c r="L351" s="33">
        <v>0</v>
      </c>
      <c r="M351" s="33">
        <v>1</v>
      </c>
      <c r="N351" s="33">
        <v>0</v>
      </c>
      <c r="O351" s="33">
        <v>0</v>
      </c>
      <c r="P351" s="33">
        <v>0</v>
      </c>
      <c r="Q351" s="21">
        <v>20</v>
      </c>
      <c r="R351">
        <f t="shared" si="12"/>
        <v>19.27322475989854</v>
      </c>
      <c r="S351">
        <f t="shared" si="13"/>
        <v>94.61015657145083</v>
      </c>
    </row>
    <row r="352" spans="1:19">
      <c r="A352" s="32">
        <v>41439</v>
      </c>
      <c r="B352" s="42">
        <v>28</v>
      </c>
      <c r="C352" s="33">
        <v>1</v>
      </c>
      <c r="D352" s="33">
        <v>0</v>
      </c>
      <c r="E352" s="33">
        <v>0</v>
      </c>
      <c r="F352" s="33">
        <v>0</v>
      </c>
      <c r="G352" s="33">
        <v>0</v>
      </c>
      <c r="H352" s="33">
        <v>1</v>
      </c>
      <c r="I352" s="33">
        <v>0</v>
      </c>
      <c r="J352" s="33">
        <v>0</v>
      </c>
      <c r="K352" s="33">
        <v>0</v>
      </c>
      <c r="L352" s="33">
        <v>0</v>
      </c>
      <c r="M352" s="33">
        <v>0</v>
      </c>
      <c r="N352" s="33">
        <v>1</v>
      </c>
      <c r="O352" s="33">
        <v>0</v>
      </c>
      <c r="P352" s="33">
        <v>0</v>
      </c>
      <c r="Q352" s="21">
        <v>20</v>
      </c>
      <c r="R352">
        <f t="shared" si="12"/>
        <v>20.700656652025707</v>
      </c>
      <c r="S352">
        <f t="shared" si="13"/>
        <v>53.280413311616563</v>
      </c>
    </row>
    <row r="353" spans="1:19">
      <c r="A353" s="32">
        <v>41440</v>
      </c>
      <c r="B353" s="42">
        <v>53</v>
      </c>
      <c r="C353" s="33">
        <v>1</v>
      </c>
      <c r="D353" s="33">
        <v>0</v>
      </c>
      <c r="E353" s="33">
        <v>0</v>
      </c>
      <c r="F353" s="33">
        <v>1</v>
      </c>
      <c r="G353" s="33">
        <v>1</v>
      </c>
      <c r="H353" s="33">
        <v>4</v>
      </c>
      <c r="I353" s="33">
        <v>0</v>
      </c>
      <c r="J353" s="33">
        <v>0</v>
      </c>
      <c r="K353" s="33">
        <v>0</v>
      </c>
      <c r="L353" s="33">
        <v>0</v>
      </c>
      <c r="M353" s="33">
        <v>0</v>
      </c>
      <c r="N353" s="33">
        <v>0</v>
      </c>
      <c r="O353" s="33">
        <v>1</v>
      </c>
      <c r="P353" s="33">
        <v>0</v>
      </c>
      <c r="Q353" s="21">
        <v>42</v>
      </c>
      <c r="R353">
        <f t="shared" si="12"/>
        <v>38.330986010685805</v>
      </c>
      <c r="S353">
        <f t="shared" si="13"/>
        <v>215.17997141869554</v>
      </c>
    </row>
    <row r="354" spans="1:19">
      <c r="A354" s="32">
        <v>41441</v>
      </c>
      <c r="B354" s="42">
        <v>43</v>
      </c>
      <c r="C354" s="33">
        <v>1</v>
      </c>
      <c r="D354" s="33">
        <v>0</v>
      </c>
      <c r="E354" s="33">
        <v>0</v>
      </c>
      <c r="F354" s="33">
        <v>0</v>
      </c>
      <c r="G354" s="33">
        <v>0</v>
      </c>
      <c r="H354" s="33">
        <v>1</v>
      </c>
      <c r="I354" s="33">
        <v>0</v>
      </c>
      <c r="J354" s="33">
        <v>0</v>
      </c>
      <c r="K354" s="33">
        <v>0</v>
      </c>
      <c r="L354" s="33">
        <v>0</v>
      </c>
      <c r="M354" s="33">
        <v>0</v>
      </c>
      <c r="N354" s="33">
        <v>0</v>
      </c>
      <c r="O354" s="33">
        <v>0</v>
      </c>
      <c r="P354" s="33">
        <v>0</v>
      </c>
      <c r="Q354" s="21">
        <v>22</v>
      </c>
      <c r="R354">
        <f t="shared" si="12"/>
        <v>17.264342611664564</v>
      </c>
      <c r="S354">
        <f t="shared" si="13"/>
        <v>662.3240612097843</v>
      </c>
    </row>
    <row r="355" spans="1:19">
      <c r="A355" s="32">
        <v>41442</v>
      </c>
      <c r="B355" s="42">
        <v>36</v>
      </c>
      <c r="C355" s="33">
        <v>1</v>
      </c>
      <c r="D355" s="33">
        <v>0</v>
      </c>
      <c r="E355" s="33">
        <v>0</v>
      </c>
      <c r="F355" s="33">
        <v>0</v>
      </c>
      <c r="G355" s="33">
        <v>0</v>
      </c>
      <c r="H355" s="33">
        <v>1</v>
      </c>
      <c r="I355" s="33">
        <v>0</v>
      </c>
      <c r="J355" s="33">
        <v>1</v>
      </c>
      <c r="K355" s="33">
        <v>0</v>
      </c>
      <c r="L355" s="33">
        <v>0</v>
      </c>
      <c r="M355" s="33">
        <v>0</v>
      </c>
      <c r="N355" s="33">
        <v>0</v>
      </c>
      <c r="O355" s="33">
        <v>0</v>
      </c>
      <c r="P355" s="33">
        <v>0</v>
      </c>
      <c r="Q355" s="21">
        <v>23</v>
      </c>
      <c r="R355">
        <f t="shared" si="12"/>
        <v>22.754420190736795</v>
      </c>
      <c r="S355">
        <f t="shared" si="13"/>
        <v>175.44538448356107</v>
      </c>
    </row>
    <row r="356" spans="1:19">
      <c r="A356" s="32">
        <v>41443</v>
      </c>
      <c r="B356" s="42">
        <v>24</v>
      </c>
      <c r="C356" s="33">
        <v>1</v>
      </c>
      <c r="D356" s="33">
        <v>0</v>
      </c>
      <c r="E356" s="33">
        <v>0</v>
      </c>
      <c r="F356" s="33">
        <v>0</v>
      </c>
      <c r="G356" s="33">
        <v>0</v>
      </c>
      <c r="H356" s="33">
        <v>1</v>
      </c>
      <c r="I356" s="33">
        <v>0</v>
      </c>
      <c r="J356" s="33">
        <v>0</v>
      </c>
      <c r="K356" s="33">
        <v>1</v>
      </c>
      <c r="L356" s="33">
        <v>0</v>
      </c>
      <c r="M356" s="33">
        <v>0</v>
      </c>
      <c r="N356" s="33">
        <v>0</v>
      </c>
      <c r="O356" s="33">
        <v>0</v>
      </c>
      <c r="P356" s="33">
        <v>0</v>
      </c>
      <c r="Q356" s="21">
        <v>19</v>
      </c>
      <c r="R356">
        <f t="shared" si="12"/>
        <v>20.462511253245079</v>
      </c>
      <c r="S356">
        <f t="shared" si="13"/>
        <v>12.5138266334177</v>
      </c>
    </row>
    <row r="357" spans="1:19">
      <c r="A357" s="32">
        <v>41444</v>
      </c>
      <c r="B357" s="42">
        <v>20</v>
      </c>
      <c r="C357" s="33">
        <v>1</v>
      </c>
      <c r="D357" s="33">
        <v>0</v>
      </c>
      <c r="E357" s="33">
        <v>0</v>
      </c>
      <c r="F357" s="33">
        <v>0</v>
      </c>
      <c r="G357" s="33">
        <v>0</v>
      </c>
      <c r="H357" s="33">
        <v>1</v>
      </c>
      <c r="I357" s="33">
        <v>0</v>
      </c>
      <c r="J357" s="33">
        <v>0</v>
      </c>
      <c r="K357" s="33">
        <v>0</v>
      </c>
      <c r="L357" s="33">
        <v>1</v>
      </c>
      <c r="M357" s="33">
        <v>0</v>
      </c>
      <c r="N357" s="33">
        <v>0</v>
      </c>
      <c r="O357" s="33">
        <v>0</v>
      </c>
      <c r="P357" s="33">
        <v>0</v>
      </c>
      <c r="Q357" s="21">
        <v>21</v>
      </c>
      <c r="R357">
        <f t="shared" si="12"/>
        <v>21.213856508134512</v>
      </c>
      <c r="S357">
        <f t="shared" si="13"/>
        <v>1.4734476223405109</v>
      </c>
    </row>
    <row r="358" spans="1:19">
      <c r="A358" s="32">
        <v>41445</v>
      </c>
      <c r="B358" s="42">
        <v>29</v>
      </c>
      <c r="C358" s="33">
        <v>1</v>
      </c>
      <c r="D358" s="33">
        <v>0</v>
      </c>
      <c r="E358" s="33">
        <v>0</v>
      </c>
      <c r="F358" s="33">
        <v>0</v>
      </c>
      <c r="G358" s="33">
        <v>0</v>
      </c>
      <c r="H358" s="33">
        <v>1</v>
      </c>
      <c r="I358" s="33">
        <v>0</v>
      </c>
      <c r="J358" s="33">
        <v>0</v>
      </c>
      <c r="K358" s="33">
        <v>0</v>
      </c>
      <c r="L358" s="33">
        <v>0</v>
      </c>
      <c r="M358" s="33">
        <v>1</v>
      </c>
      <c r="N358" s="33">
        <v>0</v>
      </c>
      <c r="O358" s="33">
        <v>0</v>
      </c>
      <c r="P358" s="33">
        <v>0</v>
      </c>
      <c r="Q358" s="21">
        <v>20</v>
      </c>
      <c r="R358">
        <f t="shared" si="12"/>
        <v>19.27322475989854</v>
      </c>
      <c r="S358">
        <f t="shared" si="13"/>
        <v>94.61015657145083</v>
      </c>
    </row>
    <row r="359" spans="1:19">
      <c r="A359" s="32">
        <v>41446</v>
      </c>
      <c r="B359" s="42">
        <v>35</v>
      </c>
      <c r="C359" s="33">
        <v>1</v>
      </c>
      <c r="D359" s="33">
        <v>0</v>
      </c>
      <c r="E359" s="33">
        <v>0</v>
      </c>
      <c r="F359" s="33">
        <v>1</v>
      </c>
      <c r="G359" s="33">
        <v>1</v>
      </c>
      <c r="H359" s="33">
        <v>4</v>
      </c>
      <c r="I359" s="33">
        <v>0</v>
      </c>
      <c r="J359" s="33">
        <v>0</v>
      </c>
      <c r="K359" s="33">
        <v>0</v>
      </c>
      <c r="L359" s="33">
        <v>0</v>
      </c>
      <c r="M359" s="33">
        <v>0</v>
      </c>
      <c r="N359" s="33">
        <v>1</v>
      </c>
      <c r="O359" s="33">
        <v>0</v>
      </c>
      <c r="P359" s="33">
        <v>0</v>
      </c>
      <c r="Q359" s="21">
        <v>32</v>
      </c>
      <c r="R359">
        <f t="shared" si="12"/>
        <v>34.465367635216111</v>
      </c>
      <c r="S359">
        <f t="shared" si="13"/>
        <v>0.28583176547441297</v>
      </c>
    </row>
    <row r="360" spans="1:19">
      <c r="A360" s="32">
        <v>41447</v>
      </c>
      <c r="B360" s="42">
        <v>55</v>
      </c>
      <c r="C360" s="33">
        <v>1</v>
      </c>
      <c r="D360" s="33">
        <v>0</v>
      </c>
      <c r="E360" s="33">
        <v>0</v>
      </c>
      <c r="F360" s="33">
        <v>1</v>
      </c>
      <c r="G360" s="33">
        <v>1</v>
      </c>
      <c r="H360" s="33">
        <v>4</v>
      </c>
      <c r="I360" s="33">
        <v>0</v>
      </c>
      <c r="J360" s="33">
        <v>0</v>
      </c>
      <c r="K360" s="33">
        <v>0</v>
      </c>
      <c r="L360" s="33">
        <v>0</v>
      </c>
      <c r="M360" s="33">
        <v>0</v>
      </c>
      <c r="N360" s="33">
        <v>0</v>
      </c>
      <c r="O360" s="33">
        <v>1</v>
      </c>
      <c r="P360" s="33">
        <v>0</v>
      </c>
      <c r="Q360" s="21">
        <v>38</v>
      </c>
      <c r="R360">
        <f t="shared" si="12"/>
        <v>36.030482933311539</v>
      </c>
      <c r="S360">
        <f t="shared" si="13"/>
        <v>359.84257774338477</v>
      </c>
    </row>
    <row r="361" spans="1:19">
      <c r="A361" s="32">
        <v>41448</v>
      </c>
      <c r="B361" s="42">
        <v>56</v>
      </c>
      <c r="C361" s="33">
        <v>1</v>
      </c>
      <c r="D361" s="33">
        <v>0</v>
      </c>
      <c r="E361" s="33">
        <v>0</v>
      </c>
      <c r="F361" s="33">
        <v>1</v>
      </c>
      <c r="G361" s="33">
        <v>1</v>
      </c>
      <c r="H361" s="33">
        <v>4</v>
      </c>
      <c r="I361" s="33">
        <v>0</v>
      </c>
      <c r="J361" s="33">
        <v>0</v>
      </c>
      <c r="K361" s="33">
        <v>0</v>
      </c>
      <c r="L361" s="33">
        <v>0</v>
      </c>
      <c r="M361" s="33">
        <v>0</v>
      </c>
      <c r="N361" s="33">
        <v>0</v>
      </c>
      <c r="O361" s="33">
        <v>0</v>
      </c>
      <c r="P361" s="33">
        <v>0</v>
      </c>
      <c r="Q361" s="21">
        <v>34</v>
      </c>
      <c r="R361">
        <f t="shared" si="12"/>
        <v>31.029053594854965</v>
      </c>
      <c r="S361">
        <f t="shared" si="13"/>
        <v>623.54816436862575</v>
      </c>
    </row>
    <row r="362" spans="1:19">
      <c r="A362" s="32">
        <v>41449</v>
      </c>
      <c r="B362" s="42">
        <v>44</v>
      </c>
      <c r="C362" s="33">
        <v>1</v>
      </c>
      <c r="D362" s="33">
        <v>0</v>
      </c>
      <c r="E362" s="33">
        <v>0</v>
      </c>
      <c r="F362" s="33">
        <v>0</v>
      </c>
      <c r="G362" s="33">
        <v>0</v>
      </c>
      <c r="H362" s="33">
        <v>1</v>
      </c>
      <c r="I362" s="33">
        <v>0</v>
      </c>
      <c r="J362" s="33">
        <v>1</v>
      </c>
      <c r="K362" s="33">
        <v>0</v>
      </c>
      <c r="L362" s="33">
        <v>0</v>
      </c>
      <c r="M362" s="33">
        <v>0</v>
      </c>
      <c r="N362" s="33">
        <v>0</v>
      </c>
      <c r="O362" s="33">
        <v>0</v>
      </c>
      <c r="P362" s="33">
        <v>0</v>
      </c>
      <c r="Q362" s="21">
        <v>31</v>
      </c>
      <c r="R362">
        <f t="shared" si="12"/>
        <v>27.355426345485327</v>
      </c>
      <c r="S362">
        <f t="shared" si="13"/>
        <v>277.04183214056394</v>
      </c>
    </row>
    <row r="363" spans="1:19">
      <c r="A363" s="32">
        <v>41450</v>
      </c>
      <c r="B363" s="42">
        <v>48</v>
      </c>
      <c r="C363" s="33">
        <v>1</v>
      </c>
      <c r="D363" s="33">
        <v>0</v>
      </c>
      <c r="E363" s="33">
        <v>0</v>
      </c>
      <c r="F363" s="33">
        <v>0</v>
      </c>
      <c r="G363" s="33">
        <v>0</v>
      </c>
      <c r="H363" s="33">
        <v>1</v>
      </c>
      <c r="I363" s="33">
        <v>0</v>
      </c>
      <c r="J363" s="33">
        <v>0</v>
      </c>
      <c r="K363" s="33">
        <v>1</v>
      </c>
      <c r="L363" s="33">
        <v>0</v>
      </c>
      <c r="M363" s="33">
        <v>0</v>
      </c>
      <c r="N363" s="33">
        <v>0</v>
      </c>
      <c r="O363" s="33">
        <v>0</v>
      </c>
      <c r="P363" s="33">
        <v>0</v>
      </c>
      <c r="Q363" s="21">
        <v>33</v>
      </c>
      <c r="R363">
        <f t="shared" si="12"/>
        <v>28.514272024055018</v>
      </c>
      <c r="S363">
        <f t="shared" si="13"/>
        <v>379.69359475252492</v>
      </c>
    </row>
    <row r="364" spans="1:19">
      <c r="A364" s="32">
        <v>41451</v>
      </c>
      <c r="B364" s="42">
        <v>40</v>
      </c>
      <c r="C364" s="33">
        <v>1</v>
      </c>
      <c r="D364" s="33">
        <v>0</v>
      </c>
      <c r="E364" s="33">
        <v>0</v>
      </c>
      <c r="F364" s="33">
        <v>0</v>
      </c>
      <c r="G364" s="33">
        <v>0</v>
      </c>
      <c r="H364" s="33">
        <v>1</v>
      </c>
      <c r="I364" s="33">
        <v>0</v>
      </c>
      <c r="J364" s="33">
        <v>0</v>
      </c>
      <c r="K364" s="33">
        <v>0</v>
      </c>
      <c r="L364" s="33">
        <v>1</v>
      </c>
      <c r="M364" s="33">
        <v>0</v>
      </c>
      <c r="N364" s="33">
        <v>0</v>
      </c>
      <c r="O364" s="33">
        <v>0</v>
      </c>
      <c r="P364" s="33">
        <v>0</v>
      </c>
      <c r="Q364" s="21">
        <v>31</v>
      </c>
      <c r="R364">
        <f t="shared" si="12"/>
        <v>26.965114201570181</v>
      </c>
      <c r="S364">
        <f t="shared" si="13"/>
        <v>169.90824777810738</v>
      </c>
    </row>
    <row r="365" spans="1:19">
      <c r="A365" s="32">
        <v>41452</v>
      </c>
      <c r="B365" s="42">
        <v>53</v>
      </c>
      <c r="C365" s="33">
        <v>1</v>
      </c>
      <c r="D365" s="33">
        <v>0</v>
      </c>
      <c r="E365" s="33">
        <v>0</v>
      </c>
      <c r="F365" s="33">
        <v>1</v>
      </c>
      <c r="G365" s="33">
        <v>1</v>
      </c>
      <c r="H365" s="33">
        <v>4</v>
      </c>
      <c r="I365" s="33">
        <v>0</v>
      </c>
      <c r="J365" s="33">
        <v>0</v>
      </c>
      <c r="K365" s="33">
        <v>0</v>
      </c>
      <c r="L365" s="33">
        <v>0</v>
      </c>
      <c r="M365" s="33">
        <v>1</v>
      </c>
      <c r="N365" s="33">
        <v>0</v>
      </c>
      <c r="O365" s="33">
        <v>0</v>
      </c>
      <c r="P365" s="33">
        <v>0</v>
      </c>
      <c r="Q365" s="21">
        <v>42</v>
      </c>
      <c r="R365">
        <f t="shared" si="12"/>
        <v>38.789193436524613</v>
      </c>
      <c r="S365">
        <f t="shared" si="13"/>
        <v>201.94702318451513</v>
      </c>
    </row>
    <row r="366" spans="1:19">
      <c r="A366" s="32">
        <v>41453</v>
      </c>
      <c r="B366" s="42">
        <v>61</v>
      </c>
      <c r="C366" s="33">
        <v>1</v>
      </c>
      <c r="D366" s="33">
        <v>0</v>
      </c>
      <c r="E366" s="33">
        <v>0</v>
      </c>
      <c r="F366" s="33">
        <v>1</v>
      </c>
      <c r="G366" s="33">
        <v>1</v>
      </c>
      <c r="H366" s="33">
        <v>4</v>
      </c>
      <c r="I366" s="33">
        <v>0</v>
      </c>
      <c r="J366" s="33">
        <v>0</v>
      </c>
      <c r="K366" s="33">
        <v>0</v>
      </c>
      <c r="L366" s="33">
        <v>0</v>
      </c>
      <c r="M366" s="33">
        <v>0</v>
      </c>
      <c r="N366" s="33">
        <v>1</v>
      </c>
      <c r="O366" s="33">
        <v>0</v>
      </c>
      <c r="P366" s="33">
        <v>0</v>
      </c>
      <c r="Q366" s="21">
        <v>52</v>
      </c>
      <c r="R366">
        <f t="shared" si="12"/>
        <v>45.967883022087449</v>
      </c>
      <c r="S366">
        <f t="shared" si="13"/>
        <v>225.96454083764678</v>
      </c>
    </row>
    <row r="367" spans="1:19">
      <c r="A367" s="32">
        <v>41454</v>
      </c>
      <c r="B367" s="42">
        <v>84</v>
      </c>
      <c r="C367" s="33">
        <v>1</v>
      </c>
      <c r="D367" s="33">
        <v>0</v>
      </c>
      <c r="E367" s="33">
        <v>0</v>
      </c>
      <c r="F367" s="33">
        <v>2</v>
      </c>
      <c r="G367" s="33">
        <v>2</v>
      </c>
      <c r="H367" s="33">
        <v>9</v>
      </c>
      <c r="I367" s="33">
        <v>0</v>
      </c>
      <c r="J367" s="33">
        <v>0</v>
      </c>
      <c r="K367" s="33">
        <v>0</v>
      </c>
      <c r="L367" s="33">
        <v>0</v>
      </c>
      <c r="M367" s="33">
        <v>0</v>
      </c>
      <c r="N367" s="33">
        <v>0</v>
      </c>
      <c r="O367" s="33">
        <v>1</v>
      </c>
      <c r="P367" s="33">
        <v>0</v>
      </c>
      <c r="Q367" s="21">
        <v>55</v>
      </c>
      <c r="R367">
        <f t="shared" si="12"/>
        <v>51.162732957900126</v>
      </c>
      <c r="S367">
        <f t="shared" si="13"/>
        <v>1078.2861067941787</v>
      </c>
    </row>
    <row r="368" spans="1:19">
      <c r="A368" s="32">
        <v>41455</v>
      </c>
      <c r="B368" s="42">
        <v>77</v>
      </c>
      <c r="C368" s="33">
        <v>1</v>
      </c>
      <c r="D368" s="33">
        <v>0</v>
      </c>
      <c r="E368" s="33">
        <v>0</v>
      </c>
      <c r="F368" s="33">
        <v>1</v>
      </c>
      <c r="G368" s="33">
        <v>1</v>
      </c>
      <c r="H368" s="33">
        <v>4</v>
      </c>
      <c r="I368" s="33">
        <v>0</v>
      </c>
      <c r="J368" s="33">
        <v>0</v>
      </c>
      <c r="K368" s="33">
        <v>0</v>
      </c>
      <c r="L368" s="33">
        <v>0</v>
      </c>
      <c r="M368" s="33">
        <v>0</v>
      </c>
      <c r="N368" s="33">
        <v>0</v>
      </c>
      <c r="O368" s="33">
        <v>0</v>
      </c>
      <c r="P368" s="33">
        <v>0</v>
      </c>
      <c r="Q368" s="21">
        <v>45</v>
      </c>
      <c r="R368">
        <f t="shared" si="12"/>
        <v>37.355437057634205</v>
      </c>
      <c r="S368">
        <f t="shared" si="13"/>
        <v>1571.6913708912032</v>
      </c>
    </row>
    <row r="369" spans="1:19" ht="21" thickBot="1">
      <c r="A369" s="34">
        <v>41456</v>
      </c>
      <c r="B369" s="46">
        <v>37</v>
      </c>
      <c r="C369" s="35">
        <v>1</v>
      </c>
      <c r="D369" s="35">
        <v>0</v>
      </c>
      <c r="E369" s="35">
        <v>0</v>
      </c>
      <c r="F369" s="35">
        <v>1</v>
      </c>
      <c r="G369" s="35">
        <v>1</v>
      </c>
      <c r="H369" s="35">
        <v>4</v>
      </c>
      <c r="I369" s="35">
        <v>0</v>
      </c>
      <c r="J369" s="35">
        <v>1</v>
      </c>
      <c r="K369" s="35">
        <v>0</v>
      </c>
      <c r="L369" s="35">
        <v>0</v>
      </c>
      <c r="M369" s="35">
        <v>0</v>
      </c>
      <c r="N369" s="35">
        <v>0</v>
      </c>
      <c r="O369" s="35">
        <v>0</v>
      </c>
      <c r="P369" s="35">
        <v>0</v>
      </c>
      <c r="Q369" s="23">
        <v>31</v>
      </c>
      <c r="R369">
        <f t="shared" si="12"/>
        <v>34.218628096552926</v>
      </c>
      <c r="S369">
        <f t="shared" si="13"/>
        <v>7.7360296652847973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FA569-728E-E646-8E0D-2D37557C553F}">
  <dimension ref="A2:AJ369"/>
  <sheetViews>
    <sheetView topLeftCell="J1" workbookViewId="0">
      <selection activeCell="Q4" sqref="Q4"/>
    </sheetView>
  </sheetViews>
  <sheetFormatPr baseColWidth="10" defaultRowHeight="20"/>
  <sheetData>
    <row r="2" spans="1:24" ht="21" thickBot="1">
      <c r="B2" s="78" t="s">
        <v>61</v>
      </c>
      <c r="C2" s="79">
        <v>5.3656205887659176</v>
      </c>
      <c r="D2" s="79">
        <v>0</v>
      </c>
      <c r="E2" s="79">
        <v>0</v>
      </c>
      <c r="F2" s="79">
        <v>5.3179073766994058</v>
      </c>
      <c r="G2" s="79">
        <v>3.8074290823476789</v>
      </c>
      <c r="H2" s="79">
        <v>-0.75404490265982793</v>
      </c>
      <c r="I2" s="79">
        <v>-0.9661306496536447</v>
      </c>
      <c r="J2" s="79">
        <v>4.914951809728664</v>
      </c>
      <c r="K2" s="79">
        <v>4.9235459496112179</v>
      </c>
      <c r="L2" s="79">
        <v>4.5246396658135168</v>
      </c>
      <c r="M2" s="79">
        <v>3.1591336869211086</v>
      </c>
      <c r="N2" s="79">
        <v>4.5865655790482771</v>
      </c>
      <c r="O2" s="79">
        <v>2.7009262610823073</v>
      </c>
      <c r="P2" s="79">
        <v>8.1332181007052498</v>
      </c>
      <c r="Q2" s="79">
        <v>0.57512576934356696</v>
      </c>
    </row>
    <row r="3" spans="1:24" ht="21" thickBot="1">
      <c r="A3" s="76" t="s">
        <v>0</v>
      </c>
      <c r="B3" s="75" t="s">
        <v>1</v>
      </c>
      <c r="C3" s="77" t="s">
        <v>60</v>
      </c>
      <c r="D3" s="77" t="s">
        <v>2</v>
      </c>
      <c r="E3" s="77" t="s">
        <v>3</v>
      </c>
      <c r="F3" s="77" t="s">
        <v>4</v>
      </c>
      <c r="G3" s="77" t="s">
        <v>5</v>
      </c>
      <c r="H3" s="77" t="s">
        <v>35</v>
      </c>
      <c r="I3" s="77" t="s">
        <v>42</v>
      </c>
      <c r="J3" s="77" t="s">
        <v>43</v>
      </c>
      <c r="K3" s="77" t="s">
        <v>44</v>
      </c>
      <c r="L3" s="77" t="s">
        <v>45</v>
      </c>
      <c r="M3" s="77" t="s">
        <v>46</v>
      </c>
      <c r="N3" s="77" t="s">
        <v>47</v>
      </c>
      <c r="O3" s="77" t="s">
        <v>48</v>
      </c>
      <c r="P3" s="77" t="s">
        <v>49</v>
      </c>
      <c r="Q3" s="19" t="s">
        <v>63</v>
      </c>
      <c r="R3" s="80" t="s">
        <v>62</v>
      </c>
      <c r="S3" s="81"/>
      <c r="T3" s="81"/>
      <c r="U3" s="82" t="s">
        <v>41</v>
      </c>
      <c r="W3" s="72"/>
      <c r="X3" s="72" t="s">
        <v>28</v>
      </c>
    </row>
    <row r="4" spans="1:24">
      <c r="A4" s="32">
        <v>41091</v>
      </c>
      <c r="B4" s="42">
        <v>45</v>
      </c>
      <c r="C4" s="33">
        <v>1</v>
      </c>
      <c r="D4" s="33">
        <v>0</v>
      </c>
      <c r="E4" s="33">
        <v>0</v>
      </c>
      <c r="F4" s="33">
        <v>2</v>
      </c>
      <c r="G4" s="33">
        <v>1</v>
      </c>
      <c r="H4" s="33">
        <v>6</v>
      </c>
      <c r="I4" s="33">
        <v>0</v>
      </c>
      <c r="J4" s="33">
        <v>0</v>
      </c>
      <c r="K4" s="33">
        <v>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21">
        <f>T4+15</f>
        <v>32</v>
      </c>
      <c r="R4">
        <f t="shared" ref="R4:R35" si="0">SUMPRODUCT($C$2:$Q$2,C4:Q4)</f>
        <v>33.688619627547581</v>
      </c>
      <c r="S4">
        <f>(R4-B4)^2</f>
        <v>127.94732593030183</v>
      </c>
      <c r="T4">
        <v>17</v>
      </c>
      <c r="U4">
        <f>SUM(S4:S369)</f>
        <v>27382.869299175058</v>
      </c>
      <c r="W4" s="73" t="s">
        <v>22</v>
      </c>
      <c r="X4" s="73">
        <v>5.3656205887659176</v>
      </c>
    </row>
    <row r="5" spans="1:24">
      <c r="A5" s="32">
        <v>41092</v>
      </c>
      <c r="B5" s="42">
        <v>31</v>
      </c>
      <c r="C5" s="33">
        <v>1</v>
      </c>
      <c r="D5" s="33">
        <v>0</v>
      </c>
      <c r="E5" s="33">
        <v>0</v>
      </c>
      <c r="F5" s="33">
        <v>1</v>
      </c>
      <c r="G5" s="33">
        <v>1</v>
      </c>
      <c r="H5" s="33">
        <v>4</v>
      </c>
      <c r="I5" s="33">
        <v>0</v>
      </c>
      <c r="J5" s="33">
        <v>1</v>
      </c>
      <c r="K5" s="33">
        <v>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21">
        <f t="shared" ref="Q5:Q68" si="1">T5+15</f>
        <v>26</v>
      </c>
      <c r="R5">
        <f t="shared" si="0"/>
        <v>31.342999249835092</v>
      </c>
      <c r="S5">
        <f t="shared" ref="S5:S68" si="2">(R5-B5)^2</f>
        <v>0.11764848538743586</v>
      </c>
      <c r="T5">
        <v>11</v>
      </c>
      <c r="U5">
        <f>U4/COUNTA(S4:S369)</f>
        <v>74.816582784631308</v>
      </c>
      <c r="W5" s="73" t="s">
        <v>4</v>
      </c>
      <c r="X5" s="73">
        <v>5.3179073766994058</v>
      </c>
    </row>
    <row r="6" spans="1:24">
      <c r="A6" s="32">
        <v>41093</v>
      </c>
      <c r="B6" s="42">
        <v>12</v>
      </c>
      <c r="C6" s="33">
        <v>1</v>
      </c>
      <c r="D6" s="33">
        <v>0</v>
      </c>
      <c r="E6" s="33">
        <v>0</v>
      </c>
      <c r="F6" s="33">
        <v>1</v>
      </c>
      <c r="G6" s="33">
        <v>0</v>
      </c>
      <c r="H6" s="33">
        <v>2</v>
      </c>
      <c r="I6" s="33">
        <v>0</v>
      </c>
      <c r="J6" s="33">
        <v>0</v>
      </c>
      <c r="K6" s="33">
        <v>1</v>
      </c>
      <c r="L6" s="33">
        <v>0</v>
      </c>
      <c r="M6" s="33">
        <v>0</v>
      </c>
      <c r="N6" s="33">
        <v>0</v>
      </c>
      <c r="O6" s="33">
        <v>0</v>
      </c>
      <c r="P6" s="33">
        <v>0</v>
      </c>
      <c r="Q6" s="21">
        <f t="shared" si="1"/>
        <v>23</v>
      </c>
      <c r="R6">
        <f t="shared" si="0"/>
        <v>27.326876804658923</v>
      </c>
      <c r="S6">
        <f t="shared" si="2"/>
        <v>234.91315258519171</v>
      </c>
      <c r="T6">
        <v>8</v>
      </c>
      <c r="U6" s="24">
        <f>SQRT(U5)</f>
        <v>8.6496579576669568</v>
      </c>
      <c r="W6" s="73" t="s">
        <v>5</v>
      </c>
      <c r="X6" s="73">
        <v>3.8074290823476789</v>
      </c>
    </row>
    <row r="7" spans="1:24">
      <c r="A7" s="32">
        <v>41094</v>
      </c>
      <c r="B7" s="42">
        <v>19</v>
      </c>
      <c r="C7" s="33">
        <v>1</v>
      </c>
      <c r="D7" s="33">
        <v>0</v>
      </c>
      <c r="E7" s="33">
        <v>0</v>
      </c>
      <c r="F7" s="33">
        <v>0</v>
      </c>
      <c r="G7" s="33">
        <v>0</v>
      </c>
      <c r="H7" s="33">
        <v>1</v>
      </c>
      <c r="I7" s="33">
        <v>0</v>
      </c>
      <c r="J7" s="33">
        <v>0</v>
      </c>
      <c r="K7" s="33">
        <v>0</v>
      </c>
      <c r="L7" s="33">
        <v>1</v>
      </c>
      <c r="M7" s="33">
        <v>0</v>
      </c>
      <c r="N7" s="33">
        <v>0</v>
      </c>
      <c r="O7" s="33">
        <v>0</v>
      </c>
      <c r="P7" s="33">
        <v>0</v>
      </c>
      <c r="Q7" s="21">
        <f t="shared" si="1"/>
        <v>26</v>
      </c>
      <c r="R7">
        <f t="shared" si="0"/>
        <v>24.089485354852346</v>
      </c>
      <c r="S7">
        <f t="shared" si="2"/>
        <v>25.902861177256515</v>
      </c>
      <c r="T7">
        <v>11</v>
      </c>
      <c r="W7" s="73" t="s">
        <v>6</v>
      </c>
      <c r="X7" s="73">
        <v>-0.75404490265982793</v>
      </c>
    </row>
    <row r="8" spans="1:24">
      <c r="A8" s="32">
        <v>41095</v>
      </c>
      <c r="B8" s="42">
        <v>16</v>
      </c>
      <c r="C8" s="33">
        <v>1</v>
      </c>
      <c r="D8" s="33">
        <v>0</v>
      </c>
      <c r="E8" s="33">
        <v>0</v>
      </c>
      <c r="F8" s="33">
        <v>0</v>
      </c>
      <c r="G8" s="33">
        <v>0</v>
      </c>
      <c r="H8" s="33">
        <v>1</v>
      </c>
      <c r="I8" s="33">
        <v>0</v>
      </c>
      <c r="J8" s="33">
        <v>0</v>
      </c>
      <c r="K8" s="33">
        <v>0</v>
      </c>
      <c r="L8" s="33">
        <v>0</v>
      </c>
      <c r="M8" s="33">
        <v>1</v>
      </c>
      <c r="N8" s="33">
        <v>0</v>
      </c>
      <c r="O8" s="33">
        <v>0</v>
      </c>
      <c r="P8" s="33">
        <v>0</v>
      </c>
      <c r="Q8" s="21">
        <f t="shared" si="1"/>
        <v>25</v>
      </c>
      <c r="R8">
        <f t="shared" si="0"/>
        <v>22.14885360661637</v>
      </c>
      <c r="S8">
        <f t="shared" si="2"/>
        <v>37.808400675599145</v>
      </c>
      <c r="T8">
        <v>10</v>
      </c>
      <c r="W8" s="73" t="s">
        <v>57</v>
      </c>
      <c r="X8" s="73">
        <v>-0.9661306496536447</v>
      </c>
    </row>
    <row r="9" spans="1:24">
      <c r="A9" s="32">
        <v>41096</v>
      </c>
      <c r="B9" s="42">
        <v>23</v>
      </c>
      <c r="C9" s="33">
        <v>1</v>
      </c>
      <c r="D9" s="33">
        <v>0</v>
      </c>
      <c r="E9" s="33">
        <v>0</v>
      </c>
      <c r="F9" s="33">
        <v>0</v>
      </c>
      <c r="G9" s="33">
        <v>0</v>
      </c>
      <c r="H9" s="33">
        <v>1</v>
      </c>
      <c r="I9" s="33">
        <v>0</v>
      </c>
      <c r="J9" s="33">
        <v>0</v>
      </c>
      <c r="K9" s="33">
        <v>0</v>
      </c>
      <c r="L9" s="33">
        <v>0</v>
      </c>
      <c r="M9" s="33">
        <v>0</v>
      </c>
      <c r="N9" s="33">
        <v>1</v>
      </c>
      <c r="O9" s="33">
        <v>0</v>
      </c>
      <c r="P9" s="33">
        <v>0</v>
      </c>
      <c r="Q9" s="21">
        <f t="shared" si="1"/>
        <v>31</v>
      </c>
      <c r="R9">
        <f t="shared" si="0"/>
        <v>27.02704011480494</v>
      </c>
      <c r="S9">
        <f t="shared" si="2"/>
        <v>16.217052086248184</v>
      </c>
      <c r="T9">
        <v>16</v>
      </c>
      <c r="W9" s="73" t="s">
        <v>56</v>
      </c>
      <c r="X9" s="73">
        <v>4.914951809728664</v>
      </c>
    </row>
    <row r="10" spans="1:24">
      <c r="A10" s="32">
        <v>41097</v>
      </c>
      <c r="B10" s="42">
        <v>34</v>
      </c>
      <c r="C10" s="33">
        <v>1</v>
      </c>
      <c r="D10" s="33">
        <v>0</v>
      </c>
      <c r="E10" s="33">
        <v>0</v>
      </c>
      <c r="F10" s="33">
        <v>1</v>
      </c>
      <c r="G10" s="33">
        <v>1</v>
      </c>
      <c r="H10" s="33">
        <v>4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1</v>
      </c>
      <c r="P10" s="33">
        <v>0</v>
      </c>
      <c r="Q10" s="21">
        <f t="shared" si="1"/>
        <v>34</v>
      </c>
      <c r="R10">
        <f t="shared" si="0"/>
        <v>33.729979855937273</v>
      </c>
      <c r="S10">
        <f t="shared" si="2"/>
        <v>7.2910878199655721E-2</v>
      </c>
      <c r="T10">
        <v>19</v>
      </c>
      <c r="W10" s="73" t="s">
        <v>55</v>
      </c>
      <c r="X10" s="73">
        <v>4.9235459496112179</v>
      </c>
    </row>
    <row r="11" spans="1:24">
      <c r="A11" s="32">
        <v>41098</v>
      </c>
      <c r="B11" s="42">
        <v>20</v>
      </c>
      <c r="C11" s="33">
        <v>1</v>
      </c>
      <c r="D11" s="33">
        <v>0</v>
      </c>
      <c r="E11" s="33">
        <v>0</v>
      </c>
      <c r="F11" s="33">
        <v>1</v>
      </c>
      <c r="G11" s="33">
        <v>1</v>
      </c>
      <c r="H11" s="33">
        <v>4</v>
      </c>
      <c r="I11" s="33">
        <v>0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0</v>
      </c>
      <c r="P11" s="33">
        <v>0</v>
      </c>
      <c r="Q11" s="21">
        <f t="shared" si="1"/>
        <v>35</v>
      </c>
      <c r="R11">
        <f t="shared" si="0"/>
        <v>31.604179364198533</v>
      </c>
      <c r="S11">
        <f t="shared" si="2"/>
        <v>134.65697871649107</v>
      </c>
      <c r="T11">
        <v>20</v>
      </c>
      <c r="W11" s="73" t="s">
        <v>54</v>
      </c>
      <c r="X11" s="73">
        <v>4.5246396658135168</v>
      </c>
    </row>
    <row r="12" spans="1:24">
      <c r="A12" s="32">
        <v>41099</v>
      </c>
      <c r="B12" s="42">
        <v>17</v>
      </c>
      <c r="C12" s="33">
        <v>1</v>
      </c>
      <c r="D12" s="33">
        <v>0</v>
      </c>
      <c r="E12" s="33">
        <v>0</v>
      </c>
      <c r="F12" s="33">
        <v>0</v>
      </c>
      <c r="G12" s="33">
        <v>0</v>
      </c>
      <c r="H12" s="33">
        <v>1</v>
      </c>
      <c r="I12" s="33">
        <v>0</v>
      </c>
      <c r="J12" s="33">
        <v>1</v>
      </c>
      <c r="K12" s="33">
        <v>0</v>
      </c>
      <c r="L12" s="33">
        <v>0</v>
      </c>
      <c r="M12" s="33">
        <v>0</v>
      </c>
      <c r="N12" s="33">
        <v>0</v>
      </c>
      <c r="O12" s="33">
        <v>0</v>
      </c>
      <c r="P12" s="33">
        <v>0</v>
      </c>
      <c r="Q12" s="21">
        <f t="shared" si="1"/>
        <v>32</v>
      </c>
      <c r="R12">
        <f t="shared" si="0"/>
        <v>27.930552114828895</v>
      </c>
      <c r="S12">
        <f t="shared" si="2"/>
        <v>119.47696953499043</v>
      </c>
      <c r="T12">
        <v>17</v>
      </c>
      <c r="W12" s="73" t="s">
        <v>53</v>
      </c>
      <c r="X12" s="73">
        <v>3.1591336869211086</v>
      </c>
    </row>
    <row r="13" spans="1:24">
      <c r="A13" s="32">
        <v>41100</v>
      </c>
      <c r="B13" s="42">
        <v>9</v>
      </c>
      <c r="C13" s="33">
        <v>1</v>
      </c>
      <c r="D13" s="33">
        <v>0</v>
      </c>
      <c r="E13" s="33">
        <v>0</v>
      </c>
      <c r="F13" s="33">
        <v>0</v>
      </c>
      <c r="G13" s="33">
        <v>0</v>
      </c>
      <c r="H13" s="33">
        <v>1</v>
      </c>
      <c r="I13" s="33">
        <v>0</v>
      </c>
      <c r="J13" s="33">
        <v>0</v>
      </c>
      <c r="K13" s="33">
        <v>1</v>
      </c>
      <c r="L13" s="33">
        <v>0</v>
      </c>
      <c r="M13" s="33">
        <v>0</v>
      </c>
      <c r="N13" s="33">
        <v>0</v>
      </c>
      <c r="O13" s="33">
        <v>0</v>
      </c>
      <c r="P13" s="33">
        <v>0</v>
      </c>
      <c r="Q13" s="21">
        <f t="shared" si="1"/>
        <v>25</v>
      </c>
      <c r="R13">
        <f t="shared" si="0"/>
        <v>23.913265869306478</v>
      </c>
      <c r="S13">
        <f t="shared" si="2"/>
        <v>222.40549888862151</v>
      </c>
      <c r="T13">
        <v>10</v>
      </c>
      <c r="W13" s="73" t="s">
        <v>52</v>
      </c>
      <c r="X13" s="73">
        <v>4.5865655790482771</v>
      </c>
    </row>
    <row r="14" spans="1:24">
      <c r="A14" s="32">
        <v>41101</v>
      </c>
      <c r="B14" s="42">
        <v>21</v>
      </c>
      <c r="C14" s="33">
        <v>1</v>
      </c>
      <c r="D14" s="33">
        <v>0</v>
      </c>
      <c r="E14" s="33">
        <v>0</v>
      </c>
      <c r="F14" s="33">
        <v>0</v>
      </c>
      <c r="G14" s="33">
        <v>0</v>
      </c>
      <c r="H14" s="33">
        <v>1</v>
      </c>
      <c r="I14" s="33">
        <v>0</v>
      </c>
      <c r="J14" s="33">
        <v>0</v>
      </c>
      <c r="K14" s="33">
        <v>0</v>
      </c>
      <c r="L14" s="33">
        <v>1</v>
      </c>
      <c r="M14" s="33">
        <v>0</v>
      </c>
      <c r="N14" s="33">
        <v>0</v>
      </c>
      <c r="O14" s="33">
        <v>0</v>
      </c>
      <c r="P14" s="33">
        <v>0</v>
      </c>
      <c r="Q14" s="21">
        <f t="shared" si="1"/>
        <v>24</v>
      </c>
      <c r="R14">
        <f t="shared" si="0"/>
        <v>22.939233816165213</v>
      </c>
      <c r="S14">
        <f t="shared" si="2"/>
        <v>3.7606277937586965</v>
      </c>
      <c r="T14">
        <v>9</v>
      </c>
      <c r="W14" s="73" t="s">
        <v>51</v>
      </c>
      <c r="X14" s="73">
        <v>2.7009262610823073</v>
      </c>
    </row>
    <row r="15" spans="1:24">
      <c r="A15" s="32">
        <v>41102</v>
      </c>
      <c r="B15" s="42">
        <v>21</v>
      </c>
      <c r="C15" s="33">
        <v>1</v>
      </c>
      <c r="D15" s="33">
        <v>0</v>
      </c>
      <c r="E15" s="33">
        <v>0</v>
      </c>
      <c r="F15" s="33">
        <v>0</v>
      </c>
      <c r="G15" s="33">
        <v>0</v>
      </c>
      <c r="H15" s="33">
        <v>1</v>
      </c>
      <c r="I15" s="33">
        <v>0</v>
      </c>
      <c r="J15" s="33">
        <v>0</v>
      </c>
      <c r="K15" s="33">
        <v>0</v>
      </c>
      <c r="L15" s="33">
        <v>0</v>
      </c>
      <c r="M15" s="33">
        <v>1</v>
      </c>
      <c r="N15" s="33">
        <v>0</v>
      </c>
      <c r="O15" s="33">
        <v>0</v>
      </c>
      <c r="P15" s="33">
        <v>0</v>
      </c>
      <c r="Q15" s="21">
        <f t="shared" si="1"/>
        <v>31</v>
      </c>
      <c r="R15">
        <f t="shared" si="0"/>
        <v>25.599608222677773</v>
      </c>
      <c r="S15">
        <f t="shared" si="2"/>
        <v>21.156395802124983</v>
      </c>
      <c r="T15">
        <v>16</v>
      </c>
      <c r="W15" s="73" t="s">
        <v>49</v>
      </c>
      <c r="X15" s="73">
        <v>8.1332181007052498</v>
      </c>
    </row>
    <row r="16" spans="1:24" ht="21" thickBot="1">
      <c r="A16" s="32">
        <v>41103</v>
      </c>
      <c r="B16" s="42">
        <v>23</v>
      </c>
      <c r="C16" s="33">
        <v>1</v>
      </c>
      <c r="D16" s="33">
        <v>0</v>
      </c>
      <c r="E16" s="33">
        <v>0</v>
      </c>
      <c r="F16" s="33">
        <v>0</v>
      </c>
      <c r="G16" s="33">
        <v>0</v>
      </c>
      <c r="H16" s="33">
        <v>1</v>
      </c>
      <c r="I16" s="33">
        <v>0</v>
      </c>
      <c r="J16" s="33">
        <v>0</v>
      </c>
      <c r="K16" s="33">
        <v>0</v>
      </c>
      <c r="L16" s="33">
        <v>0</v>
      </c>
      <c r="M16" s="33">
        <v>0</v>
      </c>
      <c r="N16" s="33">
        <v>1</v>
      </c>
      <c r="O16" s="33">
        <v>0</v>
      </c>
      <c r="P16" s="33">
        <v>0</v>
      </c>
      <c r="Q16" s="21">
        <f t="shared" si="1"/>
        <v>34</v>
      </c>
      <c r="R16">
        <f t="shared" si="0"/>
        <v>28.752417422835642</v>
      </c>
      <c r="S16">
        <f t="shared" si="2"/>
        <v>33.09030620654304</v>
      </c>
      <c r="T16">
        <v>19</v>
      </c>
      <c r="W16" s="74" t="s">
        <v>50</v>
      </c>
      <c r="X16" s="74">
        <v>0.57512576934356696</v>
      </c>
    </row>
    <row r="17" spans="1:36">
      <c r="A17" s="32">
        <v>41104</v>
      </c>
      <c r="B17" s="42">
        <v>38</v>
      </c>
      <c r="C17" s="33">
        <v>1</v>
      </c>
      <c r="D17" s="33">
        <v>0</v>
      </c>
      <c r="E17" s="33">
        <v>0</v>
      </c>
      <c r="F17" s="33">
        <v>2</v>
      </c>
      <c r="G17" s="33">
        <v>1</v>
      </c>
      <c r="H17" s="33">
        <v>6</v>
      </c>
      <c r="I17" s="33">
        <v>0</v>
      </c>
      <c r="J17" s="33">
        <v>0</v>
      </c>
      <c r="K17" s="33">
        <v>0</v>
      </c>
      <c r="L17" s="33">
        <v>0</v>
      </c>
      <c r="M17" s="33">
        <v>0</v>
      </c>
      <c r="N17" s="33">
        <v>0</v>
      </c>
      <c r="O17" s="33">
        <v>1</v>
      </c>
      <c r="P17" s="33">
        <v>0</v>
      </c>
      <c r="Q17" s="21">
        <f t="shared" si="1"/>
        <v>32</v>
      </c>
      <c r="R17">
        <f t="shared" si="0"/>
        <v>36.38954588862989</v>
      </c>
      <c r="S17">
        <f t="shared" si="2"/>
        <v>2.5935624448288914</v>
      </c>
      <c r="T17">
        <v>17</v>
      </c>
    </row>
    <row r="18" spans="1:36">
      <c r="A18" s="32">
        <v>41105</v>
      </c>
      <c r="B18" s="42">
        <v>38</v>
      </c>
      <c r="C18" s="33">
        <v>1</v>
      </c>
      <c r="D18" s="33">
        <v>0</v>
      </c>
      <c r="E18" s="33">
        <v>0</v>
      </c>
      <c r="F18" s="33">
        <v>2</v>
      </c>
      <c r="G18" s="33">
        <v>1</v>
      </c>
      <c r="H18" s="33">
        <v>6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>
        <v>0</v>
      </c>
      <c r="Q18" s="21">
        <f t="shared" si="1"/>
        <v>38</v>
      </c>
      <c r="R18">
        <f t="shared" si="0"/>
        <v>37.139374243608984</v>
      </c>
      <c r="S18">
        <f t="shared" si="2"/>
        <v>0.7406766925636088</v>
      </c>
      <c r="T18">
        <v>23</v>
      </c>
    </row>
    <row r="19" spans="1:36">
      <c r="A19" s="32">
        <v>41106</v>
      </c>
      <c r="B19" s="42">
        <v>25</v>
      </c>
      <c r="C19" s="33">
        <v>1</v>
      </c>
      <c r="D19" s="33">
        <v>0</v>
      </c>
      <c r="E19" s="33">
        <v>0</v>
      </c>
      <c r="F19" s="33">
        <v>1</v>
      </c>
      <c r="G19" s="33">
        <v>0</v>
      </c>
      <c r="H19" s="33">
        <v>2</v>
      </c>
      <c r="I19" s="33">
        <v>1</v>
      </c>
      <c r="J19" s="33">
        <v>1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>
        <v>0</v>
      </c>
      <c r="Q19" s="21">
        <f t="shared" si="1"/>
        <v>34</v>
      </c>
      <c r="R19">
        <f t="shared" si="0"/>
        <v>32.67853547790196</v>
      </c>
      <c r="S19">
        <f t="shared" si="2"/>
        <v>58.959907085399081</v>
      </c>
      <c r="T19">
        <v>19</v>
      </c>
      <c r="X19" cm="1">
        <f t="array" ref="X19:AJ19">TRANSPOSE(X4:X16)</f>
        <v>5.3656205887659176</v>
      </c>
      <c r="Y19">
        <v>5.3179073766994058</v>
      </c>
      <c r="Z19">
        <v>3.8074290823476789</v>
      </c>
      <c r="AA19">
        <v>-0.75404490265982793</v>
      </c>
      <c r="AB19">
        <v>-0.9661306496536447</v>
      </c>
      <c r="AC19">
        <v>4.914951809728664</v>
      </c>
      <c r="AD19">
        <v>4.9235459496112179</v>
      </c>
      <c r="AE19">
        <v>4.5246396658135168</v>
      </c>
      <c r="AF19">
        <v>3.1591336869211086</v>
      </c>
      <c r="AG19">
        <v>4.5865655790482771</v>
      </c>
      <c r="AH19">
        <v>2.7009262610823073</v>
      </c>
      <c r="AI19">
        <v>8.1332181007052498</v>
      </c>
      <c r="AJ19">
        <v>0.57512576934356696</v>
      </c>
    </row>
    <row r="20" spans="1:36">
      <c r="A20" s="32">
        <v>41107</v>
      </c>
      <c r="B20" s="42">
        <v>24</v>
      </c>
      <c r="C20" s="33">
        <v>1</v>
      </c>
      <c r="D20" s="33">
        <v>0</v>
      </c>
      <c r="E20" s="33">
        <v>0</v>
      </c>
      <c r="F20" s="33">
        <v>0</v>
      </c>
      <c r="G20" s="33">
        <v>0</v>
      </c>
      <c r="H20" s="33">
        <v>1</v>
      </c>
      <c r="I20" s="33">
        <v>0</v>
      </c>
      <c r="J20" s="33">
        <v>0</v>
      </c>
      <c r="K20" s="33">
        <v>1</v>
      </c>
      <c r="L20" s="33">
        <v>0</v>
      </c>
      <c r="M20" s="33">
        <v>0</v>
      </c>
      <c r="N20" s="33">
        <v>0</v>
      </c>
      <c r="O20" s="33">
        <v>0</v>
      </c>
      <c r="P20" s="33">
        <v>0</v>
      </c>
      <c r="Q20" s="21">
        <f t="shared" si="1"/>
        <v>28</v>
      </c>
      <c r="R20">
        <f t="shared" si="0"/>
        <v>25.638643177337183</v>
      </c>
      <c r="S20">
        <f t="shared" si="2"/>
        <v>2.6851514626336992</v>
      </c>
      <c r="T20">
        <v>13</v>
      </c>
    </row>
    <row r="21" spans="1:36">
      <c r="A21" s="32">
        <v>41108</v>
      </c>
      <c r="B21" s="42">
        <v>11</v>
      </c>
      <c r="C21" s="33">
        <v>1</v>
      </c>
      <c r="D21" s="33">
        <v>0</v>
      </c>
      <c r="E21" s="33">
        <v>0</v>
      </c>
      <c r="F21" s="33">
        <v>0</v>
      </c>
      <c r="G21" s="33">
        <v>0</v>
      </c>
      <c r="H21" s="33">
        <v>1</v>
      </c>
      <c r="I21" s="33">
        <v>0</v>
      </c>
      <c r="J21" s="33">
        <v>0</v>
      </c>
      <c r="K21" s="33">
        <v>0</v>
      </c>
      <c r="L21" s="33">
        <v>1</v>
      </c>
      <c r="M21" s="33">
        <v>0</v>
      </c>
      <c r="N21" s="33">
        <v>0</v>
      </c>
      <c r="O21" s="33">
        <v>0</v>
      </c>
      <c r="P21" s="33">
        <v>0</v>
      </c>
      <c r="Q21" s="21">
        <f t="shared" si="1"/>
        <v>30</v>
      </c>
      <c r="R21">
        <f t="shared" si="0"/>
        <v>26.389988432226616</v>
      </c>
      <c r="S21">
        <f t="shared" si="2"/>
        <v>236.85174394406906</v>
      </c>
      <c r="T21">
        <v>15</v>
      </c>
    </row>
    <row r="22" spans="1:36">
      <c r="A22" s="32">
        <v>41109</v>
      </c>
      <c r="B22" s="42">
        <v>19</v>
      </c>
      <c r="C22" s="33">
        <v>1</v>
      </c>
      <c r="D22" s="33">
        <v>0</v>
      </c>
      <c r="E22" s="33">
        <v>0</v>
      </c>
      <c r="F22" s="33">
        <v>0</v>
      </c>
      <c r="G22" s="33">
        <v>0</v>
      </c>
      <c r="H22" s="33">
        <v>1</v>
      </c>
      <c r="I22" s="33">
        <v>0</v>
      </c>
      <c r="J22" s="33">
        <v>0</v>
      </c>
      <c r="K22" s="33">
        <v>0</v>
      </c>
      <c r="L22" s="33">
        <v>0</v>
      </c>
      <c r="M22" s="33">
        <v>1</v>
      </c>
      <c r="N22" s="33">
        <v>0</v>
      </c>
      <c r="O22" s="33">
        <v>0</v>
      </c>
      <c r="P22" s="33">
        <v>0</v>
      </c>
      <c r="Q22" s="21">
        <f t="shared" si="1"/>
        <v>29</v>
      </c>
      <c r="R22">
        <f t="shared" si="0"/>
        <v>24.44935668399064</v>
      </c>
      <c r="S22">
        <f t="shared" si="2"/>
        <v>29.695488269353465</v>
      </c>
      <c r="T22">
        <v>14</v>
      </c>
    </row>
    <row r="23" spans="1:36">
      <c r="A23" s="32">
        <v>41110</v>
      </c>
      <c r="B23" s="42">
        <v>24</v>
      </c>
      <c r="C23" s="33">
        <v>1</v>
      </c>
      <c r="D23" s="33">
        <v>0</v>
      </c>
      <c r="E23" s="33">
        <v>0</v>
      </c>
      <c r="F23" s="33">
        <v>0</v>
      </c>
      <c r="G23" s="33">
        <v>0</v>
      </c>
      <c r="H23" s="33">
        <v>1</v>
      </c>
      <c r="I23" s="33">
        <v>0</v>
      </c>
      <c r="J23" s="33">
        <v>0</v>
      </c>
      <c r="K23" s="33">
        <v>0</v>
      </c>
      <c r="L23" s="33">
        <v>0</v>
      </c>
      <c r="M23" s="33">
        <v>0</v>
      </c>
      <c r="N23" s="33">
        <v>1</v>
      </c>
      <c r="O23" s="33">
        <v>0</v>
      </c>
      <c r="P23" s="33">
        <v>0</v>
      </c>
      <c r="Q23" s="21">
        <f t="shared" si="1"/>
        <v>33</v>
      </c>
      <c r="R23">
        <f t="shared" si="0"/>
        <v>28.177291653492077</v>
      </c>
      <c r="S23">
        <f t="shared" si="2"/>
        <v>17.449765558334569</v>
      </c>
      <c r="T23">
        <v>18</v>
      </c>
    </row>
    <row r="24" spans="1:36">
      <c r="A24" s="32">
        <v>41111</v>
      </c>
      <c r="B24" s="42">
        <v>37</v>
      </c>
      <c r="C24" s="33">
        <v>1</v>
      </c>
      <c r="D24" s="33">
        <v>0</v>
      </c>
      <c r="E24" s="33">
        <v>0</v>
      </c>
      <c r="F24" s="33">
        <v>1</v>
      </c>
      <c r="G24" s="33">
        <v>1</v>
      </c>
      <c r="H24" s="33">
        <v>4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33">
        <v>0</v>
      </c>
      <c r="O24" s="33">
        <v>1</v>
      </c>
      <c r="P24" s="33">
        <v>0</v>
      </c>
      <c r="Q24" s="21">
        <f t="shared" si="1"/>
        <v>37</v>
      </c>
      <c r="R24">
        <f t="shared" si="0"/>
        <v>35.455357163967975</v>
      </c>
      <c r="S24">
        <f t="shared" si="2"/>
        <v>2.3859214909050586</v>
      </c>
      <c r="T24">
        <v>22</v>
      </c>
    </row>
    <row r="25" spans="1:36">
      <c r="A25" s="32">
        <v>41112</v>
      </c>
      <c r="B25" s="42">
        <v>23</v>
      </c>
      <c r="C25" s="33">
        <v>1</v>
      </c>
      <c r="D25" s="33">
        <v>0</v>
      </c>
      <c r="E25" s="33">
        <v>0</v>
      </c>
      <c r="F25" s="33">
        <v>1</v>
      </c>
      <c r="G25" s="33">
        <v>1</v>
      </c>
      <c r="H25" s="33">
        <v>4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33">
        <v>0</v>
      </c>
      <c r="O25" s="33">
        <v>0</v>
      </c>
      <c r="P25" s="33">
        <v>0</v>
      </c>
      <c r="Q25" s="21">
        <f t="shared" si="1"/>
        <v>38</v>
      </c>
      <c r="R25">
        <f t="shared" si="0"/>
        <v>33.329556672229231</v>
      </c>
      <c r="S25">
        <f t="shared" si="2"/>
        <v>106.69974104479542</v>
      </c>
      <c r="T25">
        <v>23</v>
      </c>
    </row>
    <row r="26" spans="1:36">
      <c r="A26" s="32">
        <v>41113</v>
      </c>
      <c r="B26" s="42">
        <v>27</v>
      </c>
      <c r="C26" s="33">
        <v>1</v>
      </c>
      <c r="D26" s="33">
        <v>0</v>
      </c>
      <c r="E26" s="33">
        <v>0</v>
      </c>
      <c r="F26" s="33">
        <v>0</v>
      </c>
      <c r="G26" s="33">
        <v>0</v>
      </c>
      <c r="H26" s="33">
        <v>1</v>
      </c>
      <c r="I26" s="33">
        <v>0</v>
      </c>
      <c r="J26" s="33">
        <v>1</v>
      </c>
      <c r="K26" s="33">
        <v>0</v>
      </c>
      <c r="L26" s="33">
        <v>0</v>
      </c>
      <c r="M26" s="33">
        <v>0</v>
      </c>
      <c r="N26" s="33">
        <v>0</v>
      </c>
      <c r="O26" s="33">
        <v>0</v>
      </c>
      <c r="P26" s="33">
        <v>0</v>
      </c>
      <c r="Q26" s="21">
        <f t="shared" si="1"/>
        <v>29</v>
      </c>
      <c r="R26">
        <f t="shared" si="0"/>
        <v>26.205174806798194</v>
      </c>
      <c r="S26">
        <f t="shared" si="2"/>
        <v>0.63174708774828825</v>
      </c>
      <c r="T26">
        <v>14</v>
      </c>
    </row>
    <row r="27" spans="1:36">
      <c r="A27" s="32">
        <v>41114</v>
      </c>
      <c r="B27" s="42">
        <v>31</v>
      </c>
      <c r="C27" s="33">
        <v>1</v>
      </c>
      <c r="D27" s="33">
        <v>0</v>
      </c>
      <c r="E27" s="33">
        <v>0</v>
      </c>
      <c r="F27" s="33">
        <v>1</v>
      </c>
      <c r="G27" s="33">
        <v>0</v>
      </c>
      <c r="H27" s="33">
        <v>2</v>
      </c>
      <c r="I27" s="33">
        <v>0</v>
      </c>
      <c r="J27" s="33">
        <v>0</v>
      </c>
      <c r="K27" s="33">
        <v>1</v>
      </c>
      <c r="L27" s="33">
        <v>0</v>
      </c>
      <c r="M27" s="33">
        <v>0</v>
      </c>
      <c r="N27" s="33">
        <v>0</v>
      </c>
      <c r="O27" s="33">
        <v>0</v>
      </c>
      <c r="P27" s="33">
        <v>0</v>
      </c>
      <c r="Q27" s="21">
        <f t="shared" si="1"/>
        <v>26</v>
      </c>
      <c r="R27">
        <f t="shared" si="0"/>
        <v>29.052254112689624</v>
      </c>
      <c r="S27">
        <f t="shared" si="2"/>
        <v>3.7937140415344826</v>
      </c>
      <c r="T27">
        <v>11</v>
      </c>
    </row>
    <row r="28" spans="1:36">
      <c r="A28" s="32">
        <v>41115</v>
      </c>
      <c r="B28" s="42">
        <v>17</v>
      </c>
      <c r="C28" s="33">
        <v>1</v>
      </c>
      <c r="D28" s="33">
        <v>0</v>
      </c>
      <c r="E28" s="33">
        <v>0</v>
      </c>
      <c r="F28" s="33">
        <v>0</v>
      </c>
      <c r="G28" s="33">
        <v>0</v>
      </c>
      <c r="H28" s="33">
        <v>1</v>
      </c>
      <c r="I28" s="33">
        <v>0</v>
      </c>
      <c r="J28" s="33">
        <v>0</v>
      </c>
      <c r="K28" s="33">
        <v>0</v>
      </c>
      <c r="L28" s="33">
        <v>1</v>
      </c>
      <c r="M28" s="33">
        <v>0</v>
      </c>
      <c r="N28" s="33">
        <v>0</v>
      </c>
      <c r="O28" s="33">
        <v>0</v>
      </c>
      <c r="P28" s="33">
        <v>0</v>
      </c>
      <c r="Q28" s="21">
        <f t="shared" si="1"/>
        <v>29</v>
      </c>
      <c r="R28">
        <f t="shared" si="0"/>
        <v>25.814862662883048</v>
      </c>
      <c r="S28">
        <f t="shared" si="2"/>
        <v>77.701803765489615</v>
      </c>
      <c r="T28">
        <v>14</v>
      </c>
    </row>
    <row r="29" spans="1:36">
      <c r="A29" s="32">
        <v>41116</v>
      </c>
      <c r="B29" s="42">
        <v>22</v>
      </c>
      <c r="C29" s="33">
        <v>1</v>
      </c>
      <c r="D29" s="33">
        <v>0</v>
      </c>
      <c r="E29" s="33">
        <v>0</v>
      </c>
      <c r="F29" s="33">
        <v>0</v>
      </c>
      <c r="G29" s="33">
        <v>0</v>
      </c>
      <c r="H29" s="33">
        <v>1</v>
      </c>
      <c r="I29" s="33">
        <v>0</v>
      </c>
      <c r="J29" s="33">
        <v>0</v>
      </c>
      <c r="K29" s="33">
        <v>0</v>
      </c>
      <c r="L29" s="33">
        <v>0</v>
      </c>
      <c r="M29" s="33">
        <v>1</v>
      </c>
      <c r="N29" s="33">
        <v>0</v>
      </c>
      <c r="O29" s="33">
        <v>0</v>
      </c>
      <c r="P29" s="33">
        <v>0</v>
      </c>
      <c r="Q29" s="21">
        <f t="shared" si="1"/>
        <v>32</v>
      </c>
      <c r="R29">
        <f t="shared" si="0"/>
        <v>26.174733992021341</v>
      </c>
      <c r="S29">
        <f t="shared" si="2"/>
        <v>17.428403904138445</v>
      </c>
      <c r="T29">
        <v>17</v>
      </c>
    </row>
    <row r="30" spans="1:36">
      <c r="A30" s="32">
        <v>41117</v>
      </c>
      <c r="B30" s="42">
        <v>25</v>
      </c>
      <c r="C30" s="33">
        <v>1</v>
      </c>
      <c r="D30" s="33">
        <v>0</v>
      </c>
      <c r="E30" s="33">
        <v>0</v>
      </c>
      <c r="F30" s="33">
        <v>1</v>
      </c>
      <c r="G30" s="33">
        <v>1</v>
      </c>
      <c r="H30" s="33">
        <v>4</v>
      </c>
      <c r="I30" s="33">
        <v>0</v>
      </c>
      <c r="J30" s="33">
        <v>0</v>
      </c>
      <c r="K30" s="33">
        <v>0</v>
      </c>
      <c r="L30" s="33">
        <v>0</v>
      </c>
      <c r="M30" s="33">
        <v>0</v>
      </c>
      <c r="N30" s="33">
        <v>1</v>
      </c>
      <c r="O30" s="33">
        <v>0</v>
      </c>
      <c r="P30" s="33">
        <v>0</v>
      </c>
      <c r="Q30" s="21">
        <f t="shared" si="1"/>
        <v>39</v>
      </c>
      <c r="R30">
        <f t="shared" si="0"/>
        <v>38.491248020621072</v>
      </c>
      <c r="S30">
        <f t="shared" si="2"/>
        <v>182.01377315391198</v>
      </c>
      <c r="T30">
        <v>24</v>
      </c>
    </row>
    <row r="31" spans="1:36">
      <c r="A31" s="32">
        <v>41118</v>
      </c>
      <c r="B31" s="42">
        <v>48</v>
      </c>
      <c r="C31" s="33">
        <v>1</v>
      </c>
      <c r="D31" s="33">
        <v>0</v>
      </c>
      <c r="E31" s="33">
        <v>0</v>
      </c>
      <c r="F31" s="33">
        <v>3</v>
      </c>
      <c r="G31" s="33">
        <v>2</v>
      </c>
      <c r="H31" s="33">
        <v>12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1</v>
      </c>
      <c r="P31" s="33">
        <v>0</v>
      </c>
      <c r="Q31" s="21">
        <f t="shared" si="1"/>
        <v>38</v>
      </c>
      <c r="R31">
        <f t="shared" si="0"/>
        <v>44.441367547779407</v>
      </c>
      <c r="S31">
        <f t="shared" si="2"/>
        <v>12.663864929997549</v>
      </c>
      <c r="T31">
        <v>23</v>
      </c>
    </row>
    <row r="32" spans="1:36">
      <c r="A32" s="32">
        <v>41119</v>
      </c>
      <c r="B32" s="42">
        <v>43</v>
      </c>
      <c r="C32" s="33">
        <v>1</v>
      </c>
      <c r="D32" s="33">
        <v>0</v>
      </c>
      <c r="E32" s="33">
        <v>0</v>
      </c>
      <c r="F32" s="33">
        <v>2</v>
      </c>
      <c r="G32" s="33">
        <v>1</v>
      </c>
      <c r="H32" s="33">
        <v>6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  <c r="N32" s="33">
        <v>0</v>
      </c>
      <c r="O32" s="33">
        <v>0</v>
      </c>
      <c r="P32" s="33">
        <v>0</v>
      </c>
      <c r="Q32" s="21">
        <f t="shared" si="1"/>
        <v>46</v>
      </c>
      <c r="R32">
        <f t="shared" si="0"/>
        <v>41.740380398357523</v>
      </c>
      <c r="S32">
        <f t="shared" si="2"/>
        <v>1.5866415408419525</v>
      </c>
      <c r="T32">
        <v>31</v>
      </c>
    </row>
    <row r="33" spans="1:20">
      <c r="A33" s="32">
        <v>41120</v>
      </c>
      <c r="B33" s="42">
        <v>31</v>
      </c>
      <c r="C33" s="33">
        <v>1</v>
      </c>
      <c r="D33" s="33">
        <v>0</v>
      </c>
      <c r="E33" s="33">
        <v>0</v>
      </c>
      <c r="F33" s="33">
        <v>1</v>
      </c>
      <c r="G33" s="33">
        <v>1</v>
      </c>
      <c r="H33" s="33">
        <v>4</v>
      </c>
      <c r="I33" s="33">
        <v>0</v>
      </c>
      <c r="J33" s="33">
        <v>1</v>
      </c>
      <c r="K33" s="33">
        <v>0</v>
      </c>
      <c r="L33" s="33">
        <v>0</v>
      </c>
      <c r="M33" s="33">
        <v>0</v>
      </c>
      <c r="N33" s="33">
        <v>0</v>
      </c>
      <c r="O33" s="33">
        <v>0</v>
      </c>
      <c r="P33" s="33">
        <v>0</v>
      </c>
      <c r="Q33" s="21">
        <f t="shared" si="1"/>
        <v>34</v>
      </c>
      <c r="R33">
        <f t="shared" si="0"/>
        <v>35.944005404583628</v>
      </c>
      <c r="S33">
        <f t="shared" si="2"/>
        <v>24.443189440552121</v>
      </c>
      <c r="T33">
        <v>19</v>
      </c>
    </row>
    <row r="34" spans="1:20">
      <c r="A34" s="32">
        <v>41121</v>
      </c>
      <c r="B34" s="42">
        <v>42</v>
      </c>
      <c r="C34" s="33">
        <v>1</v>
      </c>
      <c r="D34" s="33">
        <v>0</v>
      </c>
      <c r="E34" s="33">
        <v>0</v>
      </c>
      <c r="F34" s="33">
        <v>1</v>
      </c>
      <c r="G34" s="33">
        <v>1</v>
      </c>
      <c r="H34" s="33">
        <v>4</v>
      </c>
      <c r="I34" s="33">
        <v>0</v>
      </c>
      <c r="J34" s="33">
        <v>0</v>
      </c>
      <c r="K34" s="33">
        <v>1</v>
      </c>
      <c r="L34" s="33">
        <v>0</v>
      </c>
      <c r="M34" s="33">
        <v>0</v>
      </c>
      <c r="N34" s="33">
        <v>0</v>
      </c>
      <c r="O34" s="33">
        <v>0</v>
      </c>
      <c r="P34" s="33">
        <v>0</v>
      </c>
      <c r="Q34" s="21">
        <f t="shared" si="1"/>
        <v>25</v>
      </c>
      <c r="R34">
        <f t="shared" si="0"/>
        <v>30.776467620374078</v>
      </c>
      <c r="S34">
        <f t="shared" si="2"/>
        <v>125.96767907651152</v>
      </c>
      <c r="T34">
        <v>10</v>
      </c>
    </row>
    <row r="35" spans="1:20">
      <c r="A35" s="32">
        <v>41122</v>
      </c>
      <c r="B35" s="42">
        <v>41</v>
      </c>
      <c r="C35" s="33">
        <v>1</v>
      </c>
      <c r="D35" s="33">
        <v>0</v>
      </c>
      <c r="E35" s="33">
        <v>0</v>
      </c>
      <c r="F35" s="33">
        <v>0</v>
      </c>
      <c r="G35" s="33">
        <v>0</v>
      </c>
      <c r="H35" s="33">
        <v>1</v>
      </c>
      <c r="I35" s="33">
        <v>0</v>
      </c>
      <c r="J35" s="33">
        <v>0</v>
      </c>
      <c r="K35" s="33">
        <v>0</v>
      </c>
      <c r="L35" s="33">
        <v>1</v>
      </c>
      <c r="M35" s="33">
        <v>0</v>
      </c>
      <c r="N35" s="33">
        <v>0</v>
      </c>
      <c r="O35" s="33">
        <v>0</v>
      </c>
      <c r="P35" s="33">
        <v>0</v>
      </c>
      <c r="Q35" s="21">
        <f t="shared" si="1"/>
        <v>26</v>
      </c>
      <c r="R35">
        <f t="shared" si="0"/>
        <v>24.089485354852346</v>
      </c>
      <c r="S35">
        <f t="shared" si="2"/>
        <v>285.96550556375325</v>
      </c>
      <c r="T35">
        <v>11</v>
      </c>
    </row>
    <row r="36" spans="1:20">
      <c r="A36" s="32">
        <v>41123</v>
      </c>
      <c r="B36" s="42">
        <v>30</v>
      </c>
      <c r="C36" s="33">
        <v>1</v>
      </c>
      <c r="D36" s="33">
        <v>0</v>
      </c>
      <c r="E36" s="33">
        <v>0</v>
      </c>
      <c r="F36" s="33">
        <v>0</v>
      </c>
      <c r="G36" s="33">
        <v>0</v>
      </c>
      <c r="H36" s="33">
        <v>1</v>
      </c>
      <c r="I36" s="33">
        <v>0</v>
      </c>
      <c r="J36" s="33">
        <v>0</v>
      </c>
      <c r="K36" s="33">
        <v>0</v>
      </c>
      <c r="L36" s="33">
        <v>0</v>
      </c>
      <c r="M36" s="33">
        <v>1</v>
      </c>
      <c r="N36" s="33">
        <v>0</v>
      </c>
      <c r="O36" s="33">
        <v>0</v>
      </c>
      <c r="P36" s="33">
        <v>0</v>
      </c>
      <c r="Q36" s="21">
        <f t="shared" si="1"/>
        <v>27</v>
      </c>
      <c r="R36">
        <f t="shared" ref="R36:R67" si="3">SUMPRODUCT($C$2:$Q$2,C36:Q36)</f>
        <v>23.299105145303507</v>
      </c>
      <c r="S36">
        <f t="shared" si="2"/>
        <v>44.901991853697936</v>
      </c>
      <c r="T36">
        <v>12</v>
      </c>
    </row>
    <row r="37" spans="1:20">
      <c r="A37" s="32">
        <v>41124</v>
      </c>
      <c r="B37" s="42">
        <v>29</v>
      </c>
      <c r="C37" s="33">
        <v>1</v>
      </c>
      <c r="D37" s="33">
        <v>0</v>
      </c>
      <c r="E37" s="33">
        <v>0</v>
      </c>
      <c r="F37" s="33">
        <v>0</v>
      </c>
      <c r="G37" s="33">
        <v>0</v>
      </c>
      <c r="H37" s="33">
        <v>1</v>
      </c>
      <c r="I37" s="33">
        <v>0</v>
      </c>
      <c r="J37" s="33">
        <v>0</v>
      </c>
      <c r="K37" s="33">
        <v>0</v>
      </c>
      <c r="L37" s="33">
        <v>0</v>
      </c>
      <c r="M37" s="33">
        <v>0</v>
      </c>
      <c r="N37" s="33">
        <v>1</v>
      </c>
      <c r="O37" s="33">
        <v>0</v>
      </c>
      <c r="P37" s="33">
        <v>0</v>
      </c>
      <c r="Q37" s="21">
        <f t="shared" si="1"/>
        <v>30</v>
      </c>
      <c r="R37">
        <f t="shared" si="3"/>
        <v>26.451914345461375</v>
      </c>
      <c r="S37">
        <f t="shared" si="2"/>
        <v>6.4927405028655309</v>
      </c>
      <c r="T37">
        <v>15</v>
      </c>
    </row>
    <row r="38" spans="1:20">
      <c r="A38" s="32">
        <v>41125</v>
      </c>
      <c r="B38" s="42">
        <v>31</v>
      </c>
      <c r="C38" s="33">
        <v>1</v>
      </c>
      <c r="D38" s="33">
        <v>0</v>
      </c>
      <c r="E38" s="33">
        <v>0</v>
      </c>
      <c r="F38" s="33">
        <v>1</v>
      </c>
      <c r="G38" s="33">
        <v>1</v>
      </c>
      <c r="H38" s="33">
        <v>4</v>
      </c>
      <c r="I38" s="33">
        <v>0</v>
      </c>
      <c r="J38" s="33">
        <v>0</v>
      </c>
      <c r="K38" s="33">
        <v>0</v>
      </c>
      <c r="L38" s="33">
        <v>0</v>
      </c>
      <c r="M38" s="33">
        <v>0</v>
      </c>
      <c r="N38" s="33">
        <v>0</v>
      </c>
      <c r="O38" s="33">
        <v>1</v>
      </c>
      <c r="P38" s="33">
        <v>0</v>
      </c>
      <c r="Q38" s="21">
        <f t="shared" si="1"/>
        <v>37</v>
      </c>
      <c r="R38">
        <f t="shared" si="3"/>
        <v>35.455357163967975</v>
      </c>
      <c r="S38">
        <f t="shared" si="2"/>
        <v>19.850207458520753</v>
      </c>
      <c r="T38">
        <v>22</v>
      </c>
    </row>
    <row r="39" spans="1:20">
      <c r="A39" s="32">
        <v>41126</v>
      </c>
      <c r="B39" s="42">
        <v>34</v>
      </c>
      <c r="C39" s="33">
        <v>1</v>
      </c>
      <c r="D39" s="33">
        <v>0</v>
      </c>
      <c r="E39" s="33">
        <v>0</v>
      </c>
      <c r="F39" s="33">
        <v>1</v>
      </c>
      <c r="G39" s="33">
        <v>1</v>
      </c>
      <c r="H39" s="33">
        <v>4</v>
      </c>
      <c r="I39" s="33">
        <v>0</v>
      </c>
      <c r="J39" s="33">
        <v>0</v>
      </c>
      <c r="K39" s="33">
        <v>0</v>
      </c>
      <c r="L39" s="33">
        <v>0</v>
      </c>
      <c r="M39" s="33">
        <v>0</v>
      </c>
      <c r="N39" s="33">
        <v>0</v>
      </c>
      <c r="O39" s="33">
        <v>0</v>
      </c>
      <c r="P39" s="33">
        <v>0</v>
      </c>
      <c r="Q39" s="21">
        <f t="shared" si="1"/>
        <v>27</v>
      </c>
      <c r="R39">
        <f t="shared" si="3"/>
        <v>27.003173209449997</v>
      </c>
      <c r="S39">
        <f t="shared" si="2"/>
        <v>48.955585136958256</v>
      </c>
      <c r="T39">
        <v>12</v>
      </c>
    </row>
    <row r="40" spans="1:20">
      <c r="A40" s="32">
        <v>41127</v>
      </c>
      <c r="B40" s="42">
        <v>21</v>
      </c>
      <c r="C40" s="33">
        <v>1</v>
      </c>
      <c r="D40" s="33">
        <v>0</v>
      </c>
      <c r="E40" s="33">
        <v>0</v>
      </c>
      <c r="F40" s="33">
        <v>0</v>
      </c>
      <c r="G40" s="33">
        <v>0</v>
      </c>
      <c r="H40" s="33">
        <v>1</v>
      </c>
      <c r="I40" s="33">
        <v>0</v>
      </c>
      <c r="J40" s="33">
        <v>1</v>
      </c>
      <c r="K40" s="33">
        <v>0</v>
      </c>
      <c r="L40" s="33">
        <v>0</v>
      </c>
      <c r="M40" s="33">
        <v>0</v>
      </c>
      <c r="N40" s="33">
        <v>0</v>
      </c>
      <c r="O40" s="33">
        <v>0</v>
      </c>
      <c r="P40" s="33">
        <v>0</v>
      </c>
      <c r="Q40" s="21">
        <f t="shared" si="1"/>
        <v>30</v>
      </c>
      <c r="R40">
        <f t="shared" si="3"/>
        <v>26.780300576141762</v>
      </c>
      <c r="S40">
        <f t="shared" si="2"/>
        <v>33.41187475054479</v>
      </c>
      <c r="T40">
        <v>15</v>
      </c>
    </row>
    <row r="41" spans="1:20">
      <c r="A41" s="32">
        <v>41128</v>
      </c>
      <c r="B41" s="42">
        <v>21</v>
      </c>
      <c r="C41" s="33">
        <v>1</v>
      </c>
      <c r="D41" s="33">
        <v>0</v>
      </c>
      <c r="E41" s="33">
        <v>0</v>
      </c>
      <c r="F41" s="33">
        <v>0</v>
      </c>
      <c r="G41" s="33">
        <v>0</v>
      </c>
      <c r="H41" s="33">
        <v>1</v>
      </c>
      <c r="I41" s="33">
        <v>0</v>
      </c>
      <c r="J41" s="33">
        <v>0</v>
      </c>
      <c r="K41" s="33">
        <v>1</v>
      </c>
      <c r="L41" s="33">
        <v>0</v>
      </c>
      <c r="M41" s="33">
        <v>0</v>
      </c>
      <c r="N41" s="33">
        <v>0</v>
      </c>
      <c r="O41" s="33">
        <v>0</v>
      </c>
      <c r="P41" s="33">
        <v>0</v>
      </c>
      <c r="Q41" s="21">
        <f t="shared" si="1"/>
        <v>28</v>
      </c>
      <c r="R41">
        <f t="shared" si="3"/>
        <v>25.638643177337183</v>
      </c>
      <c r="S41">
        <f t="shared" si="2"/>
        <v>21.517010526656797</v>
      </c>
      <c r="T41">
        <v>13</v>
      </c>
    </row>
    <row r="42" spans="1:20">
      <c r="A42" s="32">
        <v>41129</v>
      </c>
      <c r="B42" s="42">
        <v>22</v>
      </c>
      <c r="C42" s="33">
        <v>1</v>
      </c>
      <c r="D42" s="33">
        <v>0</v>
      </c>
      <c r="E42" s="33">
        <v>0</v>
      </c>
      <c r="F42" s="33">
        <v>0</v>
      </c>
      <c r="G42" s="33">
        <v>0</v>
      </c>
      <c r="H42" s="33">
        <v>1</v>
      </c>
      <c r="I42" s="33">
        <v>0</v>
      </c>
      <c r="J42" s="33">
        <v>0</v>
      </c>
      <c r="K42" s="33">
        <v>0</v>
      </c>
      <c r="L42" s="33">
        <v>1</v>
      </c>
      <c r="M42" s="33">
        <v>0</v>
      </c>
      <c r="N42" s="33">
        <v>0</v>
      </c>
      <c r="O42" s="33">
        <v>0</v>
      </c>
      <c r="P42" s="33">
        <v>0</v>
      </c>
      <c r="Q42" s="21">
        <f t="shared" si="1"/>
        <v>30</v>
      </c>
      <c r="R42">
        <f t="shared" si="3"/>
        <v>26.389988432226616</v>
      </c>
      <c r="S42">
        <f t="shared" si="2"/>
        <v>19.271998435083503</v>
      </c>
      <c r="T42">
        <v>15</v>
      </c>
    </row>
    <row r="43" spans="1:20">
      <c r="A43" s="32">
        <v>41130</v>
      </c>
      <c r="B43" s="42">
        <v>12</v>
      </c>
      <c r="C43" s="33">
        <v>1</v>
      </c>
      <c r="D43" s="33">
        <v>0</v>
      </c>
      <c r="E43" s="33">
        <v>0</v>
      </c>
      <c r="F43" s="33">
        <v>0</v>
      </c>
      <c r="G43" s="33">
        <v>0</v>
      </c>
      <c r="H43" s="33">
        <v>1</v>
      </c>
      <c r="I43" s="33">
        <v>0</v>
      </c>
      <c r="J43" s="33">
        <v>0</v>
      </c>
      <c r="K43" s="33">
        <v>0</v>
      </c>
      <c r="L43" s="33">
        <v>0</v>
      </c>
      <c r="M43" s="33">
        <v>1</v>
      </c>
      <c r="N43" s="33">
        <v>0</v>
      </c>
      <c r="O43" s="33">
        <v>0</v>
      </c>
      <c r="P43" s="33">
        <v>0</v>
      </c>
      <c r="Q43" s="21">
        <f t="shared" si="1"/>
        <v>26</v>
      </c>
      <c r="R43">
        <f t="shared" si="3"/>
        <v>22.723979375959939</v>
      </c>
      <c r="S43">
        <f t="shared" si="2"/>
        <v>115.00373365601412</v>
      </c>
      <c r="T43">
        <v>11</v>
      </c>
    </row>
    <row r="44" spans="1:20">
      <c r="A44" s="32">
        <v>41131</v>
      </c>
      <c r="B44" s="42">
        <v>25</v>
      </c>
      <c r="C44" s="33">
        <v>1</v>
      </c>
      <c r="D44" s="33">
        <v>0</v>
      </c>
      <c r="E44" s="33">
        <v>0</v>
      </c>
      <c r="F44" s="33">
        <v>0</v>
      </c>
      <c r="G44" s="33">
        <v>0</v>
      </c>
      <c r="H44" s="33">
        <v>1</v>
      </c>
      <c r="I44" s="33">
        <v>0</v>
      </c>
      <c r="J44" s="33">
        <v>0</v>
      </c>
      <c r="K44" s="33">
        <v>0</v>
      </c>
      <c r="L44" s="33">
        <v>0</v>
      </c>
      <c r="M44" s="33">
        <v>0</v>
      </c>
      <c r="N44" s="33">
        <v>1</v>
      </c>
      <c r="O44" s="33">
        <v>0</v>
      </c>
      <c r="P44" s="33">
        <v>0</v>
      </c>
      <c r="Q44" s="21">
        <f t="shared" si="1"/>
        <v>31</v>
      </c>
      <c r="R44">
        <f t="shared" si="3"/>
        <v>27.02704011480494</v>
      </c>
      <c r="S44">
        <f t="shared" si="2"/>
        <v>4.1088916270284255</v>
      </c>
      <c r="T44">
        <v>16</v>
      </c>
    </row>
    <row r="45" spans="1:20">
      <c r="A45" s="32">
        <v>41132</v>
      </c>
      <c r="B45" s="42">
        <v>29</v>
      </c>
      <c r="C45" s="33">
        <v>1</v>
      </c>
      <c r="D45" s="33">
        <v>0</v>
      </c>
      <c r="E45" s="33">
        <v>0</v>
      </c>
      <c r="F45" s="33">
        <v>1</v>
      </c>
      <c r="G45" s="33">
        <v>1</v>
      </c>
      <c r="H45" s="33">
        <v>4</v>
      </c>
      <c r="I45" s="33">
        <v>0</v>
      </c>
      <c r="J45" s="33">
        <v>0</v>
      </c>
      <c r="K45" s="33">
        <v>0</v>
      </c>
      <c r="L45" s="33">
        <v>0</v>
      </c>
      <c r="M45" s="33">
        <v>0</v>
      </c>
      <c r="N45" s="33">
        <v>0</v>
      </c>
      <c r="O45" s="33">
        <v>1</v>
      </c>
      <c r="P45" s="33">
        <v>0</v>
      </c>
      <c r="Q45" s="21">
        <f t="shared" si="1"/>
        <v>28</v>
      </c>
      <c r="R45">
        <f t="shared" si="3"/>
        <v>30.279225239875871</v>
      </c>
      <c r="S45">
        <f t="shared" si="2"/>
        <v>1.6364172143354785</v>
      </c>
      <c r="T45">
        <v>13</v>
      </c>
    </row>
    <row r="46" spans="1:20">
      <c r="A46" s="32">
        <v>41133</v>
      </c>
      <c r="B46" s="42">
        <v>14</v>
      </c>
      <c r="C46" s="33">
        <v>1</v>
      </c>
      <c r="D46" s="33">
        <v>0</v>
      </c>
      <c r="E46" s="33">
        <v>0</v>
      </c>
      <c r="F46" s="33">
        <v>0</v>
      </c>
      <c r="G46" s="33">
        <v>0</v>
      </c>
      <c r="H46" s="33">
        <v>1</v>
      </c>
      <c r="I46" s="33">
        <v>0</v>
      </c>
      <c r="J46" s="33">
        <v>0</v>
      </c>
      <c r="K46" s="33">
        <v>0</v>
      </c>
      <c r="L46" s="33">
        <v>0</v>
      </c>
      <c r="M46" s="33">
        <v>0</v>
      </c>
      <c r="N46" s="33">
        <v>0</v>
      </c>
      <c r="O46" s="33">
        <v>0</v>
      </c>
      <c r="P46" s="33">
        <v>0</v>
      </c>
      <c r="Q46" s="21">
        <f t="shared" si="1"/>
        <v>15</v>
      </c>
      <c r="R46">
        <f t="shared" si="3"/>
        <v>13.238462226259594</v>
      </c>
      <c r="S46">
        <f t="shared" si="2"/>
        <v>0.57993978083349329</v>
      </c>
      <c r="T46">
        <v>0</v>
      </c>
    </row>
    <row r="47" spans="1:20">
      <c r="A47" s="32">
        <v>41134</v>
      </c>
      <c r="B47" s="42">
        <v>29</v>
      </c>
      <c r="C47" s="33">
        <v>1</v>
      </c>
      <c r="D47" s="33">
        <v>0</v>
      </c>
      <c r="E47" s="33">
        <v>0</v>
      </c>
      <c r="F47" s="33">
        <v>0</v>
      </c>
      <c r="G47" s="33">
        <v>0</v>
      </c>
      <c r="H47" s="33">
        <v>1</v>
      </c>
      <c r="I47" s="33">
        <v>0</v>
      </c>
      <c r="J47" s="33">
        <v>1</v>
      </c>
      <c r="K47" s="33">
        <v>0</v>
      </c>
      <c r="L47" s="33">
        <v>0</v>
      </c>
      <c r="M47" s="33">
        <v>0</v>
      </c>
      <c r="N47" s="33">
        <v>0</v>
      </c>
      <c r="O47" s="33">
        <v>0</v>
      </c>
      <c r="P47" s="33">
        <v>0</v>
      </c>
      <c r="Q47" s="21">
        <f t="shared" si="1"/>
        <v>34</v>
      </c>
      <c r="R47">
        <f t="shared" si="3"/>
        <v>29.080803653516028</v>
      </c>
      <c r="S47">
        <f t="shared" si="2"/>
        <v>6.5292304215383628E-3</v>
      </c>
      <c r="T47">
        <v>19</v>
      </c>
    </row>
    <row r="48" spans="1:20">
      <c r="A48" s="32">
        <v>41135</v>
      </c>
      <c r="B48" s="42">
        <v>23</v>
      </c>
      <c r="C48" s="33">
        <v>1</v>
      </c>
      <c r="D48" s="33">
        <v>0</v>
      </c>
      <c r="E48" s="33">
        <v>0</v>
      </c>
      <c r="F48" s="33">
        <v>0</v>
      </c>
      <c r="G48" s="33">
        <v>0</v>
      </c>
      <c r="H48" s="33">
        <v>1</v>
      </c>
      <c r="I48" s="33">
        <v>0</v>
      </c>
      <c r="J48" s="33">
        <v>0</v>
      </c>
      <c r="K48" s="33">
        <v>1</v>
      </c>
      <c r="L48" s="33">
        <v>0</v>
      </c>
      <c r="M48" s="33">
        <v>0</v>
      </c>
      <c r="N48" s="33">
        <v>0</v>
      </c>
      <c r="O48" s="33">
        <v>0</v>
      </c>
      <c r="P48" s="33">
        <v>0</v>
      </c>
      <c r="Q48" s="21">
        <f t="shared" si="1"/>
        <v>32</v>
      </c>
      <c r="R48">
        <f t="shared" si="3"/>
        <v>27.939146254711449</v>
      </c>
      <c r="S48">
        <f t="shared" si="2"/>
        <v>24.395165725430136</v>
      </c>
      <c r="T48">
        <v>17</v>
      </c>
    </row>
    <row r="49" spans="1:20">
      <c r="A49" s="32">
        <v>41136</v>
      </c>
      <c r="B49" s="42">
        <v>19</v>
      </c>
      <c r="C49" s="33">
        <v>1</v>
      </c>
      <c r="D49" s="33">
        <v>0</v>
      </c>
      <c r="E49" s="33">
        <v>0</v>
      </c>
      <c r="F49" s="33">
        <v>0</v>
      </c>
      <c r="G49" s="33">
        <v>0</v>
      </c>
      <c r="H49" s="33">
        <v>1</v>
      </c>
      <c r="I49" s="33">
        <v>0</v>
      </c>
      <c r="J49" s="33">
        <v>0</v>
      </c>
      <c r="K49" s="33">
        <v>0</v>
      </c>
      <c r="L49" s="33">
        <v>1</v>
      </c>
      <c r="M49" s="33">
        <v>0</v>
      </c>
      <c r="N49" s="33">
        <v>0</v>
      </c>
      <c r="O49" s="33">
        <v>0</v>
      </c>
      <c r="P49" s="33">
        <v>0</v>
      </c>
      <c r="Q49" s="21">
        <f t="shared" si="1"/>
        <v>20</v>
      </c>
      <c r="R49">
        <f t="shared" si="3"/>
        <v>20.638730738790947</v>
      </c>
      <c r="S49">
        <f t="shared" si="2"/>
        <v>2.685438434258324</v>
      </c>
      <c r="T49">
        <v>5</v>
      </c>
    </row>
    <row r="50" spans="1:20">
      <c r="A50" s="32">
        <v>41137</v>
      </c>
      <c r="B50" s="42">
        <v>16</v>
      </c>
      <c r="C50" s="33">
        <v>1</v>
      </c>
      <c r="D50" s="33">
        <v>0</v>
      </c>
      <c r="E50" s="33">
        <v>0</v>
      </c>
      <c r="F50" s="33">
        <v>0</v>
      </c>
      <c r="G50" s="33">
        <v>0</v>
      </c>
      <c r="H50" s="33">
        <v>1</v>
      </c>
      <c r="I50" s="33">
        <v>0</v>
      </c>
      <c r="J50" s="33">
        <v>0</v>
      </c>
      <c r="K50" s="33">
        <v>0</v>
      </c>
      <c r="L50" s="33">
        <v>0</v>
      </c>
      <c r="M50" s="33">
        <v>1</v>
      </c>
      <c r="N50" s="33">
        <v>0</v>
      </c>
      <c r="O50" s="33">
        <v>0</v>
      </c>
      <c r="P50" s="33">
        <v>0</v>
      </c>
      <c r="Q50" s="21">
        <f t="shared" si="1"/>
        <v>26</v>
      </c>
      <c r="R50">
        <f t="shared" si="3"/>
        <v>22.723979375959939</v>
      </c>
      <c r="S50">
        <f t="shared" si="2"/>
        <v>45.211898648334603</v>
      </c>
      <c r="T50">
        <v>11</v>
      </c>
    </row>
    <row r="51" spans="1:20">
      <c r="A51" s="32">
        <v>41138</v>
      </c>
      <c r="B51" s="42">
        <v>29</v>
      </c>
      <c r="C51" s="33">
        <v>1</v>
      </c>
      <c r="D51" s="33">
        <v>0</v>
      </c>
      <c r="E51" s="33">
        <v>0</v>
      </c>
      <c r="F51" s="33">
        <v>0</v>
      </c>
      <c r="G51" s="33">
        <v>0</v>
      </c>
      <c r="H51" s="33">
        <v>1</v>
      </c>
      <c r="I51" s="33">
        <v>0</v>
      </c>
      <c r="J51" s="33">
        <v>0</v>
      </c>
      <c r="K51" s="33">
        <v>0</v>
      </c>
      <c r="L51" s="33">
        <v>0</v>
      </c>
      <c r="M51" s="33">
        <v>0</v>
      </c>
      <c r="N51" s="33">
        <v>1</v>
      </c>
      <c r="O51" s="33">
        <v>0</v>
      </c>
      <c r="P51" s="33">
        <v>0</v>
      </c>
      <c r="Q51" s="21">
        <f t="shared" si="1"/>
        <v>31</v>
      </c>
      <c r="R51">
        <f t="shared" si="3"/>
        <v>27.02704011480494</v>
      </c>
      <c r="S51">
        <f t="shared" si="2"/>
        <v>3.8925707085889036</v>
      </c>
      <c r="T51">
        <v>16</v>
      </c>
    </row>
    <row r="52" spans="1:20">
      <c r="A52" s="32">
        <v>41139</v>
      </c>
      <c r="B52" s="42">
        <v>22</v>
      </c>
      <c r="C52" s="33">
        <v>1</v>
      </c>
      <c r="D52" s="33">
        <v>0</v>
      </c>
      <c r="E52" s="33">
        <v>0</v>
      </c>
      <c r="F52" s="33">
        <v>1</v>
      </c>
      <c r="G52" s="33">
        <v>1</v>
      </c>
      <c r="H52" s="33">
        <v>4</v>
      </c>
      <c r="I52" s="33">
        <v>0</v>
      </c>
      <c r="J52" s="33">
        <v>0</v>
      </c>
      <c r="K52" s="33">
        <v>0</v>
      </c>
      <c r="L52" s="33">
        <v>0</v>
      </c>
      <c r="M52" s="33">
        <v>0</v>
      </c>
      <c r="N52" s="33">
        <v>0</v>
      </c>
      <c r="O52" s="33">
        <v>1</v>
      </c>
      <c r="P52" s="33">
        <v>0</v>
      </c>
      <c r="Q52" s="21">
        <f t="shared" si="1"/>
        <v>31</v>
      </c>
      <c r="R52">
        <f t="shared" si="3"/>
        <v>32.004602547906572</v>
      </c>
      <c r="S52">
        <f t="shared" si="2"/>
        <v>100.09207214157867</v>
      </c>
      <c r="T52">
        <v>16</v>
      </c>
    </row>
    <row r="53" spans="1:20">
      <c r="A53" s="32">
        <v>41140</v>
      </c>
      <c r="B53" s="42">
        <v>23</v>
      </c>
      <c r="C53" s="33">
        <v>1</v>
      </c>
      <c r="D53" s="33">
        <v>0</v>
      </c>
      <c r="E53" s="33">
        <v>0</v>
      </c>
      <c r="F53" s="33">
        <v>1</v>
      </c>
      <c r="G53" s="33">
        <v>0</v>
      </c>
      <c r="H53" s="33">
        <v>2</v>
      </c>
      <c r="I53" s="33">
        <v>0</v>
      </c>
      <c r="J53" s="33">
        <v>0</v>
      </c>
      <c r="K53" s="33">
        <v>0</v>
      </c>
      <c r="L53" s="33">
        <v>0</v>
      </c>
      <c r="M53" s="33">
        <v>0</v>
      </c>
      <c r="N53" s="33">
        <v>0</v>
      </c>
      <c r="O53" s="33">
        <v>0</v>
      </c>
      <c r="P53" s="33">
        <v>0</v>
      </c>
      <c r="Q53" s="21">
        <f t="shared" si="1"/>
        <v>28</v>
      </c>
      <c r="R53">
        <f t="shared" si="3"/>
        <v>25.278959701765544</v>
      </c>
      <c r="S53">
        <f t="shared" si="2"/>
        <v>5.1936573222712967</v>
      </c>
      <c r="T53">
        <v>13</v>
      </c>
    </row>
    <row r="54" spans="1:20">
      <c r="A54" s="32">
        <v>41141</v>
      </c>
      <c r="B54" s="42">
        <v>25</v>
      </c>
      <c r="C54" s="33">
        <v>1</v>
      </c>
      <c r="D54" s="33">
        <v>0</v>
      </c>
      <c r="E54" s="33">
        <v>0</v>
      </c>
      <c r="F54" s="33">
        <v>0</v>
      </c>
      <c r="G54" s="33">
        <v>0</v>
      </c>
      <c r="H54" s="33">
        <v>1</v>
      </c>
      <c r="I54" s="33">
        <v>0</v>
      </c>
      <c r="J54" s="33">
        <v>1</v>
      </c>
      <c r="K54" s="33">
        <v>0</v>
      </c>
      <c r="L54" s="33">
        <v>0</v>
      </c>
      <c r="M54" s="33">
        <v>0</v>
      </c>
      <c r="N54" s="33">
        <v>0</v>
      </c>
      <c r="O54" s="33">
        <v>0</v>
      </c>
      <c r="P54" s="33">
        <v>0</v>
      </c>
      <c r="Q54" s="21">
        <f t="shared" si="1"/>
        <v>28</v>
      </c>
      <c r="R54">
        <f t="shared" si="3"/>
        <v>25.630049037454629</v>
      </c>
      <c r="S54">
        <f t="shared" si="2"/>
        <v>0.39696178959750483</v>
      </c>
      <c r="T54">
        <v>13</v>
      </c>
    </row>
    <row r="55" spans="1:20">
      <c r="A55" s="32">
        <v>41142</v>
      </c>
      <c r="B55" s="42">
        <v>19</v>
      </c>
      <c r="C55" s="33">
        <v>1</v>
      </c>
      <c r="D55" s="33">
        <v>0</v>
      </c>
      <c r="E55" s="33">
        <v>0</v>
      </c>
      <c r="F55" s="33">
        <v>0</v>
      </c>
      <c r="G55" s="33">
        <v>0</v>
      </c>
      <c r="H55" s="33">
        <v>1</v>
      </c>
      <c r="I55" s="33">
        <v>0</v>
      </c>
      <c r="J55" s="33">
        <v>0</v>
      </c>
      <c r="K55" s="33">
        <v>1</v>
      </c>
      <c r="L55" s="33">
        <v>0</v>
      </c>
      <c r="M55" s="33">
        <v>0</v>
      </c>
      <c r="N55" s="33">
        <v>0</v>
      </c>
      <c r="O55" s="33">
        <v>0</v>
      </c>
      <c r="P55" s="33">
        <v>0</v>
      </c>
      <c r="Q55" s="21">
        <f t="shared" si="1"/>
        <v>28</v>
      </c>
      <c r="R55">
        <f t="shared" si="3"/>
        <v>25.638643177337183</v>
      </c>
      <c r="S55">
        <f t="shared" si="2"/>
        <v>44.07158323600553</v>
      </c>
      <c r="T55">
        <v>13</v>
      </c>
    </row>
    <row r="56" spans="1:20">
      <c r="A56" s="32">
        <v>41143</v>
      </c>
      <c r="B56" s="42">
        <v>21</v>
      </c>
      <c r="C56" s="33">
        <v>1</v>
      </c>
      <c r="D56" s="33">
        <v>0</v>
      </c>
      <c r="E56" s="33">
        <v>0</v>
      </c>
      <c r="F56" s="33">
        <v>0</v>
      </c>
      <c r="G56" s="33">
        <v>0</v>
      </c>
      <c r="H56" s="33">
        <v>1</v>
      </c>
      <c r="I56" s="33">
        <v>0</v>
      </c>
      <c r="J56" s="33">
        <v>0</v>
      </c>
      <c r="K56" s="33">
        <v>0</v>
      </c>
      <c r="L56" s="33">
        <v>1</v>
      </c>
      <c r="M56" s="33">
        <v>0</v>
      </c>
      <c r="N56" s="33">
        <v>0</v>
      </c>
      <c r="O56" s="33">
        <v>0</v>
      </c>
      <c r="P56" s="33">
        <v>0</v>
      </c>
      <c r="Q56" s="21">
        <f t="shared" si="1"/>
        <v>23</v>
      </c>
      <c r="R56">
        <f t="shared" si="3"/>
        <v>22.364108046821649</v>
      </c>
      <c r="S56">
        <f t="shared" si="2"/>
        <v>1.8607907634035732</v>
      </c>
      <c r="T56">
        <v>8</v>
      </c>
    </row>
    <row r="57" spans="1:20">
      <c r="A57" s="32">
        <v>41144</v>
      </c>
      <c r="B57" s="42">
        <v>26</v>
      </c>
      <c r="C57" s="33">
        <v>1</v>
      </c>
      <c r="D57" s="33">
        <v>0</v>
      </c>
      <c r="E57" s="33">
        <v>0</v>
      </c>
      <c r="F57" s="33">
        <v>0</v>
      </c>
      <c r="G57" s="33">
        <v>0</v>
      </c>
      <c r="H57" s="33">
        <v>1</v>
      </c>
      <c r="I57" s="33">
        <v>0</v>
      </c>
      <c r="J57" s="33">
        <v>0</v>
      </c>
      <c r="K57" s="33">
        <v>0</v>
      </c>
      <c r="L57" s="33">
        <v>0</v>
      </c>
      <c r="M57" s="33">
        <v>1</v>
      </c>
      <c r="N57" s="33">
        <v>0</v>
      </c>
      <c r="O57" s="33">
        <v>0</v>
      </c>
      <c r="P57" s="33">
        <v>0</v>
      </c>
      <c r="Q57" s="21">
        <f t="shared" si="1"/>
        <v>24</v>
      </c>
      <c r="R57">
        <f t="shared" si="3"/>
        <v>21.573727837272806</v>
      </c>
      <c r="S57">
        <f t="shared" si="2"/>
        <v>19.591885258533676</v>
      </c>
      <c r="T57">
        <v>9</v>
      </c>
    </row>
    <row r="58" spans="1:20">
      <c r="A58" s="32">
        <v>41145</v>
      </c>
      <c r="B58" s="42">
        <v>23</v>
      </c>
      <c r="C58" s="33">
        <v>1</v>
      </c>
      <c r="D58" s="33">
        <v>0</v>
      </c>
      <c r="E58" s="33">
        <v>0</v>
      </c>
      <c r="F58" s="33">
        <v>1</v>
      </c>
      <c r="G58" s="33">
        <v>0</v>
      </c>
      <c r="H58" s="33">
        <v>2</v>
      </c>
      <c r="I58" s="33">
        <v>0</v>
      </c>
      <c r="J58" s="33">
        <v>0</v>
      </c>
      <c r="K58" s="33">
        <v>0</v>
      </c>
      <c r="L58" s="33">
        <v>0</v>
      </c>
      <c r="M58" s="33">
        <v>0</v>
      </c>
      <c r="N58" s="33">
        <v>1</v>
      </c>
      <c r="O58" s="33">
        <v>0</v>
      </c>
      <c r="P58" s="33">
        <v>0</v>
      </c>
      <c r="Q58" s="21">
        <f t="shared" si="1"/>
        <v>37</v>
      </c>
      <c r="R58">
        <f t="shared" si="3"/>
        <v>35.041657204905917</v>
      </c>
      <c r="S58">
        <f t="shared" si="2"/>
        <v>145.00150824046258</v>
      </c>
      <c r="T58">
        <v>22</v>
      </c>
    </row>
    <row r="59" spans="1:20">
      <c r="A59" s="32">
        <v>41146</v>
      </c>
      <c r="B59" s="42">
        <v>31</v>
      </c>
      <c r="C59" s="33">
        <v>1</v>
      </c>
      <c r="D59" s="33">
        <v>0</v>
      </c>
      <c r="E59" s="33">
        <v>0</v>
      </c>
      <c r="F59" s="33">
        <v>2</v>
      </c>
      <c r="G59" s="33">
        <v>1</v>
      </c>
      <c r="H59" s="33">
        <v>6</v>
      </c>
      <c r="I59" s="33">
        <v>0</v>
      </c>
      <c r="J59" s="33">
        <v>0</v>
      </c>
      <c r="K59" s="33">
        <v>0</v>
      </c>
      <c r="L59" s="33">
        <v>0</v>
      </c>
      <c r="M59" s="33">
        <v>0</v>
      </c>
      <c r="N59" s="33">
        <v>0</v>
      </c>
      <c r="O59" s="33">
        <v>1</v>
      </c>
      <c r="P59" s="33">
        <v>0</v>
      </c>
      <c r="Q59" s="21">
        <f t="shared" si="1"/>
        <v>38</v>
      </c>
      <c r="R59">
        <f t="shared" si="3"/>
        <v>39.840300504691292</v>
      </c>
      <c r="S59">
        <f t="shared" si="2"/>
        <v>78.150913013245116</v>
      </c>
      <c r="T59">
        <v>23</v>
      </c>
    </row>
    <row r="60" spans="1:20">
      <c r="A60" s="32">
        <v>41147</v>
      </c>
      <c r="B60" s="42">
        <v>37</v>
      </c>
      <c r="C60" s="33">
        <v>1</v>
      </c>
      <c r="D60" s="33">
        <v>0</v>
      </c>
      <c r="E60" s="33">
        <v>0</v>
      </c>
      <c r="F60" s="33">
        <v>1</v>
      </c>
      <c r="G60" s="33">
        <v>1</v>
      </c>
      <c r="H60" s="33">
        <v>4</v>
      </c>
      <c r="I60" s="33">
        <v>0</v>
      </c>
      <c r="J60" s="33">
        <v>0</v>
      </c>
      <c r="K60" s="33">
        <v>0</v>
      </c>
      <c r="L60" s="33">
        <v>0</v>
      </c>
      <c r="M60" s="33">
        <v>0</v>
      </c>
      <c r="N60" s="33">
        <v>0</v>
      </c>
      <c r="O60" s="33">
        <v>0</v>
      </c>
      <c r="P60" s="33">
        <v>0</v>
      </c>
      <c r="Q60" s="21">
        <f t="shared" si="1"/>
        <v>40</v>
      </c>
      <c r="R60">
        <f t="shared" si="3"/>
        <v>34.479808210916367</v>
      </c>
      <c r="S60">
        <f t="shared" si="2"/>
        <v>6.3513666537645612</v>
      </c>
      <c r="T60">
        <v>25</v>
      </c>
    </row>
    <row r="61" spans="1:20">
      <c r="A61" s="32">
        <v>41148</v>
      </c>
      <c r="B61" s="42">
        <v>36</v>
      </c>
      <c r="C61" s="33">
        <v>1</v>
      </c>
      <c r="D61" s="33">
        <v>0</v>
      </c>
      <c r="E61" s="33">
        <v>0</v>
      </c>
      <c r="F61" s="33">
        <v>0</v>
      </c>
      <c r="G61" s="33">
        <v>0</v>
      </c>
      <c r="H61" s="33">
        <v>1</v>
      </c>
      <c r="I61" s="33">
        <v>0</v>
      </c>
      <c r="J61" s="33">
        <v>1</v>
      </c>
      <c r="K61" s="33">
        <v>0</v>
      </c>
      <c r="L61" s="33">
        <v>0</v>
      </c>
      <c r="M61" s="33">
        <v>0</v>
      </c>
      <c r="N61" s="33">
        <v>0</v>
      </c>
      <c r="O61" s="33">
        <v>0</v>
      </c>
      <c r="P61" s="33">
        <v>0</v>
      </c>
      <c r="Q61" s="21">
        <f t="shared" si="1"/>
        <v>39</v>
      </c>
      <c r="R61">
        <f t="shared" si="3"/>
        <v>31.956432500233863</v>
      </c>
      <c r="S61">
        <f t="shared" si="2"/>
        <v>16.35043812516497</v>
      </c>
      <c r="T61">
        <v>24</v>
      </c>
    </row>
    <row r="62" spans="1:20">
      <c r="A62" s="32">
        <v>41149</v>
      </c>
      <c r="B62" s="42">
        <v>27</v>
      </c>
      <c r="C62" s="33">
        <v>1</v>
      </c>
      <c r="D62" s="33">
        <v>0</v>
      </c>
      <c r="E62" s="33">
        <v>0</v>
      </c>
      <c r="F62" s="33">
        <v>1</v>
      </c>
      <c r="G62" s="33">
        <v>1</v>
      </c>
      <c r="H62" s="33">
        <v>4</v>
      </c>
      <c r="I62" s="33">
        <v>0</v>
      </c>
      <c r="J62" s="33">
        <v>0</v>
      </c>
      <c r="K62" s="33">
        <v>1</v>
      </c>
      <c r="L62" s="33">
        <v>0</v>
      </c>
      <c r="M62" s="33">
        <v>0</v>
      </c>
      <c r="N62" s="33">
        <v>0</v>
      </c>
      <c r="O62" s="33">
        <v>0</v>
      </c>
      <c r="P62" s="33">
        <v>0</v>
      </c>
      <c r="Q62" s="21">
        <f t="shared" si="1"/>
        <v>36</v>
      </c>
      <c r="R62">
        <f t="shared" si="3"/>
        <v>37.102851083153311</v>
      </c>
      <c r="S62">
        <f t="shared" si="2"/>
        <v>102.06760000837203</v>
      </c>
      <c r="T62">
        <v>21</v>
      </c>
    </row>
    <row r="63" spans="1:20">
      <c r="A63" s="32">
        <v>41150</v>
      </c>
      <c r="B63" s="42">
        <v>30</v>
      </c>
      <c r="C63" s="33">
        <v>1</v>
      </c>
      <c r="D63" s="33">
        <v>0</v>
      </c>
      <c r="E63" s="33">
        <v>0</v>
      </c>
      <c r="F63" s="33">
        <v>0</v>
      </c>
      <c r="G63" s="33">
        <v>0</v>
      </c>
      <c r="H63" s="33">
        <v>1</v>
      </c>
      <c r="I63" s="33">
        <v>0</v>
      </c>
      <c r="J63" s="33">
        <v>0</v>
      </c>
      <c r="K63" s="33">
        <v>0</v>
      </c>
      <c r="L63" s="33">
        <v>1</v>
      </c>
      <c r="M63" s="33">
        <v>0</v>
      </c>
      <c r="N63" s="33">
        <v>0</v>
      </c>
      <c r="O63" s="33">
        <v>0</v>
      </c>
      <c r="P63" s="33">
        <v>0</v>
      </c>
      <c r="Q63" s="21">
        <f t="shared" si="1"/>
        <v>36</v>
      </c>
      <c r="R63">
        <f t="shared" si="3"/>
        <v>29.840743048288015</v>
      </c>
      <c r="S63">
        <f t="shared" si="2"/>
        <v>2.5362776668593472E-2</v>
      </c>
      <c r="T63">
        <v>21</v>
      </c>
    </row>
    <row r="64" spans="1:20">
      <c r="A64" s="32">
        <v>41151</v>
      </c>
      <c r="B64" s="42">
        <v>38</v>
      </c>
      <c r="C64" s="33">
        <v>1</v>
      </c>
      <c r="D64" s="33">
        <v>0</v>
      </c>
      <c r="E64" s="33">
        <v>0</v>
      </c>
      <c r="F64" s="33">
        <v>1</v>
      </c>
      <c r="G64" s="33">
        <v>0</v>
      </c>
      <c r="H64" s="33">
        <v>2</v>
      </c>
      <c r="I64" s="33">
        <v>0</v>
      </c>
      <c r="J64" s="33">
        <v>0</v>
      </c>
      <c r="K64" s="33">
        <v>0</v>
      </c>
      <c r="L64" s="33">
        <v>0</v>
      </c>
      <c r="M64" s="33">
        <v>1</v>
      </c>
      <c r="N64" s="33">
        <v>0</v>
      </c>
      <c r="O64" s="33">
        <v>0</v>
      </c>
      <c r="P64" s="33">
        <v>0</v>
      </c>
      <c r="Q64" s="21">
        <f t="shared" si="1"/>
        <v>29</v>
      </c>
      <c r="R64">
        <f t="shared" si="3"/>
        <v>29.013219158030218</v>
      </c>
      <c r="S64">
        <f t="shared" si="2"/>
        <v>80.762229901595106</v>
      </c>
      <c r="T64">
        <v>14</v>
      </c>
    </row>
    <row r="65" spans="1:20">
      <c r="A65" s="32">
        <v>41152</v>
      </c>
      <c r="B65" s="42">
        <v>28</v>
      </c>
      <c r="C65" s="33">
        <v>1</v>
      </c>
      <c r="D65" s="33">
        <v>0</v>
      </c>
      <c r="E65" s="33">
        <v>0</v>
      </c>
      <c r="F65" s="33">
        <v>1</v>
      </c>
      <c r="G65" s="33">
        <v>1</v>
      </c>
      <c r="H65" s="33">
        <v>4</v>
      </c>
      <c r="I65" s="33">
        <v>0</v>
      </c>
      <c r="J65" s="33">
        <v>0</v>
      </c>
      <c r="K65" s="33">
        <v>0</v>
      </c>
      <c r="L65" s="33">
        <v>0</v>
      </c>
      <c r="M65" s="33">
        <v>0</v>
      </c>
      <c r="N65" s="33">
        <v>1</v>
      </c>
      <c r="O65" s="33">
        <v>0</v>
      </c>
      <c r="P65" s="33">
        <v>0</v>
      </c>
      <c r="Q65" s="21">
        <f t="shared" si="1"/>
        <v>21</v>
      </c>
      <c r="R65">
        <f t="shared" si="3"/>
        <v>28.138984172436871</v>
      </c>
      <c r="S65">
        <f t="shared" si="2"/>
        <v>1.931660018796183E-2</v>
      </c>
      <c r="T65">
        <v>6</v>
      </c>
    </row>
    <row r="66" spans="1:20">
      <c r="A66" s="32">
        <v>41153</v>
      </c>
      <c r="B66" s="42">
        <v>44</v>
      </c>
      <c r="C66" s="33">
        <v>1</v>
      </c>
      <c r="D66" s="33">
        <v>0</v>
      </c>
      <c r="E66" s="33">
        <v>0</v>
      </c>
      <c r="F66" s="33">
        <v>2</v>
      </c>
      <c r="G66" s="33">
        <v>1</v>
      </c>
      <c r="H66" s="33">
        <v>6</v>
      </c>
      <c r="I66" s="33">
        <v>0</v>
      </c>
      <c r="J66" s="33">
        <v>0</v>
      </c>
      <c r="K66" s="33">
        <v>0</v>
      </c>
      <c r="L66" s="33">
        <v>0</v>
      </c>
      <c r="M66" s="33">
        <v>0</v>
      </c>
      <c r="N66" s="33">
        <v>0</v>
      </c>
      <c r="O66" s="33">
        <v>1</v>
      </c>
      <c r="P66" s="33">
        <v>0</v>
      </c>
      <c r="Q66" s="21">
        <f t="shared" si="1"/>
        <v>29</v>
      </c>
      <c r="R66">
        <f t="shared" si="3"/>
        <v>34.664168580599188</v>
      </c>
      <c r="S66">
        <f t="shared" si="2"/>
        <v>87.157748291471378</v>
      </c>
      <c r="T66">
        <v>14</v>
      </c>
    </row>
    <row r="67" spans="1:20">
      <c r="A67" s="32">
        <v>41154</v>
      </c>
      <c r="B67" s="42">
        <v>40</v>
      </c>
      <c r="C67" s="33">
        <v>1</v>
      </c>
      <c r="D67" s="33">
        <v>0</v>
      </c>
      <c r="E67" s="33">
        <v>0</v>
      </c>
      <c r="F67" s="33">
        <v>1</v>
      </c>
      <c r="G67" s="33">
        <v>1</v>
      </c>
      <c r="H67" s="33">
        <v>4</v>
      </c>
      <c r="I67" s="33">
        <v>0</v>
      </c>
      <c r="J67" s="33">
        <v>0</v>
      </c>
      <c r="K67" s="33">
        <v>0</v>
      </c>
      <c r="L67" s="33">
        <v>0</v>
      </c>
      <c r="M67" s="33">
        <v>0</v>
      </c>
      <c r="N67" s="33">
        <v>0</v>
      </c>
      <c r="O67" s="33">
        <v>0</v>
      </c>
      <c r="P67" s="33">
        <v>0</v>
      </c>
      <c r="Q67" s="21">
        <f t="shared" si="1"/>
        <v>26</v>
      </c>
      <c r="R67">
        <f t="shared" si="3"/>
        <v>26.428047440106429</v>
      </c>
      <c r="S67">
        <f t="shared" si="2"/>
        <v>184.19789628800166</v>
      </c>
      <c r="T67">
        <v>11</v>
      </c>
    </row>
    <row r="68" spans="1:20">
      <c r="A68" s="32">
        <v>41155</v>
      </c>
      <c r="B68" s="42">
        <v>35</v>
      </c>
      <c r="C68" s="33">
        <v>1</v>
      </c>
      <c r="D68" s="33">
        <v>0</v>
      </c>
      <c r="E68" s="33">
        <v>0</v>
      </c>
      <c r="F68" s="33">
        <v>1</v>
      </c>
      <c r="G68" s="33">
        <v>0</v>
      </c>
      <c r="H68" s="33">
        <v>2</v>
      </c>
      <c r="I68" s="33">
        <v>0</v>
      </c>
      <c r="J68" s="33">
        <v>1</v>
      </c>
      <c r="K68" s="33">
        <v>0</v>
      </c>
      <c r="L68" s="33">
        <v>0</v>
      </c>
      <c r="M68" s="33">
        <v>0</v>
      </c>
      <c r="N68" s="33">
        <v>0</v>
      </c>
      <c r="O68" s="33">
        <v>0</v>
      </c>
      <c r="P68" s="33">
        <v>0</v>
      </c>
      <c r="Q68" s="21">
        <f t="shared" si="1"/>
        <v>24</v>
      </c>
      <c r="R68">
        <f t="shared" ref="R68" si="4">SUMPRODUCT($C$2:$Q$2,C68:Q68)</f>
        <v>27.893408434119937</v>
      </c>
      <c r="S68">
        <f t="shared" si="2"/>
        <v>50.503643684237645</v>
      </c>
      <c r="T68">
        <v>9</v>
      </c>
    </row>
    <row r="69" spans="1:20">
      <c r="A69" s="32">
        <v>41156</v>
      </c>
      <c r="B69" s="42">
        <v>13</v>
      </c>
      <c r="C69" s="33">
        <v>1</v>
      </c>
      <c r="D69" s="33">
        <v>0</v>
      </c>
      <c r="E69" s="33">
        <v>0</v>
      </c>
      <c r="F69" s="33">
        <v>0</v>
      </c>
      <c r="G69" s="33">
        <v>0</v>
      </c>
      <c r="H69" s="33">
        <v>1</v>
      </c>
      <c r="I69" s="33">
        <v>0</v>
      </c>
      <c r="J69" s="33">
        <v>0</v>
      </c>
      <c r="K69" s="33">
        <v>1</v>
      </c>
      <c r="L69" s="33">
        <v>0</v>
      </c>
      <c r="M69" s="33">
        <v>0</v>
      </c>
      <c r="N69" s="33">
        <v>0</v>
      </c>
      <c r="O69" s="33">
        <v>0</v>
      </c>
      <c r="P69" s="33">
        <v>0</v>
      </c>
      <c r="Q69" s="21">
        <f t="shared" ref="Q69:Q132" si="5">T69+15</f>
        <v>25</v>
      </c>
      <c r="R69">
        <f t="shared" ref="R69:R132" si="6">SUMPRODUCT($C$2:$Q$2,C69:Q69)</f>
        <v>23.913265869306478</v>
      </c>
      <c r="S69">
        <f t="shared" ref="S69:S132" si="7">(R69-B69)^2</f>
        <v>119.09937193416968</v>
      </c>
      <c r="T69">
        <v>10</v>
      </c>
    </row>
    <row r="70" spans="1:20">
      <c r="A70" s="32">
        <v>41157</v>
      </c>
      <c r="B70" s="42">
        <v>15</v>
      </c>
      <c r="C70" s="33">
        <v>1</v>
      </c>
      <c r="D70" s="33">
        <v>0</v>
      </c>
      <c r="E70" s="33">
        <v>0</v>
      </c>
      <c r="F70" s="33">
        <v>0</v>
      </c>
      <c r="G70" s="33">
        <v>0</v>
      </c>
      <c r="H70" s="33">
        <v>1</v>
      </c>
      <c r="I70" s="33">
        <v>0</v>
      </c>
      <c r="J70" s="33">
        <v>0</v>
      </c>
      <c r="K70" s="33">
        <v>0</v>
      </c>
      <c r="L70" s="33">
        <v>1</v>
      </c>
      <c r="M70" s="33">
        <v>0</v>
      </c>
      <c r="N70" s="33">
        <v>0</v>
      </c>
      <c r="O70" s="33">
        <v>0</v>
      </c>
      <c r="P70" s="33">
        <v>0</v>
      </c>
      <c r="Q70" s="21">
        <f t="shared" si="5"/>
        <v>21</v>
      </c>
      <c r="R70">
        <f t="shared" si="6"/>
        <v>21.213856508134512</v>
      </c>
      <c r="S70">
        <f t="shared" si="7"/>
        <v>38.612012703685629</v>
      </c>
      <c r="T70">
        <v>6</v>
      </c>
    </row>
    <row r="71" spans="1:20">
      <c r="A71" s="32">
        <v>41158</v>
      </c>
      <c r="B71" s="42">
        <v>19</v>
      </c>
      <c r="C71" s="33">
        <v>1</v>
      </c>
      <c r="D71" s="33">
        <v>0</v>
      </c>
      <c r="E71" s="33">
        <v>0</v>
      </c>
      <c r="F71" s="33">
        <v>0</v>
      </c>
      <c r="G71" s="33">
        <v>0</v>
      </c>
      <c r="H71" s="33">
        <v>1</v>
      </c>
      <c r="I71" s="33">
        <v>0</v>
      </c>
      <c r="J71" s="33">
        <v>0</v>
      </c>
      <c r="K71" s="33">
        <v>0</v>
      </c>
      <c r="L71" s="33">
        <v>0</v>
      </c>
      <c r="M71" s="33">
        <v>1</v>
      </c>
      <c r="N71" s="33">
        <v>0</v>
      </c>
      <c r="O71" s="33">
        <v>0</v>
      </c>
      <c r="P71" s="33">
        <v>0</v>
      </c>
      <c r="Q71" s="21">
        <f t="shared" si="5"/>
        <v>25</v>
      </c>
      <c r="R71">
        <f t="shared" si="6"/>
        <v>22.14885360661637</v>
      </c>
      <c r="S71">
        <f t="shared" si="7"/>
        <v>9.9152790359009231</v>
      </c>
      <c r="T71">
        <v>10</v>
      </c>
    </row>
    <row r="72" spans="1:20">
      <c r="A72" s="32">
        <v>41159</v>
      </c>
      <c r="B72" s="42">
        <v>23</v>
      </c>
      <c r="C72" s="33">
        <v>1</v>
      </c>
      <c r="D72" s="33">
        <v>0</v>
      </c>
      <c r="E72" s="33">
        <v>0</v>
      </c>
      <c r="F72" s="33">
        <v>0</v>
      </c>
      <c r="G72" s="33">
        <v>0</v>
      </c>
      <c r="H72" s="33">
        <v>1</v>
      </c>
      <c r="I72" s="33">
        <v>0</v>
      </c>
      <c r="J72" s="33">
        <v>0</v>
      </c>
      <c r="K72" s="33">
        <v>0</v>
      </c>
      <c r="L72" s="33">
        <v>0</v>
      </c>
      <c r="M72" s="33">
        <v>0</v>
      </c>
      <c r="N72" s="33">
        <v>1</v>
      </c>
      <c r="O72" s="33">
        <v>0</v>
      </c>
      <c r="P72" s="33">
        <v>0</v>
      </c>
      <c r="Q72" s="21">
        <f t="shared" si="5"/>
        <v>22</v>
      </c>
      <c r="R72">
        <f t="shared" si="6"/>
        <v>21.85090819071284</v>
      </c>
      <c r="S72">
        <f t="shared" si="7"/>
        <v>1.3204119861708394</v>
      </c>
      <c r="T72">
        <v>7</v>
      </c>
    </row>
    <row r="73" spans="1:20">
      <c r="A73" s="32">
        <v>41160</v>
      </c>
      <c r="B73" s="42">
        <v>18</v>
      </c>
      <c r="C73" s="33">
        <v>1</v>
      </c>
      <c r="D73" s="33">
        <v>0</v>
      </c>
      <c r="E73" s="33">
        <v>0</v>
      </c>
      <c r="F73" s="33">
        <v>1</v>
      </c>
      <c r="G73" s="33">
        <v>1</v>
      </c>
      <c r="H73" s="33">
        <v>4</v>
      </c>
      <c r="I73" s="33">
        <v>0</v>
      </c>
      <c r="J73" s="33">
        <v>0</v>
      </c>
      <c r="K73" s="33">
        <v>0</v>
      </c>
      <c r="L73" s="33">
        <v>0</v>
      </c>
      <c r="M73" s="33">
        <v>0</v>
      </c>
      <c r="N73" s="33">
        <v>0</v>
      </c>
      <c r="O73" s="33">
        <v>1</v>
      </c>
      <c r="P73" s="33">
        <v>0</v>
      </c>
      <c r="Q73" s="21">
        <f t="shared" si="5"/>
        <v>30</v>
      </c>
      <c r="R73">
        <f t="shared" si="6"/>
        <v>31.429476778563007</v>
      </c>
      <c r="S73">
        <f t="shared" si="7"/>
        <v>180.35084654596304</v>
      </c>
      <c r="T73">
        <v>15</v>
      </c>
    </row>
    <row r="74" spans="1:20">
      <c r="A74" s="32">
        <v>41161</v>
      </c>
      <c r="B74" s="42">
        <v>33</v>
      </c>
      <c r="C74" s="33">
        <v>1</v>
      </c>
      <c r="D74" s="33">
        <v>0</v>
      </c>
      <c r="E74" s="33">
        <v>0</v>
      </c>
      <c r="F74" s="33">
        <v>1</v>
      </c>
      <c r="G74" s="33">
        <v>1</v>
      </c>
      <c r="H74" s="33">
        <v>4</v>
      </c>
      <c r="I74" s="33">
        <v>0</v>
      </c>
      <c r="J74" s="33">
        <v>0</v>
      </c>
      <c r="K74" s="33">
        <v>0</v>
      </c>
      <c r="L74" s="33">
        <v>0</v>
      </c>
      <c r="M74" s="33">
        <v>0</v>
      </c>
      <c r="N74" s="33">
        <v>0</v>
      </c>
      <c r="O74" s="33">
        <v>0</v>
      </c>
      <c r="P74" s="33">
        <v>0</v>
      </c>
      <c r="Q74" s="21">
        <f t="shared" si="5"/>
        <v>28</v>
      </c>
      <c r="R74">
        <f t="shared" si="6"/>
        <v>27.578298978793566</v>
      </c>
      <c r="S74">
        <f t="shared" si="7"/>
        <v>29.394841963350895</v>
      </c>
      <c r="T74">
        <v>13</v>
      </c>
    </row>
    <row r="75" spans="1:20">
      <c r="A75" s="32">
        <v>41162</v>
      </c>
      <c r="B75" s="42">
        <v>28</v>
      </c>
      <c r="C75" s="33">
        <v>1</v>
      </c>
      <c r="D75" s="33">
        <v>0</v>
      </c>
      <c r="E75" s="33">
        <v>0</v>
      </c>
      <c r="F75" s="33">
        <v>0</v>
      </c>
      <c r="G75" s="33">
        <v>0</v>
      </c>
      <c r="H75" s="33">
        <v>1</v>
      </c>
      <c r="I75" s="33">
        <v>0</v>
      </c>
      <c r="J75" s="33">
        <v>1</v>
      </c>
      <c r="K75" s="33">
        <v>0</v>
      </c>
      <c r="L75" s="33">
        <v>0</v>
      </c>
      <c r="M75" s="33">
        <v>0</v>
      </c>
      <c r="N75" s="33">
        <v>0</v>
      </c>
      <c r="O75" s="33">
        <v>0</v>
      </c>
      <c r="P75" s="33">
        <v>0</v>
      </c>
      <c r="Q75" s="21">
        <f t="shared" si="5"/>
        <v>29</v>
      </c>
      <c r="R75">
        <f t="shared" si="6"/>
        <v>26.205174806798194</v>
      </c>
      <c r="S75">
        <f t="shared" si="7"/>
        <v>3.2213974741519</v>
      </c>
      <c r="T75">
        <v>14</v>
      </c>
    </row>
    <row r="76" spans="1:20">
      <c r="A76" s="32">
        <v>41163</v>
      </c>
      <c r="B76" s="42">
        <v>22</v>
      </c>
      <c r="C76" s="33">
        <v>1</v>
      </c>
      <c r="D76" s="33">
        <v>0</v>
      </c>
      <c r="E76" s="33">
        <v>0</v>
      </c>
      <c r="F76" s="33">
        <v>0</v>
      </c>
      <c r="G76" s="33">
        <v>0</v>
      </c>
      <c r="H76" s="33">
        <v>1</v>
      </c>
      <c r="I76" s="33">
        <v>0</v>
      </c>
      <c r="J76" s="33">
        <v>0</v>
      </c>
      <c r="K76" s="33">
        <v>1</v>
      </c>
      <c r="L76" s="33">
        <v>0</v>
      </c>
      <c r="M76" s="33">
        <v>0</v>
      </c>
      <c r="N76" s="33">
        <v>0</v>
      </c>
      <c r="O76" s="33">
        <v>0</v>
      </c>
      <c r="P76" s="33">
        <v>0</v>
      </c>
      <c r="Q76" s="21">
        <f t="shared" si="5"/>
        <v>31</v>
      </c>
      <c r="R76">
        <f t="shared" si="6"/>
        <v>27.364020485367881</v>
      </c>
      <c r="S76">
        <f t="shared" si="7"/>
        <v>28.772715767446279</v>
      </c>
      <c r="T76">
        <v>16</v>
      </c>
    </row>
    <row r="77" spans="1:20">
      <c r="A77" s="32">
        <v>41164</v>
      </c>
      <c r="B77" s="42">
        <v>26</v>
      </c>
      <c r="C77" s="33">
        <v>1</v>
      </c>
      <c r="D77" s="33">
        <v>0</v>
      </c>
      <c r="E77" s="33">
        <v>0</v>
      </c>
      <c r="F77" s="33">
        <v>0</v>
      </c>
      <c r="G77" s="33">
        <v>0</v>
      </c>
      <c r="H77" s="33">
        <v>1</v>
      </c>
      <c r="I77" s="33">
        <v>0</v>
      </c>
      <c r="J77" s="33">
        <v>0</v>
      </c>
      <c r="K77" s="33">
        <v>0</v>
      </c>
      <c r="L77" s="33">
        <v>1</v>
      </c>
      <c r="M77" s="33">
        <v>0</v>
      </c>
      <c r="N77" s="33">
        <v>0</v>
      </c>
      <c r="O77" s="33">
        <v>0</v>
      </c>
      <c r="P77" s="33">
        <v>0</v>
      </c>
      <c r="Q77" s="21">
        <f t="shared" si="5"/>
        <v>25</v>
      </c>
      <c r="R77">
        <f t="shared" si="6"/>
        <v>23.514359585508778</v>
      </c>
      <c r="S77">
        <f t="shared" si="7"/>
        <v>6.1784082701520928</v>
      </c>
      <c r="T77">
        <v>10</v>
      </c>
    </row>
    <row r="78" spans="1:20">
      <c r="A78" s="32">
        <v>41165</v>
      </c>
      <c r="B78" s="42">
        <v>26</v>
      </c>
      <c r="C78" s="33">
        <v>1</v>
      </c>
      <c r="D78" s="33">
        <v>0</v>
      </c>
      <c r="E78" s="33">
        <v>0</v>
      </c>
      <c r="F78" s="33">
        <v>0</v>
      </c>
      <c r="G78" s="33">
        <v>0</v>
      </c>
      <c r="H78" s="33">
        <v>1</v>
      </c>
      <c r="I78" s="33">
        <v>0</v>
      </c>
      <c r="J78" s="33">
        <v>0</v>
      </c>
      <c r="K78" s="33">
        <v>0</v>
      </c>
      <c r="L78" s="33">
        <v>0</v>
      </c>
      <c r="M78" s="33">
        <v>1</v>
      </c>
      <c r="N78" s="33">
        <v>0</v>
      </c>
      <c r="O78" s="33">
        <v>0</v>
      </c>
      <c r="P78" s="33">
        <v>0</v>
      </c>
      <c r="Q78" s="21">
        <f t="shared" si="5"/>
        <v>26</v>
      </c>
      <c r="R78">
        <f t="shared" si="6"/>
        <v>22.723979375959939</v>
      </c>
      <c r="S78">
        <f t="shared" si="7"/>
        <v>10.732311129135834</v>
      </c>
      <c r="T78">
        <v>11</v>
      </c>
    </row>
    <row r="79" spans="1:20">
      <c r="A79" s="32">
        <v>41166</v>
      </c>
      <c r="B79" s="42">
        <v>25</v>
      </c>
      <c r="C79" s="33">
        <v>1</v>
      </c>
      <c r="D79" s="33">
        <v>0</v>
      </c>
      <c r="E79" s="33">
        <v>0</v>
      </c>
      <c r="F79" s="33">
        <v>0</v>
      </c>
      <c r="G79" s="33">
        <v>0</v>
      </c>
      <c r="H79" s="33">
        <v>1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3">
        <v>1</v>
      </c>
      <c r="O79" s="33">
        <v>0</v>
      </c>
      <c r="P79" s="33">
        <v>0</v>
      </c>
      <c r="Q79" s="21">
        <f t="shared" si="5"/>
        <v>29</v>
      </c>
      <c r="R79">
        <f t="shared" si="6"/>
        <v>25.876788576117807</v>
      </c>
      <c r="S79">
        <f t="shared" si="7"/>
        <v>0.76875820721069166</v>
      </c>
      <c r="T79">
        <v>14</v>
      </c>
    </row>
    <row r="80" spans="1:20">
      <c r="A80" s="32">
        <v>41167</v>
      </c>
      <c r="B80" s="42">
        <v>36</v>
      </c>
      <c r="C80" s="33">
        <v>1</v>
      </c>
      <c r="D80" s="33">
        <v>0</v>
      </c>
      <c r="E80" s="33">
        <v>0</v>
      </c>
      <c r="F80" s="33">
        <v>2</v>
      </c>
      <c r="G80" s="33">
        <v>1</v>
      </c>
      <c r="H80" s="33">
        <v>6</v>
      </c>
      <c r="I80" s="33">
        <v>0</v>
      </c>
      <c r="J80" s="33">
        <v>0</v>
      </c>
      <c r="K80" s="33">
        <v>0</v>
      </c>
      <c r="L80" s="33">
        <v>0</v>
      </c>
      <c r="M80" s="33">
        <v>0</v>
      </c>
      <c r="N80" s="33">
        <v>0</v>
      </c>
      <c r="O80" s="33">
        <v>1</v>
      </c>
      <c r="P80" s="33">
        <v>0</v>
      </c>
      <c r="Q80" s="21">
        <f t="shared" si="5"/>
        <v>36</v>
      </c>
      <c r="R80">
        <f t="shared" si="6"/>
        <v>38.690048966004156</v>
      </c>
      <c r="S80">
        <f t="shared" si="7"/>
        <v>7.2363634395000274</v>
      </c>
      <c r="T80">
        <v>21</v>
      </c>
    </row>
    <row r="81" spans="1:20">
      <c r="A81" s="32">
        <v>41168</v>
      </c>
      <c r="B81" s="42">
        <v>45</v>
      </c>
      <c r="C81" s="33">
        <v>1</v>
      </c>
      <c r="D81" s="33">
        <v>0</v>
      </c>
      <c r="E81" s="33">
        <v>0</v>
      </c>
      <c r="F81" s="33">
        <v>2</v>
      </c>
      <c r="G81" s="33">
        <v>2</v>
      </c>
      <c r="H81" s="33">
        <v>9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3">
        <v>0</v>
      </c>
      <c r="O81" s="33">
        <v>0</v>
      </c>
      <c r="P81" s="33">
        <v>0</v>
      </c>
      <c r="Q81" s="21">
        <f t="shared" si="5"/>
        <v>34</v>
      </c>
      <c r="R81">
        <f t="shared" si="6"/>
        <v>36.384165540602908</v>
      </c>
      <c r="S81">
        <f t="shared" si="7"/>
        <v>74.23260343173439</v>
      </c>
      <c r="T81">
        <v>19</v>
      </c>
    </row>
    <row r="82" spans="1:20">
      <c r="A82" s="32">
        <v>41169</v>
      </c>
      <c r="B82" s="42">
        <v>26</v>
      </c>
      <c r="C82" s="33">
        <v>1</v>
      </c>
      <c r="D82" s="33">
        <v>0</v>
      </c>
      <c r="E82" s="33">
        <v>0</v>
      </c>
      <c r="F82" s="33">
        <v>1</v>
      </c>
      <c r="G82" s="33">
        <v>0</v>
      </c>
      <c r="H82" s="33">
        <v>2</v>
      </c>
      <c r="I82" s="33">
        <v>1</v>
      </c>
      <c r="J82" s="33">
        <v>1</v>
      </c>
      <c r="K82" s="33">
        <v>0</v>
      </c>
      <c r="L82" s="33">
        <v>0</v>
      </c>
      <c r="M82" s="33">
        <v>0</v>
      </c>
      <c r="N82" s="33">
        <v>0</v>
      </c>
      <c r="O82" s="33">
        <v>0</v>
      </c>
      <c r="P82" s="33">
        <v>0</v>
      </c>
      <c r="Q82" s="21">
        <f t="shared" si="5"/>
        <v>33</v>
      </c>
      <c r="R82">
        <f t="shared" si="6"/>
        <v>32.103409708558402</v>
      </c>
      <c r="S82">
        <f t="shared" si="7"/>
        <v>37.251610070524961</v>
      </c>
      <c r="T82">
        <v>18</v>
      </c>
    </row>
    <row r="83" spans="1:20">
      <c r="A83" s="32">
        <v>41170</v>
      </c>
      <c r="B83" s="42">
        <v>34</v>
      </c>
      <c r="C83" s="33">
        <v>1</v>
      </c>
      <c r="D83" s="33">
        <v>0</v>
      </c>
      <c r="E83" s="33">
        <v>0</v>
      </c>
      <c r="F83" s="33">
        <v>1</v>
      </c>
      <c r="G83" s="33">
        <v>0</v>
      </c>
      <c r="H83" s="33">
        <v>2</v>
      </c>
      <c r="I83" s="33">
        <v>0</v>
      </c>
      <c r="J83" s="33">
        <v>0</v>
      </c>
      <c r="K83" s="33">
        <v>1</v>
      </c>
      <c r="L83" s="33">
        <v>0</v>
      </c>
      <c r="M83" s="33">
        <v>0</v>
      </c>
      <c r="N83" s="33">
        <v>0</v>
      </c>
      <c r="O83" s="33">
        <v>0</v>
      </c>
      <c r="P83" s="33">
        <v>0</v>
      </c>
      <c r="Q83" s="21">
        <f t="shared" si="5"/>
        <v>36</v>
      </c>
      <c r="R83">
        <f t="shared" si="6"/>
        <v>34.803511806125293</v>
      </c>
      <c r="S83">
        <f t="shared" si="7"/>
        <v>0.64563122258273054</v>
      </c>
      <c r="T83">
        <v>21</v>
      </c>
    </row>
    <row r="84" spans="1:20">
      <c r="A84" s="32">
        <v>41171</v>
      </c>
      <c r="B84" s="42">
        <v>24</v>
      </c>
      <c r="C84" s="33">
        <v>1</v>
      </c>
      <c r="D84" s="33">
        <v>0</v>
      </c>
      <c r="E84" s="33">
        <v>0</v>
      </c>
      <c r="F84" s="33">
        <v>1</v>
      </c>
      <c r="G84" s="33">
        <v>0</v>
      </c>
      <c r="H84" s="33">
        <v>2</v>
      </c>
      <c r="I84" s="33">
        <v>0</v>
      </c>
      <c r="J84" s="33">
        <v>0</v>
      </c>
      <c r="K84" s="33">
        <v>0</v>
      </c>
      <c r="L84" s="33">
        <v>1</v>
      </c>
      <c r="M84" s="33">
        <v>0</v>
      </c>
      <c r="N84" s="33">
        <v>0</v>
      </c>
      <c r="O84" s="33">
        <v>0</v>
      </c>
      <c r="P84" s="33">
        <v>0</v>
      </c>
      <c r="Q84" s="21">
        <f t="shared" si="5"/>
        <v>27</v>
      </c>
      <c r="R84">
        <f t="shared" si="6"/>
        <v>29.228473598235492</v>
      </c>
      <c r="S84">
        <f t="shared" si="7"/>
        <v>27.336936167445597</v>
      </c>
      <c r="T84">
        <v>12</v>
      </c>
    </row>
    <row r="85" spans="1:20">
      <c r="A85" s="32">
        <v>41172</v>
      </c>
      <c r="B85" s="42">
        <v>28</v>
      </c>
      <c r="C85" s="33">
        <v>1</v>
      </c>
      <c r="D85" s="33">
        <v>0</v>
      </c>
      <c r="E85" s="33">
        <v>0</v>
      </c>
      <c r="F85" s="33">
        <v>1</v>
      </c>
      <c r="G85" s="33">
        <v>0</v>
      </c>
      <c r="H85" s="33">
        <v>2</v>
      </c>
      <c r="I85" s="33">
        <v>0</v>
      </c>
      <c r="J85" s="33">
        <v>0</v>
      </c>
      <c r="K85" s="33">
        <v>0</v>
      </c>
      <c r="L85" s="33">
        <v>0</v>
      </c>
      <c r="M85" s="33">
        <v>1</v>
      </c>
      <c r="N85" s="33">
        <v>0</v>
      </c>
      <c r="O85" s="33">
        <v>0</v>
      </c>
      <c r="P85" s="33">
        <v>0</v>
      </c>
      <c r="Q85" s="21">
        <f t="shared" si="5"/>
        <v>39</v>
      </c>
      <c r="R85">
        <f t="shared" si="6"/>
        <v>34.764476851465886</v>
      </c>
      <c r="S85">
        <f t="shared" si="7"/>
        <v>45.758147074017835</v>
      </c>
      <c r="T85">
        <v>24</v>
      </c>
    </row>
    <row r="86" spans="1:20">
      <c r="A86" s="32">
        <v>41173</v>
      </c>
      <c r="B86" s="42">
        <v>36</v>
      </c>
      <c r="C86" s="33">
        <v>1</v>
      </c>
      <c r="D86" s="33">
        <v>0</v>
      </c>
      <c r="E86" s="33">
        <v>0</v>
      </c>
      <c r="F86" s="33">
        <v>1</v>
      </c>
      <c r="G86" s="33">
        <v>0</v>
      </c>
      <c r="H86" s="33">
        <v>2</v>
      </c>
      <c r="I86" s="33">
        <v>0</v>
      </c>
      <c r="J86" s="33">
        <v>0</v>
      </c>
      <c r="K86" s="33">
        <v>0</v>
      </c>
      <c r="L86" s="33">
        <v>0</v>
      </c>
      <c r="M86" s="33">
        <v>0</v>
      </c>
      <c r="N86" s="33">
        <v>1</v>
      </c>
      <c r="O86" s="33">
        <v>0</v>
      </c>
      <c r="P86" s="33">
        <v>0</v>
      </c>
      <c r="Q86" s="21">
        <f t="shared" si="5"/>
        <v>51</v>
      </c>
      <c r="R86">
        <f t="shared" si="6"/>
        <v>43.093417975715859</v>
      </c>
      <c r="S86">
        <f t="shared" si="7"/>
        <v>50.316578578208876</v>
      </c>
      <c r="T86">
        <v>36</v>
      </c>
    </row>
    <row r="87" spans="1:20">
      <c r="A87" s="32">
        <v>41174</v>
      </c>
      <c r="B87" s="42">
        <v>49</v>
      </c>
      <c r="C87" s="33">
        <v>1</v>
      </c>
      <c r="D87" s="33">
        <v>0</v>
      </c>
      <c r="E87" s="33">
        <v>0</v>
      </c>
      <c r="F87" s="33">
        <v>2</v>
      </c>
      <c r="G87" s="33">
        <v>1</v>
      </c>
      <c r="H87" s="33">
        <v>6</v>
      </c>
      <c r="I87" s="33">
        <v>1</v>
      </c>
      <c r="J87" s="33">
        <v>0</v>
      </c>
      <c r="K87" s="33">
        <v>0</v>
      </c>
      <c r="L87" s="33">
        <v>0</v>
      </c>
      <c r="M87" s="33">
        <v>0</v>
      </c>
      <c r="N87" s="33">
        <v>0</v>
      </c>
      <c r="O87" s="33">
        <v>1</v>
      </c>
      <c r="P87" s="33">
        <v>0</v>
      </c>
      <c r="Q87" s="21">
        <f t="shared" si="5"/>
        <v>62</v>
      </c>
      <c r="R87">
        <f t="shared" si="6"/>
        <v>52.677188319283253</v>
      </c>
      <c r="S87">
        <f t="shared" si="7"/>
        <v>13.521713935473198</v>
      </c>
      <c r="T87">
        <v>47</v>
      </c>
    </row>
    <row r="88" spans="1:20">
      <c r="A88" s="32">
        <v>41175</v>
      </c>
      <c r="B88" s="42">
        <v>51</v>
      </c>
      <c r="C88" s="33">
        <v>1</v>
      </c>
      <c r="D88" s="33">
        <v>0</v>
      </c>
      <c r="E88" s="33">
        <v>0</v>
      </c>
      <c r="F88" s="33">
        <v>1</v>
      </c>
      <c r="G88" s="33">
        <v>1</v>
      </c>
      <c r="H88" s="33">
        <v>4</v>
      </c>
      <c r="I88" s="33">
        <v>0</v>
      </c>
      <c r="J88" s="33">
        <v>0</v>
      </c>
      <c r="K88" s="33">
        <v>0</v>
      </c>
      <c r="L88" s="33">
        <v>0</v>
      </c>
      <c r="M88" s="33">
        <v>0</v>
      </c>
      <c r="N88" s="33">
        <v>0</v>
      </c>
      <c r="O88" s="33">
        <v>0</v>
      </c>
      <c r="P88" s="33">
        <v>0</v>
      </c>
      <c r="Q88" s="21">
        <f t="shared" si="5"/>
        <v>41</v>
      </c>
      <c r="R88">
        <f t="shared" si="6"/>
        <v>35.054933980259932</v>
      </c>
      <c r="S88">
        <f t="shared" si="7"/>
        <v>254.24513037386939</v>
      </c>
      <c r="T88">
        <v>26</v>
      </c>
    </row>
    <row r="89" spans="1:20">
      <c r="A89" s="32">
        <v>41176</v>
      </c>
      <c r="B89" s="42">
        <v>69</v>
      </c>
      <c r="C89" s="33">
        <v>1</v>
      </c>
      <c r="D89" s="33">
        <v>0</v>
      </c>
      <c r="E89" s="33">
        <v>0</v>
      </c>
      <c r="F89" s="33">
        <v>1</v>
      </c>
      <c r="G89" s="33">
        <v>0</v>
      </c>
      <c r="H89" s="33">
        <v>2</v>
      </c>
      <c r="I89" s="33">
        <v>0</v>
      </c>
      <c r="J89" s="33">
        <v>1</v>
      </c>
      <c r="K89" s="33">
        <v>0</v>
      </c>
      <c r="L89" s="33">
        <v>0</v>
      </c>
      <c r="M89" s="33">
        <v>0</v>
      </c>
      <c r="N89" s="33">
        <v>0</v>
      </c>
      <c r="O89" s="33">
        <v>0</v>
      </c>
      <c r="P89" s="33">
        <v>0</v>
      </c>
      <c r="Q89" s="21">
        <f t="shared" si="5"/>
        <v>36</v>
      </c>
      <c r="R89">
        <f t="shared" si="6"/>
        <v>34.794917666242739</v>
      </c>
      <c r="S89">
        <f t="shared" si="7"/>
        <v>1169.9876574591131</v>
      </c>
      <c r="T89">
        <v>21</v>
      </c>
    </row>
    <row r="90" spans="1:20">
      <c r="A90" s="32">
        <v>41177</v>
      </c>
      <c r="B90" s="42">
        <v>32</v>
      </c>
      <c r="C90" s="33">
        <v>1</v>
      </c>
      <c r="D90" s="33">
        <v>0</v>
      </c>
      <c r="E90" s="33">
        <v>0</v>
      </c>
      <c r="F90" s="33">
        <v>1</v>
      </c>
      <c r="G90" s="33">
        <v>1</v>
      </c>
      <c r="H90" s="33">
        <v>4</v>
      </c>
      <c r="I90" s="33">
        <v>0</v>
      </c>
      <c r="J90" s="33">
        <v>0</v>
      </c>
      <c r="K90" s="33">
        <v>1</v>
      </c>
      <c r="L90" s="33">
        <v>0</v>
      </c>
      <c r="M90" s="33">
        <v>0</v>
      </c>
      <c r="N90" s="33">
        <v>0</v>
      </c>
      <c r="O90" s="33">
        <v>0</v>
      </c>
      <c r="P90" s="33">
        <v>0</v>
      </c>
      <c r="Q90" s="21">
        <f t="shared" si="5"/>
        <v>34</v>
      </c>
      <c r="R90">
        <f t="shared" si="6"/>
        <v>35.952599544466182</v>
      </c>
      <c r="S90">
        <f t="shared" si="7"/>
        <v>15.623043158914268</v>
      </c>
      <c r="T90">
        <v>19</v>
      </c>
    </row>
    <row r="91" spans="1:20">
      <c r="A91" s="32">
        <v>41178</v>
      </c>
      <c r="B91" s="42">
        <v>45</v>
      </c>
      <c r="C91" s="33">
        <v>1</v>
      </c>
      <c r="D91" s="33">
        <v>0</v>
      </c>
      <c r="E91" s="33">
        <v>0</v>
      </c>
      <c r="F91" s="33">
        <v>0</v>
      </c>
      <c r="G91" s="33">
        <v>0</v>
      </c>
      <c r="H91" s="33">
        <v>1</v>
      </c>
      <c r="I91" s="33">
        <v>0</v>
      </c>
      <c r="J91" s="33">
        <v>0</v>
      </c>
      <c r="K91" s="33">
        <v>0</v>
      </c>
      <c r="L91" s="33">
        <v>1</v>
      </c>
      <c r="M91" s="33">
        <v>0</v>
      </c>
      <c r="N91" s="33">
        <v>0</v>
      </c>
      <c r="O91" s="33">
        <v>0</v>
      </c>
      <c r="P91" s="33">
        <v>0</v>
      </c>
      <c r="Q91" s="21">
        <f t="shared" si="5"/>
        <v>39</v>
      </c>
      <c r="R91">
        <f t="shared" si="6"/>
        <v>31.566120356318716</v>
      </c>
      <c r="S91">
        <f t="shared" si="7"/>
        <v>180.46912228091438</v>
      </c>
      <c r="T91">
        <v>24</v>
      </c>
    </row>
    <row r="92" spans="1:20">
      <c r="A92" s="32">
        <v>41179</v>
      </c>
      <c r="B92" s="42">
        <v>40</v>
      </c>
      <c r="C92" s="33">
        <v>1</v>
      </c>
      <c r="D92" s="33">
        <v>0</v>
      </c>
      <c r="E92" s="33">
        <v>0</v>
      </c>
      <c r="F92" s="33">
        <v>1</v>
      </c>
      <c r="G92" s="33">
        <v>0</v>
      </c>
      <c r="H92" s="33">
        <v>2</v>
      </c>
      <c r="I92" s="33">
        <v>0</v>
      </c>
      <c r="J92" s="33">
        <v>0</v>
      </c>
      <c r="K92" s="33">
        <v>0</v>
      </c>
      <c r="L92" s="33">
        <v>0</v>
      </c>
      <c r="M92" s="33">
        <v>1</v>
      </c>
      <c r="N92" s="33">
        <v>0</v>
      </c>
      <c r="O92" s="33">
        <v>0</v>
      </c>
      <c r="P92" s="33">
        <v>0</v>
      </c>
      <c r="Q92" s="21">
        <f t="shared" si="5"/>
        <v>41</v>
      </c>
      <c r="R92">
        <f t="shared" si="6"/>
        <v>35.914728390153023</v>
      </c>
      <c r="S92">
        <f t="shared" si="7"/>
        <v>16.689444126221712</v>
      </c>
      <c r="T92">
        <v>26</v>
      </c>
    </row>
    <row r="93" spans="1:20">
      <c r="A93" s="32">
        <v>41180</v>
      </c>
      <c r="B93" s="42">
        <v>49</v>
      </c>
      <c r="C93" s="33">
        <v>1</v>
      </c>
      <c r="D93" s="33">
        <v>0</v>
      </c>
      <c r="E93" s="33">
        <v>0</v>
      </c>
      <c r="F93" s="33">
        <v>1</v>
      </c>
      <c r="G93" s="33">
        <v>1</v>
      </c>
      <c r="H93" s="33">
        <v>4</v>
      </c>
      <c r="I93" s="33">
        <v>0</v>
      </c>
      <c r="J93" s="33">
        <v>0</v>
      </c>
      <c r="K93" s="33">
        <v>0</v>
      </c>
      <c r="L93" s="33">
        <v>0</v>
      </c>
      <c r="M93" s="33">
        <v>0</v>
      </c>
      <c r="N93" s="33">
        <v>1</v>
      </c>
      <c r="O93" s="33">
        <v>0</v>
      </c>
      <c r="P93" s="33">
        <v>0</v>
      </c>
      <c r="Q93" s="21">
        <f t="shared" si="5"/>
        <v>44</v>
      </c>
      <c r="R93">
        <f t="shared" si="6"/>
        <v>41.366876867338917</v>
      </c>
      <c r="S93">
        <f t="shared" si="7"/>
        <v>58.264568758365748</v>
      </c>
      <c r="T93">
        <v>29</v>
      </c>
    </row>
    <row r="94" spans="1:20">
      <c r="A94" s="32">
        <v>41181</v>
      </c>
      <c r="B94" s="42">
        <v>53</v>
      </c>
      <c r="C94" s="33">
        <v>1</v>
      </c>
      <c r="D94" s="33">
        <v>0</v>
      </c>
      <c r="E94" s="33">
        <v>0</v>
      </c>
      <c r="F94" s="33">
        <v>3</v>
      </c>
      <c r="G94" s="33">
        <v>2</v>
      </c>
      <c r="H94" s="33">
        <v>12</v>
      </c>
      <c r="I94" s="33">
        <v>0</v>
      </c>
      <c r="J94" s="33">
        <v>0</v>
      </c>
      <c r="K94" s="33">
        <v>0</v>
      </c>
      <c r="L94" s="33">
        <v>0</v>
      </c>
      <c r="M94" s="33">
        <v>0</v>
      </c>
      <c r="N94" s="33">
        <v>0</v>
      </c>
      <c r="O94" s="33">
        <v>1</v>
      </c>
      <c r="P94" s="33">
        <v>0</v>
      </c>
      <c r="Q94" s="21">
        <f t="shared" si="5"/>
        <v>41</v>
      </c>
      <c r="R94">
        <f t="shared" si="6"/>
        <v>46.166744855810109</v>
      </c>
      <c r="S94">
        <f t="shared" si="7"/>
        <v>46.693375865597616</v>
      </c>
      <c r="T94">
        <v>26</v>
      </c>
    </row>
    <row r="95" spans="1:20">
      <c r="A95" s="32">
        <v>41182</v>
      </c>
      <c r="B95" s="42">
        <v>52</v>
      </c>
      <c r="C95" s="33">
        <v>1</v>
      </c>
      <c r="D95" s="33">
        <v>0</v>
      </c>
      <c r="E95" s="33">
        <v>0</v>
      </c>
      <c r="F95" s="33">
        <v>2</v>
      </c>
      <c r="G95" s="33">
        <v>2</v>
      </c>
      <c r="H95" s="33">
        <v>9</v>
      </c>
      <c r="I95" s="33">
        <v>0</v>
      </c>
      <c r="J95" s="33">
        <v>0</v>
      </c>
      <c r="K95" s="33">
        <v>0</v>
      </c>
      <c r="L95" s="33">
        <v>0</v>
      </c>
      <c r="M95" s="33">
        <v>0</v>
      </c>
      <c r="N95" s="33">
        <v>0</v>
      </c>
      <c r="O95" s="33">
        <v>0</v>
      </c>
      <c r="P95" s="33">
        <v>0</v>
      </c>
      <c r="Q95" s="21">
        <f t="shared" si="5"/>
        <v>42</v>
      </c>
      <c r="R95">
        <f t="shared" si="6"/>
        <v>40.985171695351447</v>
      </c>
      <c r="S95">
        <f t="shared" si="7"/>
        <v>121.32644258088692</v>
      </c>
      <c r="T95">
        <v>27</v>
      </c>
    </row>
    <row r="96" spans="1:20">
      <c r="A96" s="32">
        <v>41183</v>
      </c>
      <c r="B96" s="42">
        <v>56</v>
      </c>
      <c r="C96" s="33">
        <v>1</v>
      </c>
      <c r="D96" s="33">
        <v>0</v>
      </c>
      <c r="E96" s="33">
        <v>0</v>
      </c>
      <c r="F96" s="33">
        <v>1</v>
      </c>
      <c r="G96" s="33">
        <v>1</v>
      </c>
      <c r="H96" s="33">
        <v>4</v>
      </c>
      <c r="I96" s="33">
        <v>0</v>
      </c>
      <c r="J96" s="33">
        <v>1</v>
      </c>
      <c r="K96" s="33">
        <v>0</v>
      </c>
      <c r="L96" s="33">
        <v>0</v>
      </c>
      <c r="M96" s="33">
        <v>0</v>
      </c>
      <c r="N96" s="33">
        <v>0</v>
      </c>
      <c r="O96" s="33">
        <v>0</v>
      </c>
      <c r="P96" s="33">
        <v>0</v>
      </c>
      <c r="Q96" s="21">
        <f t="shared" si="5"/>
        <v>35</v>
      </c>
      <c r="R96">
        <f t="shared" si="6"/>
        <v>36.519131173927192</v>
      </c>
      <c r="S96">
        <f t="shared" si="7"/>
        <v>379.50425021865533</v>
      </c>
      <c r="T96">
        <v>20</v>
      </c>
    </row>
    <row r="97" spans="1:20">
      <c r="A97" s="32">
        <v>41184</v>
      </c>
      <c r="B97" s="42">
        <v>33</v>
      </c>
      <c r="C97" s="33">
        <v>1</v>
      </c>
      <c r="D97" s="33">
        <v>0</v>
      </c>
      <c r="E97" s="33">
        <v>0</v>
      </c>
      <c r="F97" s="33">
        <v>1</v>
      </c>
      <c r="G97" s="33">
        <v>0</v>
      </c>
      <c r="H97" s="33">
        <v>2</v>
      </c>
      <c r="I97" s="33">
        <v>0</v>
      </c>
      <c r="J97" s="33">
        <v>0</v>
      </c>
      <c r="K97" s="33">
        <v>1</v>
      </c>
      <c r="L97" s="33">
        <v>0</v>
      </c>
      <c r="M97" s="33">
        <v>0</v>
      </c>
      <c r="N97" s="33">
        <v>0</v>
      </c>
      <c r="O97" s="33">
        <v>0</v>
      </c>
      <c r="P97" s="33">
        <v>0</v>
      </c>
      <c r="Q97" s="21">
        <f t="shared" si="5"/>
        <v>29</v>
      </c>
      <c r="R97">
        <f t="shared" si="6"/>
        <v>30.777631420720326</v>
      </c>
      <c r="S97">
        <f t="shared" si="7"/>
        <v>4.938922102169558</v>
      </c>
      <c r="T97">
        <v>14</v>
      </c>
    </row>
    <row r="98" spans="1:20">
      <c r="A98" s="32">
        <v>41185</v>
      </c>
      <c r="B98" s="42">
        <v>22</v>
      </c>
      <c r="C98" s="33">
        <v>1</v>
      </c>
      <c r="D98" s="33">
        <v>0</v>
      </c>
      <c r="E98" s="33">
        <v>0</v>
      </c>
      <c r="F98" s="33">
        <v>0</v>
      </c>
      <c r="G98" s="33">
        <v>0</v>
      </c>
      <c r="H98" s="33">
        <v>1</v>
      </c>
      <c r="I98" s="33">
        <v>0</v>
      </c>
      <c r="J98" s="33">
        <v>0</v>
      </c>
      <c r="K98" s="33">
        <v>0</v>
      </c>
      <c r="L98" s="33">
        <v>1</v>
      </c>
      <c r="M98" s="33">
        <v>0</v>
      </c>
      <c r="N98" s="33">
        <v>0</v>
      </c>
      <c r="O98" s="33">
        <v>0</v>
      </c>
      <c r="P98" s="33">
        <v>0</v>
      </c>
      <c r="Q98" s="21">
        <f t="shared" si="5"/>
        <v>31</v>
      </c>
      <c r="R98">
        <f t="shared" si="6"/>
        <v>26.965114201570181</v>
      </c>
      <c r="S98">
        <f t="shared" si="7"/>
        <v>24.652359034633893</v>
      </c>
      <c r="T98">
        <v>16</v>
      </c>
    </row>
    <row r="99" spans="1:20">
      <c r="A99" s="32">
        <v>41186</v>
      </c>
      <c r="B99" s="42">
        <v>26</v>
      </c>
      <c r="C99" s="33">
        <v>1</v>
      </c>
      <c r="D99" s="33">
        <v>0</v>
      </c>
      <c r="E99" s="33">
        <v>0</v>
      </c>
      <c r="F99" s="33">
        <v>0</v>
      </c>
      <c r="G99" s="33">
        <v>0</v>
      </c>
      <c r="H99" s="33">
        <v>1</v>
      </c>
      <c r="I99" s="33">
        <v>0</v>
      </c>
      <c r="J99" s="33">
        <v>0</v>
      </c>
      <c r="K99" s="33">
        <v>0</v>
      </c>
      <c r="L99" s="33">
        <v>0</v>
      </c>
      <c r="M99" s="33">
        <v>1</v>
      </c>
      <c r="N99" s="33">
        <v>0</v>
      </c>
      <c r="O99" s="33">
        <v>0</v>
      </c>
      <c r="P99" s="33">
        <v>0</v>
      </c>
      <c r="Q99" s="21">
        <f t="shared" si="5"/>
        <v>30</v>
      </c>
      <c r="R99">
        <f t="shared" si="6"/>
        <v>25.024482453334208</v>
      </c>
      <c r="S99">
        <f t="shared" si="7"/>
        <v>0.9516344838528451</v>
      </c>
      <c r="T99">
        <v>15</v>
      </c>
    </row>
    <row r="100" spans="1:20">
      <c r="A100" s="32">
        <v>41187</v>
      </c>
      <c r="B100" s="42">
        <v>37</v>
      </c>
      <c r="C100" s="33">
        <v>1</v>
      </c>
      <c r="D100" s="33">
        <v>0</v>
      </c>
      <c r="E100" s="33">
        <v>0</v>
      </c>
      <c r="F100" s="33">
        <v>0</v>
      </c>
      <c r="G100" s="33">
        <v>0</v>
      </c>
      <c r="H100" s="33">
        <v>1</v>
      </c>
      <c r="I100" s="33">
        <v>0</v>
      </c>
      <c r="J100" s="33">
        <v>0</v>
      </c>
      <c r="K100" s="33">
        <v>0</v>
      </c>
      <c r="L100" s="33">
        <v>0</v>
      </c>
      <c r="M100" s="33">
        <v>0</v>
      </c>
      <c r="N100" s="33">
        <v>1</v>
      </c>
      <c r="O100" s="33">
        <v>0</v>
      </c>
      <c r="P100" s="33">
        <v>0</v>
      </c>
      <c r="Q100" s="21">
        <f t="shared" si="5"/>
        <v>30</v>
      </c>
      <c r="R100">
        <f t="shared" si="6"/>
        <v>26.451914345461375</v>
      </c>
      <c r="S100">
        <f t="shared" si="7"/>
        <v>111.26211097548352</v>
      </c>
      <c r="T100">
        <v>15</v>
      </c>
    </row>
    <row r="101" spans="1:20">
      <c r="A101" s="32">
        <v>41188</v>
      </c>
      <c r="B101" s="42">
        <v>35</v>
      </c>
      <c r="C101" s="33">
        <v>1</v>
      </c>
      <c r="D101" s="33">
        <v>0</v>
      </c>
      <c r="E101" s="33">
        <v>0</v>
      </c>
      <c r="F101" s="33">
        <v>2</v>
      </c>
      <c r="G101" s="33">
        <v>1</v>
      </c>
      <c r="H101" s="33">
        <v>6</v>
      </c>
      <c r="I101" s="33">
        <v>0</v>
      </c>
      <c r="J101" s="33">
        <v>0</v>
      </c>
      <c r="K101" s="33">
        <v>0</v>
      </c>
      <c r="L101" s="33">
        <v>0</v>
      </c>
      <c r="M101" s="33">
        <v>0</v>
      </c>
      <c r="N101" s="33">
        <v>0</v>
      </c>
      <c r="O101" s="33">
        <v>1</v>
      </c>
      <c r="P101" s="33">
        <v>0</v>
      </c>
      <c r="Q101" s="21">
        <f t="shared" si="5"/>
        <v>36</v>
      </c>
      <c r="R101">
        <f t="shared" si="6"/>
        <v>38.690048966004156</v>
      </c>
      <c r="S101">
        <f t="shared" si="7"/>
        <v>13.61646137150834</v>
      </c>
      <c r="T101">
        <v>21</v>
      </c>
    </row>
    <row r="102" spans="1:20">
      <c r="A102" s="32">
        <v>41189</v>
      </c>
      <c r="B102" s="42">
        <v>39</v>
      </c>
      <c r="C102" s="33">
        <v>1</v>
      </c>
      <c r="D102" s="33">
        <v>0</v>
      </c>
      <c r="E102" s="33">
        <v>0</v>
      </c>
      <c r="F102" s="33">
        <v>2</v>
      </c>
      <c r="G102" s="33">
        <v>2</v>
      </c>
      <c r="H102" s="33">
        <v>9</v>
      </c>
      <c r="I102" s="33">
        <v>0</v>
      </c>
      <c r="J102" s="33">
        <v>0</v>
      </c>
      <c r="K102" s="33">
        <v>0</v>
      </c>
      <c r="L102" s="33">
        <v>0</v>
      </c>
      <c r="M102" s="33">
        <v>0</v>
      </c>
      <c r="N102" s="33">
        <v>0</v>
      </c>
      <c r="O102" s="33">
        <v>0</v>
      </c>
      <c r="P102" s="33">
        <v>0</v>
      </c>
      <c r="Q102" s="21">
        <f t="shared" si="5"/>
        <v>36</v>
      </c>
      <c r="R102">
        <f t="shared" si="6"/>
        <v>37.534417079290044</v>
      </c>
      <c r="S102">
        <f t="shared" si="7"/>
        <v>2.1479332974767247</v>
      </c>
      <c r="T102">
        <v>21</v>
      </c>
    </row>
    <row r="103" spans="1:20">
      <c r="A103" s="32">
        <v>41190</v>
      </c>
      <c r="B103" s="42">
        <v>29</v>
      </c>
      <c r="C103" s="33">
        <v>1</v>
      </c>
      <c r="D103" s="33">
        <v>0</v>
      </c>
      <c r="E103" s="33">
        <v>0</v>
      </c>
      <c r="F103" s="33">
        <v>1</v>
      </c>
      <c r="G103" s="33">
        <v>0</v>
      </c>
      <c r="H103" s="33">
        <v>2</v>
      </c>
      <c r="I103" s="33">
        <v>1</v>
      </c>
      <c r="J103" s="33">
        <v>1</v>
      </c>
      <c r="K103" s="33">
        <v>0</v>
      </c>
      <c r="L103" s="33">
        <v>0</v>
      </c>
      <c r="M103" s="33">
        <v>0</v>
      </c>
      <c r="N103" s="33">
        <v>0</v>
      </c>
      <c r="O103" s="33">
        <v>0</v>
      </c>
      <c r="P103" s="33">
        <v>0</v>
      </c>
      <c r="Q103" s="21">
        <f t="shared" si="5"/>
        <v>32</v>
      </c>
      <c r="R103">
        <f t="shared" si="6"/>
        <v>31.52828393921483</v>
      </c>
      <c r="S103">
        <f t="shared" si="7"/>
        <v>6.39221967729166</v>
      </c>
      <c r="T103">
        <v>17</v>
      </c>
    </row>
    <row r="104" spans="1:20">
      <c r="A104" s="32">
        <v>41191</v>
      </c>
      <c r="B104" s="42">
        <v>25</v>
      </c>
      <c r="C104" s="33">
        <v>1</v>
      </c>
      <c r="D104" s="33">
        <v>0</v>
      </c>
      <c r="E104" s="33">
        <v>0</v>
      </c>
      <c r="F104" s="33">
        <v>0</v>
      </c>
      <c r="G104" s="33">
        <v>0</v>
      </c>
      <c r="H104" s="33">
        <v>1</v>
      </c>
      <c r="I104" s="33">
        <v>0</v>
      </c>
      <c r="J104" s="33">
        <v>0</v>
      </c>
      <c r="K104" s="33">
        <v>1</v>
      </c>
      <c r="L104" s="33">
        <v>0</v>
      </c>
      <c r="M104" s="33">
        <v>0</v>
      </c>
      <c r="N104" s="33">
        <v>0</v>
      </c>
      <c r="O104" s="33">
        <v>0</v>
      </c>
      <c r="P104" s="33">
        <v>0</v>
      </c>
      <c r="Q104" s="21">
        <f t="shared" si="5"/>
        <v>24</v>
      </c>
      <c r="R104">
        <f t="shared" si="6"/>
        <v>23.338140099962914</v>
      </c>
      <c r="S104">
        <f t="shared" si="7"/>
        <v>2.7617783273512746</v>
      </c>
      <c r="T104">
        <v>9</v>
      </c>
    </row>
    <row r="105" spans="1:20">
      <c r="A105" s="32">
        <v>41192</v>
      </c>
      <c r="B105" s="42">
        <v>19</v>
      </c>
      <c r="C105" s="33">
        <v>1</v>
      </c>
      <c r="D105" s="33">
        <v>0</v>
      </c>
      <c r="E105" s="33">
        <v>0</v>
      </c>
      <c r="F105" s="33">
        <v>0</v>
      </c>
      <c r="G105" s="33">
        <v>0</v>
      </c>
      <c r="H105" s="33">
        <v>1</v>
      </c>
      <c r="I105" s="33">
        <v>0</v>
      </c>
      <c r="J105" s="33">
        <v>0</v>
      </c>
      <c r="K105" s="33">
        <v>0</v>
      </c>
      <c r="L105" s="33">
        <v>1</v>
      </c>
      <c r="M105" s="33">
        <v>0</v>
      </c>
      <c r="N105" s="33">
        <v>0</v>
      </c>
      <c r="O105" s="33">
        <v>0</v>
      </c>
      <c r="P105" s="33">
        <v>0</v>
      </c>
      <c r="Q105" s="21">
        <f t="shared" si="5"/>
        <v>25</v>
      </c>
      <c r="R105">
        <f t="shared" si="6"/>
        <v>23.514359585508778</v>
      </c>
      <c r="S105">
        <f t="shared" si="7"/>
        <v>20.379442467274988</v>
      </c>
      <c r="T105">
        <v>10</v>
      </c>
    </row>
    <row r="106" spans="1:20">
      <c r="A106" s="32">
        <v>41193</v>
      </c>
      <c r="B106" s="42">
        <v>16</v>
      </c>
      <c r="C106" s="33">
        <v>1</v>
      </c>
      <c r="D106" s="33">
        <v>0</v>
      </c>
      <c r="E106" s="33">
        <v>0</v>
      </c>
      <c r="F106" s="33">
        <v>0</v>
      </c>
      <c r="G106" s="33">
        <v>0</v>
      </c>
      <c r="H106" s="33">
        <v>1</v>
      </c>
      <c r="I106" s="33">
        <v>0</v>
      </c>
      <c r="J106" s="33">
        <v>0</v>
      </c>
      <c r="K106" s="33">
        <v>0</v>
      </c>
      <c r="L106" s="33">
        <v>0</v>
      </c>
      <c r="M106" s="33">
        <v>1</v>
      </c>
      <c r="N106" s="33">
        <v>0</v>
      </c>
      <c r="O106" s="33">
        <v>0</v>
      </c>
      <c r="P106" s="33">
        <v>0</v>
      </c>
      <c r="Q106" s="21">
        <f t="shared" si="5"/>
        <v>29</v>
      </c>
      <c r="R106">
        <f t="shared" si="6"/>
        <v>24.44935668399064</v>
      </c>
      <c r="S106">
        <f t="shared" si="7"/>
        <v>71.391628373297308</v>
      </c>
      <c r="T106">
        <v>14</v>
      </c>
    </row>
    <row r="107" spans="1:20">
      <c r="A107" s="32">
        <v>41194</v>
      </c>
      <c r="B107" s="42">
        <v>28</v>
      </c>
      <c r="C107" s="33">
        <v>1</v>
      </c>
      <c r="D107" s="33">
        <v>0</v>
      </c>
      <c r="E107" s="33">
        <v>0</v>
      </c>
      <c r="F107" s="33">
        <v>0</v>
      </c>
      <c r="G107" s="33">
        <v>0</v>
      </c>
      <c r="H107" s="33">
        <v>1</v>
      </c>
      <c r="I107" s="33">
        <v>0</v>
      </c>
      <c r="J107" s="33">
        <v>0</v>
      </c>
      <c r="K107" s="33">
        <v>0</v>
      </c>
      <c r="L107" s="33">
        <v>0</v>
      </c>
      <c r="M107" s="33">
        <v>0</v>
      </c>
      <c r="N107" s="33">
        <v>1</v>
      </c>
      <c r="O107" s="33">
        <v>0</v>
      </c>
      <c r="P107" s="33">
        <v>0</v>
      </c>
      <c r="Q107" s="21">
        <f t="shared" si="5"/>
        <v>29</v>
      </c>
      <c r="R107">
        <f t="shared" si="6"/>
        <v>25.876788576117807</v>
      </c>
      <c r="S107">
        <f t="shared" si="7"/>
        <v>4.5080267505038485</v>
      </c>
      <c r="T107">
        <v>14</v>
      </c>
    </row>
    <row r="108" spans="1:20">
      <c r="A108" s="32">
        <v>41195</v>
      </c>
      <c r="B108" s="42">
        <v>40</v>
      </c>
      <c r="C108" s="33">
        <v>1</v>
      </c>
      <c r="D108" s="33">
        <v>0</v>
      </c>
      <c r="E108" s="33">
        <v>0</v>
      </c>
      <c r="F108" s="33">
        <v>1</v>
      </c>
      <c r="G108" s="33">
        <v>1</v>
      </c>
      <c r="H108" s="33">
        <v>4</v>
      </c>
      <c r="I108" s="33">
        <v>0</v>
      </c>
      <c r="J108" s="33">
        <v>0</v>
      </c>
      <c r="K108" s="33">
        <v>0</v>
      </c>
      <c r="L108" s="33">
        <v>0</v>
      </c>
      <c r="M108" s="33">
        <v>0</v>
      </c>
      <c r="N108" s="33">
        <v>0</v>
      </c>
      <c r="O108" s="33">
        <v>1</v>
      </c>
      <c r="P108" s="33">
        <v>0</v>
      </c>
      <c r="Q108" s="21">
        <f t="shared" si="5"/>
        <v>37</v>
      </c>
      <c r="R108">
        <f t="shared" si="6"/>
        <v>35.455357163967975</v>
      </c>
      <c r="S108">
        <f t="shared" si="7"/>
        <v>20.653778507097211</v>
      </c>
      <c r="T108">
        <v>22</v>
      </c>
    </row>
    <row r="109" spans="1:20">
      <c r="A109" s="32">
        <v>41196</v>
      </c>
      <c r="B109" s="42">
        <v>35</v>
      </c>
      <c r="C109" s="33">
        <v>1</v>
      </c>
      <c r="D109" s="33">
        <v>0</v>
      </c>
      <c r="E109" s="33">
        <v>0</v>
      </c>
      <c r="F109" s="33">
        <v>1</v>
      </c>
      <c r="G109" s="33">
        <v>0</v>
      </c>
      <c r="H109" s="33">
        <v>2</v>
      </c>
      <c r="I109" s="33">
        <v>0</v>
      </c>
      <c r="J109" s="33">
        <v>0</v>
      </c>
      <c r="K109" s="33">
        <v>0</v>
      </c>
      <c r="L109" s="33">
        <v>0</v>
      </c>
      <c r="M109" s="33">
        <v>0</v>
      </c>
      <c r="N109" s="33">
        <v>0</v>
      </c>
      <c r="O109" s="33">
        <v>0</v>
      </c>
      <c r="P109" s="33">
        <v>0</v>
      </c>
      <c r="Q109" s="21">
        <f t="shared" si="5"/>
        <v>39</v>
      </c>
      <c r="R109">
        <f t="shared" si="6"/>
        <v>31.605343164544777</v>
      </c>
      <c r="S109">
        <f t="shared" si="7"/>
        <v>11.523695030502866</v>
      </c>
      <c r="T109">
        <v>24</v>
      </c>
    </row>
    <row r="110" spans="1:20">
      <c r="A110" s="32">
        <v>41197</v>
      </c>
      <c r="B110" s="42">
        <v>22</v>
      </c>
      <c r="C110" s="33">
        <v>1</v>
      </c>
      <c r="D110" s="33">
        <v>0</v>
      </c>
      <c r="E110" s="33">
        <v>0</v>
      </c>
      <c r="F110" s="33">
        <v>0</v>
      </c>
      <c r="G110" s="33">
        <v>0</v>
      </c>
      <c r="H110" s="33">
        <v>1</v>
      </c>
      <c r="I110" s="33">
        <v>0</v>
      </c>
      <c r="J110" s="33">
        <v>1</v>
      </c>
      <c r="K110" s="33">
        <v>0</v>
      </c>
      <c r="L110" s="33">
        <v>0</v>
      </c>
      <c r="M110" s="33">
        <v>0</v>
      </c>
      <c r="N110" s="33">
        <v>0</v>
      </c>
      <c r="O110" s="33">
        <v>0</v>
      </c>
      <c r="P110" s="33">
        <v>0</v>
      </c>
      <c r="Q110" s="21">
        <f t="shared" si="5"/>
        <v>33</v>
      </c>
      <c r="R110">
        <f t="shared" si="6"/>
        <v>28.505677884172464</v>
      </c>
      <c r="S110">
        <f t="shared" si="7"/>
        <v>42.323844732610702</v>
      </c>
      <c r="T110">
        <v>18</v>
      </c>
    </row>
    <row r="111" spans="1:20">
      <c r="A111" s="32">
        <v>41198</v>
      </c>
      <c r="B111" s="42">
        <v>14</v>
      </c>
      <c r="C111" s="33">
        <v>1</v>
      </c>
      <c r="D111" s="33">
        <v>0</v>
      </c>
      <c r="E111" s="33">
        <v>0</v>
      </c>
      <c r="F111" s="33">
        <v>0</v>
      </c>
      <c r="G111" s="33">
        <v>0</v>
      </c>
      <c r="H111" s="33">
        <v>1</v>
      </c>
      <c r="I111" s="33">
        <v>0</v>
      </c>
      <c r="J111" s="33">
        <v>0</v>
      </c>
      <c r="K111" s="33">
        <v>1</v>
      </c>
      <c r="L111" s="33">
        <v>0</v>
      </c>
      <c r="M111" s="33">
        <v>0</v>
      </c>
      <c r="N111" s="33">
        <v>0</v>
      </c>
      <c r="O111" s="33">
        <v>0</v>
      </c>
      <c r="P111" s="33">
        <v>0</v>
      </c>
      <c r="Q111" s="21">
        <f t="shared" si="5"/>
        <v>28</v>
      </c>
      <c r="R111">
        <f t="shared" si="6"/>
        <v>25.638643177337183</v>
      </c>
      <c r="S111">
        <f t="shared" si="7"/>
        <v>135.45801500937736</v>
      </c>
      <c r="T111">
        <v>13</v>
      </c>
    </row>
    <row r="112" spans="1:20">
      <c r="A112" s="32">
        <v>41199</v>
      </c>
      <c r="B112" s="42">
        <v>21</v>
      </c>
      <c r="C112" s="33">
        <v>1</v>
      </c>
      <c r="D112" s="33">
        <v>0</v>
      </c>
      <c r="E112" s="33">
        <v>0</v>
      </c>
      <c r="F112" s="33">
        <v>0</v>
      </c>
      <c r="G112" s="33">
        <v>0</v>
      </c>
      <c r="H112" s="33">
        <v>1</v>
      </c>
      <c r="I112" s="33">
        <v>0</v>
      </c>
      <c r="J112" s="33">
        <v>0</v>
      </c>
      <c r="K112" s="33">
        <v>0</v>
      </c>
      <c r="L112" s="33">
        <v>1</v>
      </c>
      <c r="M112" s="33">
        <v>0</v>
      </c>
      <c r="N112" s="33">
        <v>0</v>
      </c>
      <c r="O112" s="33">
        <v>0</v>
      </c>
      <c r="P112" s="33">
        <v>0</v>
      </c>
      <c r="Q112" s="21">
        <f t="shared" si="5"/>
        <v>22</v>
      </c>
      <c r="R112">
        <f t="shared" si="6"/>
        <v>21.78898227747808</v>
      </c>
      <c r="S112">
        <f t="shared" si="7"/>
        <v>0.62249303417449864</v>
      </c>
      <c r="T112">
        <v>7</v>
      </c>
    </row>
    <row r="113" spans="1:20">
      <c r="A113" s="32">
        <v>41200</v>
      </c>
      <c r="B113" s="42">
        <v>16</v>
      </c>
      <c r="C113" s="33">
        <v>1</v>
      </c>
      <c r="D113" s="33">
        <v>0</v>
      </c>
      <c r="E113" s="33">
        <v>0</v>
      </c>
      <c r="F113" s="33">
        <v>0</v>
      </c>
      <c r="G113" s="33">
        <v>0</v>
      </c>
      <c r="H113" s="33">
        <v>1</v>
      </c>
      <c r="I113" s="33">
        <v>0</v>
      </c>
      <c r="J113" s="33">
        <v>0</v>
      </c>
      <c r="K113" s="33">
        <v>0</v>
      </c>
      <c r="L113" s="33">
        <v>0</v>
      </c>
      <c r="M113" s="33">
        <v>1</v>
      </c>
      <c r="N113" s="33">
        <v>0</v>
      </c>
      <c r="O113" s="33">
        <v>0</v>
      </c>
      <c r="P113" s="33">
        <v>0</v>
      </c>
      <c r="Q113" s="21">
        <f t="shared" si="5"/>
        <v>28</v>
      </c>
      <c r="R113">
        <f t="shared" si="6"/>
        <v>23.874230914647075</v>
      </c>
      <c r="S113">
        <f t="shared" si="7"/>
        <v>62.003512497183713</v>
      </c>
      <c r="T113">
        <v>13</v>
      </c>
    </row>
    <row r="114" spans="1:20">
      <c r="A114" s="32">
        <v>41201</v>
      </c>
      <c r="B114" s="42">
        <v>35</v>
      </c>
      <c r="C114" s="33">
        <v>1</v>
      </c>
      <c r="D114" s="33">
        <v>0</v>
      </c>
      <c r="E114" s="33">
        <v>0</v>
      </c>
      <c r="F114" s="33">
        <v>0</v>
      </c>
      <c r="G114" s="33">
        <v>0</v>
      </c>
      <c r="H114" s="33">
        <v>1</v>
      </c>
      <c r="I114" s="33">
        <v>0</v>
      </c>
      <c r="J114" s="33">
        <v>0</v>
      </c>
      <c r="K114" s="33">
        <v>0</v>
      </c>
      <c r="L114" s="33">
        <v>0</v>
      </c>
      <c r="M114" s="33">
        <v>0</v>
      </c>
      <c r="N114" s="33">
        <v>1</v>
      </c>
      <c r="O114" s="33">
        <v>0</v>
      </c>
      <c r="P114" s="33">
        <v>0</v>
      </c>
      <c r="Q114" s="21">
        <f t="shared" si="5"/>
        <v>33</v>
      </c>
      <c r="R114">
        <f t="shared" si="6"/>
        <v>28.177291653492077</v>
      </c>
      <c r="S114">
        <f t="shared" si="7"/>
        <v>46.54934918150888</v>
      </c>
      <c r="T114">
        <v>18</v>
      </c>
    </row>
    <row r="115" spans="1:20">
      <c r="A115" s="32">
        <v>41202</v>
      </c>
      <c r="B115" s="42">
        <v>46</v>
      </c>
      <c r="C115" s="33">
        <v>1</v>
      </c>
      <c r="D115" s="33">
        <v>0</v>
      </c>
      <c r="E115" s="33">
        <v>0</v>
      </c>
      <c r="F115" s="33">
        <v>1</v>
      </c>
      <c r="G115" s="33">
        <v>1</v>
      </c>
      <c r="H115" s="33">
        <v>4</v>
      </c>
      <c r="I115" s="33">
        <v>0</v>
      </c>
      <c r="J115" s="33">
        <v>0</v>
      </c>
      <c r="K115" s="33">
        <v>0</v>
      </c>
      <c r="L115" s="33">
        <v>0</v>
      </c>
      <c r="M115" s="33">
        <v>0</v>
      </c>
      <c r="N115" s="33">
        <v>0</v>
      </c>
      <c r="O115" s="33">
        <v>1</v>
      </c>
      <c r="P115" s="33">
        <v>0</v>
      </c>
      <c r="Q115" s="21">
        <f t="shared" si="5"/>
        <v>32</v>
      </c>
      <c r="R115">
        <f t="shared" si="6"/>
        <v>32.579728317250137</v>
      </c>
      <c r="S115">
        <f t="shared" si="7"/>
        <v>180.10369203881785</v>
      </c>
      <c r="T115">
        <v>17</v>
      </c>
    </row>
    <row r="116" spans="1:20">
      <c r="A116" s="32">
        <v>41203</v>
      </c>
      <c r="B116" s="42">
        <v>29</v>
      </c>
      <c r="C116" s="33">
        <v>1</v>
      </c>
      <c r="D116" s="33">
        <v>0</v>
      </c>
      <c r="E116" s="33">
        <v>0</v>
      </c>
      <c r="F116" s="33">
        <v>1</v>
      </c>
      <c r="G116" s="33">
        <v>0</v>
      </c>
      <c r="H116" s="33">
        <v>2</v>
      </c>
      <c r="I116" s="33">
        <v>0</v>
      </c>
      <c r="J116" s="33">
        <v>0</v>
      </c>
      <c r="K116" s="33">
        <v>0</v>
      </c>
      <c r="L116" s="33">
        <v>0</v>
      </c>
      <c r="M116" s="33">
        <v>0</v>
      </c>
      <c r="N116" s="33">
        <v>0</v>
      </c>
      <c r="O116" s="33">
        <v>0</v>
      </c>
      <c r="P116" s="33">
        <v>0</v>
      </c>
      <c r="Q116" s="21">
        <f t="shared" si="5"/>
        <v>36</v>
      </c>
      <c r="R116">
        <f t="shared" si="6"/>
        <v>29.879965856514076</v>
      </c>
      <c r="S116">
        <f t="shared" si="7"/>
        <v>0.77433990863055135</v>
      </c>
      <c r="T116">
        <v>21</v>
      </c>
    </row>
    <row r="117" spans="1:20">
      <c r="A117" s="32">
        <v>41204</v>
      </c>
      <c r="B117" s="42">
        <v>27</v>
      </c>
      <c r="C117" s="33">
        <v>1</v>
      </c>
      <c r="D117" s="33">
        <v>0</v>
      </c>
      <c r="E117" s="33">
        <v>0</v>
      </c>
      <c r="F117" s="33">
        <v>0</v>
      </c>
      <c r="G117" s="33">
        <v>0</v>
      </c>
      <c r="H117" s="33">
        <v>1</v>
      </c>
      <c r="I117" s="33">
        <v>0</v>
      </c>
      <c r="J117" s="33">
        <v>1</v>
      </c>
      <c r="K117" s="33">
        <v>0</v>
      </c>
      <c r="L117" s="33">
        <v>0</v>
      </c>
      <c r="M117" s="33">
        <v>0</v>
      </c>
      <c r="N117" s="33">
        <v>0</v>
      </c>
      <c r="O117" s="33">
        <v>0</v>
      </c>
      <c r="P117" s="33">
        <v>0</v>
      </c>
      <c r="Q117" s="21">
        <f t="shared" si="5"/>
        <v>29</v>
      </c>
      <c r="R117">
        <f t="shared" si="6"/>
        <v>26.205174806798194</v>
      </c>
      <c r="S117">
        <f t="shared" si="7"/>
        <v>0.63174708774828825</v>
      </c>
      <c r="T117">
        <v>14</v>
      </c>
    </row>
    <row r="118" spans="1:20">
      <c r="A118" s="32">
        <v>41205</v>
      </c>
      <c r="B118" s="42">
        <v>20</v>
      </c>
      <c r="C118" s="33">
        <v>1</v>
      </c>
      <c r="D118" s="33">
        <v>0</v>
      </c>
      <c r="E118" s="33">
        <v>0</v>
      </c>
      <c r="F118" s="33">
        <v>0</v>
      </c>
      <c r="G118" s="33">
        <v>0</v>
      </c>
      <c r="H118" s="33">
        <v>1</v>
      </c>
      <c r="I118" s="33">
        <v>0</v>
      </c>
      <c r="J118" s="33">
        <v>0</v>
      </c>
      <c r="K118" s="33">
        <v>1</v>
      </c>
      <c r="L118" s="33">
        <v>0</v>
      </c>
      <c r="M118" s="33">
        <v>0</v>
      </c>
      <c r="N118" s="33">
        <v>0</v>
      </c>
      <c r="O118" s="33">
        <v>0</v>
      </c>
      <c r="P118" s="33">
        <v>0</v>
      </c>
      <c r="Q118" s="21">
        <f t="shared" si="5"/>
        <v>32</v>
      </c>
      <c r="R118">
        <f t="shared" si="6"/>
        <v>27.939146254711449</v>
      </c>
      <c r="S118">
        <f t="shared" si="7"/>
        <v>63.030043253698835</v>
      </c>
      <c r="T118">
        <v>17</v>
      </c>
    </row>
    <row r="119" spans="1:20">
      <c r="A119" s="32">
        <v>41206</v>
      </c>
      <c r="B119" s="42">
        <v>33</v>
      </c>
      <c r="C119" s="33">
        <v>1</v>
      </c>
      <c r="D119" s="33">
        <v>0</v>
      </c>
      <c r="E119" s="33">
        <v>0</v>
      </c>
      <c r="F119" s="33">
        <v>0</v>
      </c>
      <c r="G119" s="33">
        <v>0</v>
      </c>
      <c r="H119" s="33">
        <v>1</v>
      </c>
      <c r="I119" s="33">
        <v>0</v>
      </c>
      <c r="J119" s="33">
        <v>0</v>
      </c>
      <c r="K119" s="33">
        <v>0</v>
      </c>
      <c r="L119" s="33">
        <v>1</v>
      </c>
      <c r="M119" s="33">
        <v>0</v>
      </c>
      <c r="N119" s="33">
        <v>0</v>
      </c>
      <c r="O119" s="33">
        <v>0</v>
      </c>
      <c r="P119" s="33">
        <v>0</v>
      </c>
      <c r="Q119" s="21">
        <f t="shared" si="5"/>
        <v>38</v>
      </c>
      <c r="R119">
        <f t="shared" si="6"/>
        <v>30.990994586975152</v>
      </c>
      <c r="S119">
        <f t="shared" si="7"/>
        <v>4.036102749563141</v>
      </c>
      <c r="T119">
        <v>23</v>
      </c>
    </row>
    <row r="120" spans="1:20">
      <c r="A120" s="32">
        <v>41207</v>
      </c>
      <c r="B120" s="42">
        <v>31</v>
      </c>
      <c r="C120" s="33">
        <v>1</v>
      </c>
      <c r="D120" s="33">
        <v>0</v>
      </c>
      <c r="E120" s="33">
        <v>0</v>
      </c>
      <c r="F120" s="33">
        <v>0</v>
      </c>
      <c r="G120" s="33">
        <v>0</v>
      </c>
      <c r="H120" s="33">
        <v>1</v>
      </c>
      <c r="I120" s="33">
        <v>0</v>
      </c>
      <c r="J120" s="33">
        <v>0</v>
      </c>
      <c r="K120" s="33">
        <v>0</v>
      </c>
      <c r="L120" s="33">
        <v>0</v>
      </c>
      <c r="M120" s="33">
        <v>1</v>
      </c>
      <c r="N120" s="33">
        <v>0</v>
      </c>
      <c r="O120" s="33">
        <v>0</v>
      </c>
      <c r="P120" s="33">
        <v>0</v>
      </c>
      <c r="Q120" s="21">
        <f t="shared" si="5"/>
        <v>39</v>
      </c>
      <c r="R120">
        <f t="shared" si="6"/>
        <v>30.200614377426309</v>
      </c>
      <c r="S120">
        <f t="shared" si="7"/>
        <v>0.63901737357752797</v>
      </c>
      <c r="T120">
        <v>24</v>
      </c>
    </row>
    <row r="121" spans="1:20">
      <c r="A121" s="32">
        <v>41208</v>
      </c>
      <c r="B121" s="42">
        <v>38</v>
      </c>
      <c r="C121" s="33">
        <v>1</v>
      </c>
      <c r="D121" s="33">
        <v>0</v>
      </c>
      <c r="E121" s="33">
        <v>0</v>
      </c>
      <c r="F121" s="33">
        <v>1</v>
      </c>
      <c r="G121" s="33">
        <v>0</v>
      </c>
      <c r="H121" s="33">
        <v>2</v>
      </c>
      <c r="I121" s="33">
        <v>0</v>
      </c>
      <c r="J121" s="33">
        <v>0</v>
      </c>
      <c r="K121" s="33">
        <v>0</v>
      </c>
      <c r="L121" s="33">
        <v>0</v>
      </c>
      <c r="M121" s="33">
        <v>0</v>
      </c>
      <c r="N121" s="33">
        <v>1</v>
      </c>
      <c r="O121" s="33">
        <v>0</v>
      </c>
      <c r="P121" s="33">
        <v>0</v>
      </c>
      <c r="Q121" s="21">
        <f t="shared" si="5"/>
        <v>40</v>
      </c>
      <c r="R121">
        <f t="shared" si="6"/>
        <v>36.767034512936618</v>
      </c>
      <c r="S121">
        <f t="shared" si="7"/>
        <v>1.5202038922894421</v>
      </c>
      <c r="T121">
        <v>25</v>
      </c>
    </row>
    <row r="122" spans="1:20">
      <c r="A122" s="32">
        <v>41209</v>
      </c>
      <c r="B122" s="42">
        <v>58</v>
      </c>
      <c r="C122" s="33">
        <v>1</v>
      </c>
      <c r="D122" s="33">
        <v>0</v>
      </c>
      <c r="E122" s="33">
        <v>0</v>
      </c>
      <c r="F122" s="33">
        <v>2</v>
      </c>
      <c r="G122" s="33">
        <v>1</v>
      </c>
      <c r="H122" s="33">
        <v>6</v>
      </c>
      <c r="I122" s="33">
        <v>0</v>
      </c>
      <c r="J122" s="33">
        <v>0</v>
      </c>
      <c r="K122" s="33">
        <v>0</v>
      </c>
      <c r="L122" s="33">
        <v>0</v>
      </c>
      <c r="M122" s="33">
        <v>0</v>
      </c>
      <c r="N122" s="33">
        <v>0</v>
      </c>
      <c r="O122" s="33">
        <v>1</v>
      </c>
      <c r="P122" s="33">
        <v>0</v>
      </c>
      <c r="Q122" s="21">
        <f t="shared" si="5"/>
        <v>50</v>
      </c>
      <c r="R122">
        <f t="shared" si="6"/>
        <v>46.741809736814091</v>
      </c>
      <c r="S122">
        <f t="shared" si="7"/>
        <v>126.74684800209401</v>
      </c>
      <c r="T122">
        <v>35</v>
      </c>
    </row>
    <row r="123" spans="1:20">
      <c r="A123" s="32">
        <v>41210</v>
      </c>
      <c r="B123" s="42">
        <v>50</v>
      </c>
      <c r="C123" s="33">
        <v>1</v>
      </c>
      <c r="D123" s="33">
        <v>0</v>
      </c>
      <c r="E123" s="33">
        <v>0</v>
      </c>
      <c r="F123" s="33">
        <v>1</v>
      </c>
      <c r="G123" s="33">
        <v>1</v>
      </c>
      <c r="H123" s="33">
        <v>4</v>
      </c>
      <c r="I123" s="33">
        <v>0</v>
      </c>
      <c r="J123" s="33">
        <v>0</v>
      </c>
      <c r="K123" s="33">
        <v>0</v>
      </c>
      <c r="L123" s="33">
        <v>0</v>
      </c>
      <c r="M123" s="33">
        <v>0</v>
      </c>
      <c r="N123" s="33">
        <v>0</v>
      </c>
      <c r="O123" s="33">
        <v>0</v>
      </c>
      <c r="P123" s="33">
        <v>0</v>
      </c>
      <c r="Q123" s="21">
        <f t="shared" si="5"/>
        <v>37</v>
      </c>
      <c r="R123">
        <f t="shared" si="6"/>
        <v>32.754430902885666</v>
      </c>
      <c r="S123">
        <f t="shared" si="7"/>
        <v>297.40965348334493</v>
      </c>
      <c r="T123">
        <v>22</v>
      </c>
    </row>
    <row r="124" spans="1:20">
      <c r="A124" s="32">
        <v>41211</v>
      </c>
      <c r="B124" s="42">
        <v>50</v>
      </c>
      <c r="C124" s="33">
        <v>1</v>
      </c>
      <c r="D124" s="33">
        <v>0</v>
      </c>
      <c r="E124" s="33">
        <v>0</v>
      </c>
      <c r="F124" s="33">
        <v>1</v>
      </c>
      <c r="G124" s="33">
        <v>1</v>
      </c>
      <c r="H124" s="33">
        <v>4</v>
      </c>
      <c r="I124" s="33">
        <v>0</v>
      </c>
      <c r="J124" s="33">
        <v>1</v>
      </c>
      <c r="K124" s="33">
        <v>0</v>
      </c>
      <c r="L124" s="33">
        <v>0</v>
      </c>
      <c r="M124" s="33">
        <v>0</v>
      </c>
      <c r="N124" s="33">
        <v>0</v>
      </c>
      <c r="O124" s="33">
        <v>0</v>
      </c>
      <c r="P124" s="33">
        <v>0</v>
      </c>
      <c r="Q124" s="21">
        <f t="shared" si="5"/>
        <v>42</v>
      </c>
      <c r="R124">
        <f t="shared" si="6"/>
        <v>40.545011559332167</v>
      </c>
      <c r="S124">
        <f t="shared" si="7"/>
        <v>89.396806413162338</v>
      </c>
      <c r="T124">
        <v>27</v>
      </c>
    </row>
    <row r="125" spans="1:20">
      <c r="A125" s="32">
        <v>41212</v>
      </c>
      <c r="B125" s="42">
        <v>51</v>
      </c>
      <c r="C125" s="33">
        <v>1</v>
      </c>
      <c r="D125" s="33">
        <v>0</v>
      </c>
      <c r="E125" s="33">
        <v>0</v>
      </c>
      <c r="F125" s="33">
        <v>0</v>
      </c>
      <c r="G125" s="33">
        <v>0</v>
      </c>
      <c r="H125" s="33">
        <v>1</v>
      </c>
      <c r="I125" s="33">
        <v>0</v>
      </c>
      <c r="J125" s="33">
        <v>0</v>
      </c>
      <c r="K125" s="33">
        <v>1</v>
      </c>
      <c r="L125" s="33">
        <v>0</v>
      </c>
      <c r="M125" s="33">
        <v>0</v>
      </c>
      <c r="N125" s="33">
        <v>0</v>
      </c>
      <c r="O125" s="33">
        <v>0</v>
      </c>
      <c r="P125" s="33">
        <v>0</v>
      </c>
      <c r="Q125" s="21">
        <f t="shared" si="5"/>
        <v>36</v>
      </c>
      <c r="R125">
        <f t="shared" si="6"/>
        <v>30.239649332085715</v>
      </c>
      <c r="S125">
        <f t="shared" si="7"/>
        <v>430.99215985476906</v>
      </c>
      <c r="T125">
        <v>21</v>
      </c>
    </row>
    <row r="126" spans="1:20">
      <c r="A126" s="32">
        <v>41213</v>
      </c>
      <c r="B126" s="42">
        <v>49</v>
      </c>
      <c r="C126" s="33">
        <v>1</v>
      </c>
      <c r="D126" s="33">
        <v>0</v>
      </c>
      <c r="E126" s="33">
        <v>0</v>
      </c>
      <c r="F126" s="33">
        <v>1</v>
      </c>
      <c r="G126" s="33">
        <v>1</v>
      </c>
      <c r="H126" s="33">
        <v>4</v>
      </c>
      <c r="I126" s="33">
        <v>0</v>
      </c>
      <c r="J126" s="33">
        <v>0</v>
      </c>
      <c r="K126" s="33">
        <v>0</v>
      </c>
      <c r="L126" s="33">
        <v>1</v>
      </c>
      <c r="M126" s="33">
        <v>0</v>
      </c>
      <c r="N126" s="33">
        <v>0</v>
      </c>
      <c r="O126" s="33">
        <v>0</v>
      </c>
      <c r="P126" s="33">
        <v>0</v>
      </c>
      <c r="Q126" s="21">
        <f t="shared" si="5"/>
        <v>36</v>
      </c>
      <c r="R126">
        <f t="shared" si="6"/>
        <v>36.703944799355611</v>
      </c>
      <c r="S126">
        <f t="shared" si="7"/>
        <v>151.19297349729393</v>
      </c>
      <c r="T126">
        <v>21</v>
      </c>
    </row>
    <row r="127" spans="1:20">
      <c r="A127" s="32">
        <v>41214</v>
      </c>
      <c r="B127" s="42">
        <v>34</v>
      </c>
      <c r="C127" s="33">
        <v>1</v>
      </c>
      <c r="D127" s="33">
        <v>0</v>
      </c>
      <c r="E127" s="33">
        <v>0</v>
      </c>
      <c r="F127" s="33">
        <v>0</v>
      </c>
      <c r="G127" s="33">
        <v>0</v>
      </c>
      <c r="H127" s="33">
        <v>1</v>
      </c>
      <c r="I127" s="33">
        <v>0</v>
      </c>
      <c r="J127" s="33">
        <v>0</v>
      </c>
      <c r="K127" s="33">
        <v>0</v>
      </c>
      <c r="L127" s="33">
        <v>0</v>
      </c>
      <c r="M127" s="33">
        <v>1</v>
      </c>
      <c r="N127" s="33">
        <v>0</v>
      </c>
      <c r="O127" s="33">
        <v>0</v>
      </c>
      <c r="P127" s="33">
        <v>0</v>
      </c>
      <c r="Q127" s="21">
        <f t="shared" si="5"/>
        <v>37</v>
      </c>
      <c r="R127">
        <f t="shared" si="6"/>
        <v>29.050362838739176</v>
      </c>
      <c r="S127">
        <f t="shared" si="7"/>
        <v>24.49890802813411</v>
      </c>
      <c r="T127">
        <v>22</v>
      </c>
    </row>
    <row r="128" spans="1:20">
      <c r="A128" s="32">
        <v>41215</v>
      </c>
      <c r="B128" s="42">
        <v>27</v>
      </c>
      <c r="C128" s="33">
        <v>1</v>
      </c>
      <c r="D128" s="33">
        <v>0</v>
      </c>
      <c r="E128" s="33">
        <v>0</v>
      </c>
      <c r="F128" s="33">
        <v>0</v>
      </c>
      <c r="G128" s="33">
        <v>0</v>
      </c>
      <c r="H128" s="33">
        <v>1</v>
      </c>
      <c r="I128" s="33">
        <v>0</v>
      </c>
      <c r="J128" s="33">
        <v>0</v>
      </c>
      <c r="K128" s="33">
        <v>0</v>
      </c>
      <c r="L128" s="33">
        <v>0</v>
      </c>
      <c r="M128" s="33">
        <v>0</v>
      </c>
      <c r="N128" s="33">
        <v>1</v>
      </c>
      <c r="O128" s="33">
        <v>0</v>
      </c>
      <c r="P128" s="33">
        <v>0</v>
      </c>
      <c r="Q128" s="21">
        <f t="shared" si="5"/>
        <v>37</v>
      </c>
      <c r="R128">
        <f t="shared" si="6"/>
        <v>30.477794730866343</v>
      </c>
      <c r="S128">
        <f t="shared" si="7"/>
        <v>12.095056190041698</v>
      </c>
      <c r="T128">
        <v>22</v>
      </c>
    </row>
    <row r="129" spans="1:20">
      <c r="A129" s="32">
        <v>41216</v>
      </c>
      <c r="B129" s="42">
        <v>43</v>
      </c>
      <c r="C129" s="33">
        <v>1</v>
      </c>
      <c r="D129" s="33">
        <v>0</v>
      </c>
      <c r="E129" s="33">
        <v>0</v>
      </c>
      <c r="F129" s="33">
        <v>2</v>
      </c>
      <c r="G129" s="33">
        <v>1</v>
      </c>
      <c r="H129" s="33">
        <v>6</v>
      </c>
      <c r="I129" s="33">
        <v>1</v>
      </c>
      <c r="J129" s="33">
        <v>0</v>
      </c>
      <c r="K129" s="33">
        <v>0</v>
      </c>
      <c r="L129" s="33">
        <v>0</v>
      </c>
      <c r="M129" s="33">
        <v>0</v>
      </c>
      <c r="N129" s="33">
        <v>0</v>
      </c>
      <c r="O129" s="33">
        <v>1</v>
      </c>
      <c r="P129" s="33">
        <v>0</v>
      </c>
      <c r="Q129" s="21">
        <f t="shared" si="5"/>
        <v>43</v>
      </c>
      <c r="R129">
        <f t="shared" si="6"/>
        <v>41.749798701755481</v>
      </c>
      <c r="S129">
        <f t="shared" si="7"/>
        <v>1.5630032861322818</v>
      </c>
      <c r="T129">
        <v>28</v>
      </c>
    </row>
    <row r="130" spans="1:20">
      <c r="A130" s="32">
        <v>41217</v>
      </c>
      <c r="B130" s="42">
        <v>35</v>
      </c>
      <c r="C130" s="33">
        <v>1</v>
      </c>
      <c r="D130" s="33">
        <v>0</v>
      </c>
      <c r="E130" s="33">
        <v>0</v>
      </c>
      <c r="F130" s="33">
        <v>1</v>
      </c>
      <c r="G130" s="33">
        <v>1</v>
      </c>
      <c r="H130" s="33">
        <v>4</v>
      </c>
      <c r="I130" s="33">
        <v>0</v>
      </c>
      <c r="J130" s="33">
        <v>0</v>
      </c>
      <c r="K130" s="33">
        <v>0</v>
      </c>
      <c r="L130" s="33">
        <v>0</v>
      </c>
      <c r="M130" s="33">
        <v>0</v>
      </c>
      <c r="N130" s="33">
        <v>0</v>
      </c>
      <c r="O130" s="33">
        <v>0</v>
      </c>
      <c r="P130" s="33">
        <v>0</v>
      </c>
      <c r="Q130" s="21">
        <f t="shared" si="5"/>
        <v>25</v>
      </c>
      <c r="R130">
        <f t="shared" si="6"/>
        <v>25.852921670762861</v>
      </c>
      <c r="S130">
        <f t="shared" si="7"/>
        <v>83.669041961199696</v>
      </c>
      <c r="T130">
        <v>10</v>
      </c>
    </row>
    <row r="131" spans="1:20">
      <c r="A131" s="32">
        <v>41218</v>
      </c>
      <c r="B131" s="42">
        <v>25</v>
      </c>
      <c r="C131" s="33">
        <v>1</v>
      </c>
      <c r="D131" s="33">
        <v>0</v>
      </c>
      <c r="E131" s="33">
        <v>0</v>
      </c>
      <c r="F131" s="33">
        <v>0</v>
      </c>
      <c r="G131" s="33">
        <v>0</v>
      </c>
      <c r="H131" s="33">
        <v>1</v>
      </c>
      <c r="I131" s="33">
        <v>0</v>
      </c>
      <c r="J131" s="33">
        <v>1</v>
      </c>
      <c r="K131" s="33">
        <v>0</v>
      </c>
      <c r="L131" s="33">
        <v>0</v>
      </c>
      <c r="M131" s="33">
        <v>0</v>
      </c>
      <c r="N131" s="33">
        <v>0</v>
      </c>
      <c r="O131" s="33">
        <v>0</v>
      </c>
      <c r="P131" s="33">
        <v>0</v>
      </c>
      <c r="Q131" s="21">
        <f t="shared" si="5"/>
        <v>29</v>
      </c>
      <c r="R131">
        <f t="shared" si="6"/>
        <v>26.205174806798194</v>
      </c>
      <c r="S131">
        <f t="shared" si="7"/>
        <v>1.4524463149410642</v>
      </c>
      <c r="T131">
        <v>14</v>
      </c>
    </row>
    <row r="132" spans="1:20">
      <c r="A132" s="32">
        <v>41219</v>
      </c>
      <c r="B132" s="42">
        <v>26</v>
      </c>
      <c r="C132" s="33">
        <v>1</v>
      </c>
      <c r="D132" s="33">
        <v>0</v>
      </c>
      <c r="E132" s="33">
        <v>0</v>
      </c>
      <c r="F132" s="33">
        <v>0</v>
      </c>
      <c r="G132" s="33">
        <v>0</v>
      </c>
      <c r="H132" s="33">
        <v>1</v>
      </c>
      <c r="I132" s="33">
        <v>0</v>
      </c>
      <c r="J132" s="33">
        <v>0</v>
      </c>
      <c r="K132" s="33">
        <v>1</v>
      </c>
      <c r="L132" s="33">
        <v>0</v>
      </c>
      <c r="M132" s="33">
        <v>0</v>
      </c>
      <c r="N132" s="33">
        <v>0</v>
      </c>
      <c r="O132" s="33">
        <v>0</v>
      </c>
      <c r="P132" s="33">
        <v>0</v>
      </c>
      <c r="Q132" s="21">
        <f t="shared" si="5"/>
        <v>32</v>
      </c>
      <c r="R132">
        <f t="shared" si="6"/>
        <v>27.939146254711449</v>
      </c>
      <c r="S132">
        <f t="shared" si="7"/>
        <v>3.760288197161441</v>
      </c>
      <c r="T132">
        <v>17</v>
      </c>
    </row>
    <row r="133" spans="1:20">
      <c r="A133" s="32">
        <v>41220</v>
      </c>
      <c r="B133" s="42">
        <v>21</v>
      </c>
      <c r="C133" s="33">
        <v>1</v>
      </c>
      <c r="D133" s="33">
        <v>0</v>
      </c>
      <c r="E133" s="33">
        <v>0</v>
      </c>
      <c r="F133" s="33">
        <v>0</v>
      </c>
      <c r="G133" s="33">
        <v>0</v>
      </c>
      <c r="H133" s="33">
        <v>1</v>
      </c>
      <c r="I133" s="33">
        <v>0</v>
      </c>
      <c r="J133" s="33">
        <v>0</v>
      </c>
      <c r="K133" s="33">
        <v>0</v>
      </c>
      <c r="L133" s="33">
        <v>1</v>
      </c>
      <c r="M133" s="33">
        <v>0</v>
      </c>
      <c r="N133" s="33">
        <v>0</v>
      </c>
      <c r="O133" s="33">
        <v>0</v>
      </c>
      <c r="P133" s="33">
        <v>0</v>
      </c>
      <c r="Q133" s="21">
        <f t="shared" ref="Q133:Q196" si="8">T133+15</f>
        <v>26</v>
      </c>
      <c r="R133">
        <f t="shared" ref="R133:R196" si="9">SUMPRODUCT($C$2:$Q$2,C133:Q133)</f>
        <v>24.089485354852346</v>
      </c>
      <c r="S133">
        <f t="shared" ref="S133:S196" si="10">(R133-B133)^2</f>
        <v>9.5449197578471292</v>
      </c>
      <c r="T133">
        <v>11</v>
      </c>
    </row>
    <row r="134" spans="1:20">
      <c r="A134" s="32">
        <v>41221</v>
      </c>
      <c r="B134" s="42">
        <v>14</v>
      </c>
      <c r="C134" s="33">
        <v>1</v>
      </c>
      <c r="D134" s="33">
        <v>0</v>
      </c>
      <c r="E134" s="33">
        <v>0</v>
      </c>
      <c r="F134" s="33">
        <v>0</v>
      </c>
      <c r="G134" s="33">
        <v>0</v>
      </c>
      <c r="H134" s="33">
        <v>1</v>
      </c>
      <c r="I134" s="33">
        <v>0</v>
      </c>
      <c r="J134" s="33">
        <v>0</v>
      </c>
      <c r="K134" s="33">
        <v>0</v>
      </c>
      <c r="L134" s="33">
        <v>0</v>
      </c>
      <c r="M134" s="33">
        <v>1</v>
      </c>
      <c r="N134" s="33">
        <v>0</v>
      </c>
      <c r="O134" s="33">
        <v>0</v>
      </c>
      <c r="P134" s="33">
        <v>0</v>
      </c>
      <c r="Q134" s="21">
        <f t="shared" si="8"/>
        <v>27</v>
      </c>
      <c r="R134">
        <f t="shared" si="9"/>
        <v>23.299105145303507</v>
      </c>
      <c r="S134">
        <f t="shared" si="10"/>
        <v>86.473356503410159</v>
      </c>
      <c r="T134">
        <v>12</v>
      </c>
    </row>
    <row r="135" spans="1:20">
      <c r="A135" s="32">
        <v>41222</v>
      </c>
      <c r="B135" s="42">
        <v>27</v>
      </c>
      <c r="C135" s="33">
        <v>1</v>
      </c>
      <c r="D135" s="33">
        <v>0</v>
      </c>
      <c r="E135" s="33">
        <v>0</v>
      </c>
      <c r="F135" s="33">
        <v>0</v>
      </c>
      <c r="G135" s="33">
        <v>0</v>
      </c>
      <c r="H135" s="33">
        <v>1</v>
      </c>
      <c r="I135" s="33">
        <v>0</v>
      </c>
      <c r="J135" s="33">
        <v>0</v>
      </c>
      <c r="K135" s="33">
        <v>0</v>
      </c>
      <c r="L135" s="33">
        <v>0</v>
      </c>
      <c r="M135" s="33">
        <v>0</v>
      </c>
      <c r="N135" s="33">
        <v>1</v>
      </c>
      <c r="O135" s="33">
        <v>0</v>
      </c>
      <c r="P135" s="33">
        <v>0</v>
      </c>
      <c r="Q135" s="21">
        <f t="shared" si="8"/>
        <v>40</v>
      </c>
      <c r="R135">
        <f t="shared" si="9"/>
        <v>32.203172038897044</v>
      </c>
      <c r="S135">
        <f t="shared" si="10"/>
        <v>27.072999266360025</v>
      </c>
      <c r="T135">
        <v>25</v>
      </c>
    </row>
    <row r="136" spans="1:20">
      <c r="A136" s="32">
        <v>41223</v>
      </c>
      <c r="B136" s="42">
        <v>37</v>
      </c>
      <c r="C136" s="33">
        <v>1</v>
      </c>
      <c r="D136" s="33">
        <v>0</v>
      </c>
      <c r="E136" s="33">
        <v>0</v>
      </c>
      <c r="F136" s="33">
        <v>1</v>
      </c>
      <c r="G136" s="33">
        <v>1</v>
      </c>
      <c r="H136" s="33">
        <v>4</v>
      </c>
      <c r="I136" s="33">
        <v>0</v>
      </c>
      <c r="J136" s="33">
        <v>0</v>
      </c>
      <c r="K136" s="33">
        <v>0</v>
      </c>
      <c r="L136" s="33">
        <v>0</v>
      </c>
      <c r="M136" s="33">
        <v>0</v>
      </c>
      <c r="N136" s="33">
        <v>0</v>
      </c>
      <c r="O136" s="33">
        <v>1</v>
      </c>
      <c r="P136" s="33">
        <v>0</v>
      </c>
      <c r="Q136" s="21">
        <f t="shared" si="8"/>
        <v>42</v>
      </c>
      <c r="R136">
        <f t="shared" si="9"/>
        <v>38.330986010685805</v>
      </c>
      <c r="S136">
        <f t="shared" si="10"/>
        <v>1.7715237606413148</v>
      </c>
      <c r="T136">
        <v>27</v>
      </c>
    </row>
    <row r="137" spans="1:20">
      <c r="A137" s="32">
        <v>41224</v>
      </c>
      <c r="B137" s="42">
        <v>26</v>
      </c>
      <c r="C137" s="33">
        <v>1</v>
      </c>
      <c r="D137" s="33">
        <v>0</v>
      </c>
      <c r="E137" s="33">
        <v>0</v>
      </c>
      <c r="F137" s="33">
        <v>0</v>
      </c>
      <c r="G137" s="33">
        <v>0</v>
      </c>
      <c r="H137" s="33">
        <v>1</v>
      </c>
      <c r="I137" s="33">
        <v>0</v>
      </c>
      <c r="J137" s="33">
        <v>0</v>
      </c>
      <c r="K137" s="33">
        <v>0</v>
      </c>
      <c r="L137" s="33">
        <v>0</v>
      </c>
      <c r="M137" s="33">
        <v>0</v>
      </c>
      <c r="N137" s="33">
        <v>0</v>
      </c>
      <c r="O137" s="33">
        <v>0</v>
      </c>
      <c r="P137" s="33">
        <v>0</v>
      </c>
      <c r="Q137" s="21">
        <f t="shared" si="8"/>
        <v>36</v>
      </c>
      <c r="R137">
        <f t="shared" si="9"/>
        <v>25.316103382474498</v>
      </c>
      <c r="S137">
        <f t="shared" si="10"/>
        <v>0.46771458346282235</v>
      </c>
      <c r="T137">
        <v>21</v>
      </c>
    </row>
    <row r="138" spans="1:20">
      <c r="A138" s="32">
        <v>41225</v>
      </c>
      <c r="B138" s="42">
        <v>21</v>
      </c>
      <c r="C138" s="33">
        <v>1</v>
      </c>
      <c r="D138" s="33">
        <v>0</v>
      </c>
      <c r="E138" s="33">
        <v>0</v>
      </c>
      <c r="F138" s="33">
        <v>0</v>
      </c>
      <c r="G138" s="33">
        <v>0</v>
      </c>
      <c r="H138" s="33">
        <v>1</v>
      </c>
      <c r="I138" s="33">
        <v>0</v>
      </c>
      <c r="J138" s="33">
        <v>1</v>
      </c>
      <c r="K138" s="33">
        <v>0</v>
      </c>
      <c r="L138" s="33">
        <v>0</v>
      </c>
      <c r="M138" s="33">
        <v>0</v>
      </c>
      <c r="N138" s="33">
        <v>0</v>
      </c>
      <c r="O138" s="33">
        <v>0</v>
      </c>
      <c r="P138" s="33">
        <v>0</v>
      </c>
      <c r="Q138" s="21">
        <f t="shared" si="8"/>
        <v>28</v>
      </c>
      <c r="R138">
        <f t="shared" si="9"/>
        <v>25.630049037454629</v>
      </c>
      <c r="S138">
        <f t="shared" si="10"/>
        <v>21.437354089234539</v>
      </c>
      <c r="T138">
        <v>13</v>
      </c>
    </row>
    <row r="139" spans="1:20">
      <c r="A139" s="32">
        <v>41226</v>
      </c>
      <c r="B139" s="42">
        <v>22</v>
      </c>
      <c r="C139" s="33">
        <v>1</v>
      </c>
      <c r="D139" s="33">
        <v>0</v>
      </c>
      <c r="E139" s="33">
        <v>0</v>
      </c>
      <c r="F139" s="33">
        <v>0</v>
      </c>
      <c r="G139" s="33">
        <v>0</v>
      </c>
      <c r="H139" s="33">
        <v>1</v>
      </c>
      <c r="I139" s="33">
        <v>0</v>
      </c>
      <c r="J139" s="33">
        <v>0</v>
      </c>
      <c r="K139" s="33">
        <v>1</v>
      </c>
      <c r="L139" s="33">
        <v>0</v>
      </c>
      <c r="M139" s="33">
        <v>0</v>
      </c>
      <c r="N139" s="33">
        <v>0</v>
      </c>
      <c r="O139" s="33">
        <v>0</v>
      </c>
      <c r="P139" s="33">
        <v>0</v>
      </c>
      <c r="Q139" s="21">
        <f t="shared" si="8"/>
        <v>26</v>
      </c>
      <c r="R139">
        <f t="shared" si="9"/>
        <v>24.488391638650047</v>
      </c>
      <c r="S139">
        <f t="shared" si="10"/>
        <v>6.1920929473034647</v>
      </c>
      <c r="T139">
        <v>11</v>
      </c>
    </row>
    <row r="140" spans="1:20">
      <c r="A140" s="32">
        <v>41227</v>
      </c>
      <c r="B140" s="42">
        <v>12</v>
      </c>
      <c r="C140" s="33">
        <v>1</v>
      </c>
      <c r="D140" s="33">
        <v>0</v>
      </c>
      <c r="E140" s="33">
        <v>0</v>
      </c>
      <c r="F140" s="33">
        <v>0</v>
      </c>
      <c r="G140" s="33">
        <v>0</v>
      </c>
      <c r="H140" s="33">
        <v>1</v>
      </c>
      <c r="I140" s="33">
        <v>0</v>
      </c>
      <c r="J140" s="33">
        <v>0</v>
      </c>
      <c r="K140" s="33">
        <v>0</v>
      </c>
      <c r="L140" s="33">
        <v>1</v>
      </c>
      <c r="M140" s="33">
        <v>0</v>
      </c>
      <c r="N140" s="33">
        <v>0</v>
      </c>
      <c r="O140" s="33">
        <v>0</v>
      </c>
      <c r="P140" s="33">
        <v>0</v>
      </c>
      <c r="Q140" s="21">
        <f t="shared" si="8"/>
        <v>34</v>
      </c>
      <c r="R140">
        <f t="shared" si="9"/>
        <v>28.690491509600882</v>
      </c>
      <c r="S140">
        <f t="shared" si="10"/>
        <v>278.5725068320591</v>
      </c>
      <c r="T140">
        <v>19</v>
      </c>
    </row>
    <row r="141" spans="1:20">
      <c r="A141" s="32">
        <v>41228</v>
      </c>
      <c r="B141" s="42">
        <v>33</v>
      </c>
      <c r="C141" s="33">
        <v>1</v>
      </c>
      <c r="D141" s="33">
        <v>0</v>
      </c>
      <c r="E141" s="33">
        <v>0</v>
      </c>
      <c r="F141" s="33">
        <v>0</v>
      </c>
      <c r="G141" s="33">
        <v>0</v>
      </c>
      <c r="H141" s="33">
        <v>1</v>
      </c>
      <c r="I141" s="33">
        <v>0</v>
      </c>
      <c r="J141" s="33">
        <v>0</v>
      </c>
      <c r="K141" s="33">
        <v>0</v>
      </c>
      <c r="L141" s="33">
        <v>0</v>
      </c>
      <c r="M141" s="33">
        <v>1</v>
      </c>
      <c r="N141" s="33">
        <v>0</v>
      </c>
      <c r="O141" s="33">
        <v>0</v>
      </c>
      <c r="P141" s="33">
        <v>0</v>
      </c>
      <c r="Q141" s="21">
        <f t="shared" si="8"/>
        <v>26</v>
      </c>
      <c r="R141">
        <f t="shared" si="9"/>
        <v>22.723979375959939</v>
      </c>
      <c r="S141">
        <f t="shared" si="10"/>
        <v>105.59659986569669</v>
      </c>
      <c r="T141">
        <v>11</v>
      </c>
    </row>
    <row r="142" spans="1:20">
      <c r="A142" s="32">
        <v>41229</v>
      </c>
      <c r="B142" s="42">
        <v>26</v>
      </c>
      <c r="C142" s="33">
        <v>1</v>
      </c>
      <c r="D142" s="33">
        <v>0</v>
      </c>
      <c r="E142" s="33">
        <v>0</v>
      </c>
      <c r="F142" s="33">
        <v>0</v>
      </c>
      <c r="G142" s="33">
        <v>0</v>
      </c>
      <c r="H142" s="33">
        <v>1</v>
      </c>
      <c r="I142" s="33">
        <v>0</v>
      </c>
      <c r="J142" s="33">
        <v>0</v>
      </c>
      <c r="K142" s="33">
        <v>0</v>
      </c>
      <c r="L142" s="33">
        <v>0</v>
      </c>
      <c r="M142" s="33">
        <v>0</v>
      </c>
      <c r="N142" s="33">
        <v>1</v>
      </c>
      <c r="O142" s="33">
        <v>0</v>
      </c>
      <c r="P142" s="33">
        <v>0</v>
      </c>
      <c r="Q142" s="21">
        <f t="shared" si="8"/>
        <v>26</v>
      </c>
      <c r="R142">
        <f t="shared" si="9"/>
        <v>24.151411268087106</v>
      </c>
      <c r="S142">
        <f t="shared" si="10"/>
        <v>3.4172802997553222</v>
      </c>
      <c r="T142">
        <v>11</v>
      </c>
    </row>
    <row r="143" spans="1:20">
      <c r="A143" s="32">
        <v>41230</v>
      </c>
      <c r="B143" s="42">
        <v>38</v>
      </c>
      <c r="C143" s="33">
        <v>1</v>
      </c>
      <c r="D143" s="33">
        <v>0</v>
      </c>
      <c r="E143" s="33">
        <v>0</v>
      </c>
      <c r="F143" s="33">
        <v>1</v>
      </c>
      <c r="G143" s="33">
        <v>1</v>
      </c>
      <c r="H143" s="33">
        <v>4</v>
      </c>
      <c r="I143" s="33">
        <v>0</v>
      </c>
      <c r="J143" s="33">
        <v>0</v>
      </c>
      <c r="K143" s="33">
        <v>0</v>
      </c>
      <c r="L143" s="33">
        <v>0</v>
      </c>
      <c r="M143" s="33">
        <v>0</v>
      </c>
      <c r="N143" s="33">
        <v>0</v>
      </c>
      <c r="O143" s="33">
        <v>1</v>
      </c>
      <c r="P143" s="33">
        <v>0</v>
      </c>
      <c r="Q143" s="21">
        <f t="shared" si="8"/>
        <v>30</v>
      </c>
      <c r="R143">
        <f t="shared" si="9"/>
        <v>31.429476778563007</v>
      </c>
      <c r="S143">
        <f t="shared" si="10"/>
        <v>43.171775403442759</v>
      </c>
      <c r="T143">
        <v>15</v>
      </c>
    </row>
    <row r="144" spans="1:20">
      <c r="A144" s="32">
        <v>41231</v>
      </c>
      <c r="B144" s="42">
        <v>39</v>
      </c>
      <c r="C144" s="33">
        <v>1</v>
      </c>
      <c r="D144" s="33">
        <v>0</v>
      </c>
      <c r="E144" s="33">
        <v>0</v>
      </c>
      <c r="F144" s="33">
        <v>1</v>
      </c>
      <c r="G144" s="33">
        <v>0</v>
      </c>
      <c r="H144" s="33">
        <v>2</v>
      </c>
      <c r="I144" s="33">
        <v>0</v>
      </c>
      <c r="J144" s="33">
        <v>0</v>
      </c>
      <c r="K144" s="33">
        <v>0</v>
      </c>
      <c r="L144" s="33">
        <v>0</v>
      </c>
      <c r="M144" s="33">
        <v>0</v>
      </c>
      <c r="N144" s="33">
        <v>0</v>
      </c>
      <c r="O144" s="33">
        <v>0</v>
      </c>
      <c r="P144" s="33">
        <v>0</v>
      </c>
      <c r="Q144" s="21">
        <f t="shared" si="8"/>
        <v>44</v>
      </c>
      <c r="R144">
        <f t="shared" si="9"/>
        <v>34.480972011262615</v>
      </c>
      <c r="S144">
        <f t="shared" si="10"/>
        <v>20.421613962991852</v>
      </c>
      <c r="T144">
        <v>29</v>
      </c>
    </row>
    <row r="145" spans="1:20">
      <c r="A145" s="32">
        <v>41232</v>
      </c>
      <c r="B145" s="42">
        <v>25</v>
      </c>
      <c r="C145" s="33">
        <v>1</v>
      </c>
      <c r="D145" s="33">
        <v>0</v>
      </c>
      <c r="E145" s="33">
        <v>0</v>
      </c>
      <c r="F145" s="33">
        <v>0</v>
      </c>
      <c r="G145" s="33">
        <v>0</v>
      </c>
      <c r="H145" s="33">
        <v>1</v>
      </c>
      <c r="I145" s="33">
        <v>0</v>
      </c>
      <c r="J145" s="33">
        <v>1</v>
      </c>
      <c r="K145" s="33">
        <v>0</v>
      </c>
      <c r="L145" s="33">
        <v>0</v>
      </c>
      <c r="M145" s="33">
        <v>0</v>
      </c>
      <c r="N145" s="33">
        <v>0</v>
      </c>
      <c r="O145" s="33">
        <v>0</v>
      </c>
      <c r="P145" s="33">
        <v>0</v>
      </c>
      <c r="Q145" s="21">
        <f t="shared" si="8"/>
        <v>33</v>
      </c>
      <c r="R145">
        <f t="shared" si="9"/>
        <v>28.505677884172464</v>
      </c>
      <c r="S145">
        <f t="shared" si="10"/>
        <v>12.28977742757592</v>
      </c>
      <c r="T145">
        <v>18</v>
      </c>
    </row>
    <row r="146" spans="1:20">
      <c r="A146" s="32">
        <v>41233</v>
      </c>
      <c r="B146" s="42">
        <v>28</v>
      </c>
      <c r="C146" s="33">
        <v>1</v>
      </c>
      <c r="D146" s="33">
        <v>0</v>
      </c>
      <c r="E146" s="33">
        <v>0</v>
      </c>
      <c r="F146" s="33">
        <v>0</v>
      </c>
      <c r="G146" s="33">
        <v>0</v>
      </c>
      <c r="H146" s="33">
        <v>1</v>
      </c>
      <c r="I146" s="33">
        <v>0</v>
      </c>
      <c r="J146" s="33">
        <v>0</v>
      </c>
      <c r="K146" s="33">
        <v>1</v>
      </c>
      <c r="L146" s="33">
        <v>0</v>
      </c>
      <c r="M146" s="33">
        <v>0</v>
      </c>
      <c r="N146" s="33">
        <v>0</v>
      </c>
      <c r="O146" s="33">
        <v>0</v>
      </c>
      <c r="P146" s="33">
        <v>0</v>
      </c>
      <c r="Q146" s="21">
        <f t="shared" si="8"/>
        <v>29</v>
      </c>
      <c r="R146">
        <f t="shared" si="9"/>
        <v>26.213768946680748</v>
      </c>
      <c r="S146">
        <f t="shared" si="10"/>
        <v>3.1906213758420048</v>
      </c>
      <c r="T146">
        <v>14</v>
      </c>
    </row>
    <row r="147" spans="1:20">
      <c r="A147" s="32">
        <v>41234</v>
      </c>
      <c r="B147" s="42">
        <v>38</v>
      </c>
      <c r="C147" s="33">
        <v>1</v>
      </c>
      <c r="D147" s="33">
        <v>0</v>
      </c>
      <c r="E147" s="33">
        <v>0</v>
      </c>
      <c r="F147" s="33">
        <v>0</v>
      </c>
      <c r="G147" s="33">
        <v>0</v>
      </c>
      <c r="H147" s="33">
        <v>1</v>
      </c>
      <c r="I147" s="33">
        <v>0</v>
      </c>
      <c r="J147" s="33">
        <v>0</v>
      </c>
      <c r="K147" s="33">
        <v>0</v>
      </c>
      <c r="L147" s="33">
        <v>1</v>
      </c>
      <c r="M147" s="33">
        <v>0</v>
      </c>
      <c r="N147" s="33">
        <v>0</v>
      </c>
      <c r="O147" s="33">
        <v>0</v>
      </c>
      <c r="P147" s="33">
        <v>0</v>
      </c>
      <c r="Q147" s="21">
        <f t="shared" si="8"/>
        <v>27</v>
      </c>
      <c r="R147">
        <f t="shared" si="9"/>
        <v>24.664611124195915</v>
      </c>
      <c r="S147">
        <f t="shared" si="10"/>
        <v>177.83259646891935</v>
      </c>
      <c r="T147">
        <v>12</v>
      </c>
    </row>
    <row r="148" spans="1:20">
      <c r="A148" s="32">
        <v>41235</v>
      </c>
      <c r="B148" s="42">
        <v>45</v>
      </c>
      <c r="C148" s="33">
        <v>1</v>
      </c>
      <c r="D148" s="33">
        <v>0</v>
      </c>
      <c r="E148" s="33">
        <v>0</v>
      </c>
      <c r="F148" s="33">
        <v>0</v>
      </c>
      <c r="G148" s="33">
        <v>0</v>
      </c>
      <c r="H148" s="33">
        <v>1</v>
      </c>
      <c r="I148" s="33">
        <v>0</v>
      </c>
      <c r="J148" s="33">
        <v>0</v>
      </c>
      <c r="K148" s="33">
        <v>0</v>
      </c>
      <c r="L148" s="33">
        <v>0</v>
      </c>
      <c r="M148" s="33">
        <v>1</v>
      </c>
      <c r="N148" s="33">
        <v>0</v>
      </c>
      <c r="O148" s="33">
        <v>0</v>
      </c>
      <c r="P148" s="33">
        <v>0</v>
      </c>
      <c r="Q148" s="21">
        <f t="shared" si="8"/>
        <v>36</v>
      </c>
      <c r="R148">
        <f t="shared" si="9"/>
        <v>28.475237069395607</v>
      </c>
      <c r="S148">
        <f t="shared" si="10"/>
        <v>273.06778991267709</v>
      </c>
      <c r="T148">
        <v>21</v>
      </c>
    </row>
    <row r="149" spans="1:20">
      <c r="A149" s="32">
        <v>41236</v>
      </c>
      <c r="B149" s="42">
        <v>49</v>
      </c>
      <c r="C149" s="33">
        <v>1</v>
      </c>
      <c r="D149" s="33">
        <v>0</v>
      </c>
      <c r="E149" s="33">
        <v>0</v>
      </c>
      <c r="F149" s="33">
        <v>2</v>
      </c>
      <c r="G149" s="33">
        <v>1</v>
      </c>
      <c r="H149" s="33">
        <v>6</v>
      </c>
      <c r="I149" s="33">
        <v>1</v>
      </c>
      <c r="J149" s="33">
        <v>0</v>
      </c>
      <c r="K149" s="33">
        <v>0</v>
      </c>
      <c r="L149" s="33">
        <v>0</v>
      </c>
      <c r="M149" s="33">
        <v>0</v>
      </c>
      <c r="N149" s="33">
        <v>1</v>
      </c>
      <c r="O149" s="33">
        <v>0</v>
      </c>
      <c r="P149" s="33">
        <v>0</v>
      </c>
      <c r="Q149" s="21">
        <f t="shared" si="8"/>
        <v>45</v>
      </c>
      <c r="R149">
        <f t="shared" si="9"/>
        <v>44.785689558408585</v>
      </c>
      <c r="S149">
        <f t="shared" si="10"/>
        <v>17.76041249810643</v>
      </c>
      <c r="T149">
        <v>30</v>
      </c>
    </row>
    <row r="150" spans="1:20">
      <c r="A150" s="32">
        <v>41237</v>
      </c>
      <c r="B150" s="42">
        <v>42</v>
      </c>
      <c r="C150" s="33">
        <v>1</v>
      </c>
      <c r="D150" s="33">
        <v>0</v>
      </c>
      <c r="E150" s="33">
        <v>0</v>
      </c>
      <c r="F150" s="33">
        <v>2</v>
      </c>
      <c r="G150" s="33">
        <v>1</v>
      </c>
      <c r="H150" s="33">
        <v>6</v>
      </c>
      <c r="I150" s="33">
        <v>0</v>
      </c>
      <c r="J150" s="33">
        <v>0</v>
      </c>
      <c r="K150" s="33">
        <v>0</v>
      </c>
      <c r="L150" s="33">
        <v>0</v>
      </c>
      <c r="M150" s="33">
        <v>0</v>
      </c>
      <c r="N150" s="33">
        <v>0</v>
      </c>
      <c r="O150" s="33">
        <v>1</v>
      </c>
      <c r="P150" s="33">
        <v>0</v>
      </c>
      <c r="Q150" s="21">
        <f t="shared" si="8"/>
        <v>46</v>
      </c>
      <c r="R150">
        <f t="shared" si="9"/>
        <v>44.441306659439832</v>
      </c>
      <c r="S150">
        <f t="shared" si="10"/>
        <v>5.9599782054252701</v>
      </c>
      <c r="T150">
        <v>31</v>
      </c>
    </row>
    <row r="151" spans="1:20">
      <c r="A151" s="32">
        <v>41238</v>
      </c>
      <c r="B151" s="42">
        <v>46</v>
      </c>
      <c r="C151" s="33">
        <v>1</v>
      </c>
      <c r="D151" s="33">
        <v>0</v>
      </c>
      <c r="E151" s="33">
        <v>0</v>
      </c>
      <c r="F151" s="33">
        <v>1</v>
      </c>
      <c r="G151" s="33">
        <v>1</v>
      </c>
      <c r="H151" s="33">
        <v>4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>
        <v>0</v>
      </c>
      <c r="O151" s="33">
        <v>0</v>
      </c>
      <c r="P151" s="33">
        <v>0</v>
      </c>
      <c r="Q151" s="21">
        <f t="shared" si="8"/>
        <v>47</v>
      </c>
      <c r="R151">
        <f t="shared" si="9"/>
        <v>38.505688596321335</v>
      </c>
      <c r="S151">
        <f t="shared" si="10"/>
        <v>56.16470341530809</v>
      </c>
      <c r="T151">
        <v>32</v>
      </c>
    </row>
    <row r="152" spans="1:20">
      <c r="A152" s="32">
        <v>41239</v>
      </c>
      <c r="B152" s="42">
        <v>40</v>
      </c>
      <c r="C152" s="33">
        <v>1</v>
      </c>
      <c r="D152" s="33">
        <v>0</v>
      </c>
      <c r="E152" s="33">
        <v>0</v>
      </c>
      <c r="F152" s="33">
        <v>0</v>
      </c>
      <c r="G152" s="33">
        <v>0</v>
      </c>
      <c r="H152" s="33">
        <v>1</v>
      </c>
      <c r="I152" s="33">
        <v>0</v>
      </c>
      <c r="J152" s="33">
        <v>1</v>
      </c>
      <c r="K152" s="33">
        <v>0</v>
      </c>
      <c r="L152" s="33">
        <v>0</v>
      </c>
      <c r="M152" s="33">
        <v>0</v>
      </c>
      <c r="N152" s="33">
        <v>0</v>
      </c>
      <c r="O152" s="33">
        <v>0</v>
      </c>
      <c r="P152" s="33">
        <v>0</v>
      </c>
      <c r="Q152" s="21">
        <f t="shared" si="8"/>
        <v>42</v>
      </c>
      <c r="R152">
        <f t="shared" si="9"/>
        <v>33.681809808264561</v>
      </c>
      <c r="S152">
        <f t="shared" si="10"/>
        <v>39.919527298941908</v>
      </c>
      <c r="T152">
        <v>27</v>
      </c>
    </row>
    <row r="153" spans="1:20">
      <c r="A153" s="32">
        <v>41240</v>
      </c>
      <c r="B153" s="42">
        <v>32</v>
      </c>
      <c r="C153" s="33">
        <v>1</v>
      </c>
      <c r="D153" s="33">
        <v>0</v>
      </c>
      <c r="E153" s="33">
        <v>0</v>
      </c>
      <c r="F153" s="33">
        <v>1</v>
      </c>
      <c r="G153" s="33">
        <v>0</v>
      </c>
      <c r="H153" s="33">
        <v>2</v>
      </c>
      <c r="I153" s="33">
        <v>0</v>
      </c>
      <c r="J153" s="33">
        <v>0</v>
      </c>
      <c r="K153" s="33">
        <v>1</v>
      </c>
      <c r="L153" s="33">
        <v>0</v>
      </c>
      <c r="M153" s="33">
        <v>0</v>
      </c>
      <c r="N153" s="33">
        <v>0</v>
      </c>
      <c r="O153" s="33">
        <v>0</v>
      </c>
      <c r="P153" s="33">
        <v>0</v>
      </c>
      <c r="Q153" s="21">
        <f t="shared" si="8"/>
        <v>35</v>
      </c>
      <c r="R153">
        <f t="shared" si="9"/>
        <v>34.228386036781728</v>
      </c>
      <c r="S153">
        <f t="shared" si="10"/>
        <v>4.9657043289237786</v>
      </c>
      <c r="T153">
        <v>20</v>
      </c>
    </row>
    <row r="154" spans="1:20">
      <c r="A154" s="32">
        <v>41241</v>
      </c>
      <c r="B154" s="42">
        <v>43</v>
      </c>
      <c r="C154" s="33">
        <v>1</v>
      </c>
      <c r="D154" s="33">
        <v>0</v>
      </c>
      <c r="E154" s="33">
        <v>0</v>
      </c>
      <c r="F154" s="33">
        <v>0</v>
      </c>
      <c r="G154" s="33">
        <v>0</v>
      </c>
      <c r="H154" s="33">
        <v>1</v>
      </c>
      <c r="I154" s="33">
        <v>0</v>
      </c>
      <c r="J154" s="33">
        <v>0</v>
      </c>
      <c r="K154" s="33">
        <v>0</v>
      </c>
      <c r="L154" s="33">
        <v>1</v>
      </c>
      <c r="M154" s="33">
        <v>0</v>
      </c>
      <c r="N154" s="33">
        <v>0</v>
      </c>
      <c r="O154" s="33">
        <v>0</v>
      </c>
      <c r="P154" s="33">
        <v>0</v>
      </c>
      <c r="Q154" s="21">
        <f t="shared" si="8"/>
        <v>35</v>
      </c>
      <c r="R154">
        <f t="shared" si="9"/>
        <v>29.26561727894445</v>
      </c>
      <c r="S154">
        <f t="shared" si="10"/>
        <v>188.63326872842924</v>
      </c>
      <c r="T154">
        <v>20</v>
      </c>
    </row>
    <row r="155" spans="1:20">
      <c r="A155" s="32">
        <v>41242</v>
      </c>
      <c r="B155" s="42">
        <v>44</v>
      </c>
      <c r="C155" s="33">
        <v>1</v>
      </c>
      <c r="D155" s="33">
        <v>0</v>
      </c>
      <c r="E155" s="33">
        <v>0</v>
      </c>
      <c r="F155" s="33">
        <v>0</v>
      </c>
      <c r="G155" s="33">
        <v>0</v>
      </c>
      <c r="H155" s="33">
        <v>1</v>
      </c>
      <c r="I155" s="33">
        <v>0</v>
      </c>
      <c r="J155" s="33">
        <v>0</v>
      </c>
      <c r="K155" s="33">
        <v>0</v>
      </c>
      <c r="L155" s="33">
        <v>0</v>
      </c>
      <c r="M155" s="33">
        <v>1</v>
      </c>
      <c r="N155" s="33">
        <v>0</v>
      </c>
      <c r="O155" s="33">
        <v>0</v>
      </c>
      <c r="P155" s="33">
        <v>0</v>
      </c>
      <c r="Q155" s="21">
        <f t="shared" si="8"/>
        <v>30</v>
      </c>
      <c r="R155">
        <f t="shared" si="9"/>
        <v>25.024482453334208</v>
      </c>
      <c r="S155">
        <f t="shared" si="10"/>
        <v>360.07026616382137</v>
      </c>
      <c r="T155">
        <v>15</v>
      </c>
    </row>
    <row r="156" spans="1:20">
      <c r="A156" s="32">
        <v>41243</v>
      </c>
      <c r="B156" s="42">
        <v>49</v>
      </c>
      <c r="C156" s="33">
        <v>1</v>
      </c>
      <c r="D156" s="33">
        <v>0</v>
      </c>
      <c r="E156" s="33">
        <v>0</v>
      </c>
      <c r="F156" s="33">
        <v>1</v>
      </c>
      <c r="G156" s="33">
        <v>1</v>
      </c>
      <c r="H156" s="33">
        <v>4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>
        <v>1</v>
      </c>
      <c r="O156" s="33">
        <v>0</v>
      </c>
      <c r="P156" s="33">
        <v>0</v>
      </c>
      <c r="Q156" s="21">
        <f t="shared" si="8"/>
        <v>32</v>
      </c>
      <c r="R156">
        <f t="shared" si="9"/>
        <v>34.465367635216111</v>
      </c>
      <c r="S156">
        <f t="shared" si="10"/>
        <v>211.25553797942331</v>
      </c>
      <c r="T156">
        <v>17</v>
      </c>
    </row>
    <row r="157" spans="1:20">
      <c r="A157" s="32">
        <v>41244</v>
      </c>
      <c r="B157" s="42">
        <v>45</v>
      </c>
      <c r="C157" s="33">
        <v>1</v>
      </c>
      <c r="D157" s="33">
        <v>0</v>
      </c>
      <c r="E157" s="33">
        <v>0</v>
      </c>
      <c r="F157" s="33">
        <v>2</v>
      </c>
      <c r="G157" s="33">
        <v>1</v>
      </c>
      <c r="H157" s="33">
        <v>6</v>
      </c>
      <c r="I157" s="33">
        <v>0</v>
      </c>
      <c r="J157" s="33">
        <v>0</v>
      </c>
      <c r="K157" s="33">
        <v>0</v>
      </c>
      <c r="L157" s="33">
        <v>0</v>
      </c>
      <c r="M157" s="33">
        <v>0</v>
      </c>
      <c r="N157" s="33">
        <v>0</v>
      </c>
      <c r="O157" s="33">
        <v>1</v>
      </c>
      <c r="P157" s="33">
        <v>0</v>
      </c>
      <c r="Q157" s="21">
        <f t="shared" si="8"/>
        <v>47</v>
      </c>
      <c r="R157">
        <f t="shared" si="9"/>
        <v>45.016432428783389</v>
      </c>
      <c r="S157">
        <f t="shared" si="10"/>
        <v>2.7002471572115921E-4</v>
      </c>
      <c r="T157">
        <v>32</v>
      </c>
    </row>
    <row r="158" spans="1:20">
      <c r="A158" s="32">
        <v>41245</v>
      </c>
      <c r="B158" s="42">
        <v>37</v>
      </c>
      <c r="C158" s="33">
        <v>1</v>
      </c>
      <c r="D158" s="33">
        <v>0</v>
      </c>
      <c r="E158" s="33">
        <v>0</v>
      </c>
      <c r="F158" s="33">
        <v>1</v>
      </c>
      <c r="G158" s="33">
        <v>1</v>
      </c>
      <c r="H158" s="33">
        <v>4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>
        <v>0</v>
      </c>
      <c r="O158" s="33">
        <v>0</v>
      </c>
      <c r="P158" s="33">
        <v>0</v>
      </c>
      <c r="Q158" s="21">
        <f t="shared" si="8"/>
        <v>32</v>
      </c>
      <c r="R158">
        <f t="shared" si="9"/>
        <v>29.878802056167832</v>
      </c>
      <c r="S158">
        <f t="shared" si="10"/>
        <v>50.7114601552395</v>
      </c>
      <c r="T158">
        <v>17</v>
      </c>
    </row>
    <row r="159" spans="1:20">
      <c r="A159" s="32">
        <v>41246</v>
      </c>
      <c r="B159" s="42">
        <v>40</v>
      </c>
      <c r="C159" s="33">
        <v>1</v>
      </c>
      <c r="D159" s="33">
        <v>0</v>
      </c>
      <c r="E159" s="33">
        <v>0</v>
      </c>
      <c r="F159" s="33">
        <v>0</v>
      </c>
      <c r="G159" s="33">
        <v>0</v>
      </c>
      <c r="H159" s="33">
        <v>1</v>
      </c>
      <c r="I159" s="33">
        <v>0</v>
      </c>
      <c r="J159" s="33">
        <v>1</v>
      </c>
      <c r="K159" s="33">
        <v>0</v>
      </c>
      <c r="L159" s="33">
        <v>0</v>
      </c>
      <c r="M159" s="33">
        <v>0</v>
      </c>
      <c r="N159" s="33">
        <v>0</v>
      </c>
      <c r="O159" s="33">
        <v>0</v>
      </c>
      <c r="P159" s="33">
        <v>0</v>
      </c>
      <c r="Q159" s="21">
        <f t="shared" si="8"/>
        <v>26</v>
      </c>
      <c r="R159">
        <f t="shared" si="9"/>
        <v>24.479797498767493</v>
      </c>
      <c r="S159">
        <f t="shared" si="10"/>
        <v>240.87668567926377</v>
      </c>
      <c r="T159">
        <v>11</v>
      </c>
    </row>
    <row r="160" spans="1:20">
      <c r="A160" s="32">
        <v>41247</v>
      </c>
      <c r="B160" s="42">
        <v>17</v>
      </c>
      <c r="C160" s="33">
        <v>1</v>
      </c>
      <c r="D160" s="33">
        <v>0</v>
      </c>
      <c r="E160" s="33">
        <v>0</v>
      </c>
      <c r="F160" s="33">
        <v>0</v>
      </c>
      <c r="G160" s="33">
        <v>0</v>
      </c>
      <c r="H160" s="33">
        <v>1</v>
      </c>
      <c r="I160" s="33">
        <v>0</v>
      </c>
      <c r="J160" s="33">
        <v>0</v>
      </c>
      <c r="K160" s="33">
        <v>1</v>
      </c>
      <c r="L160" s="33">
        <v>0</v>
      </c>
      <c r="M160" s="33">
        <v>0</v>
      </c>
      <c r="N160" s="33">
        <v>0</v>
      </c>
      <c r="O160" s="33">
        <v>0</v>
      </c>
      <c r="P160" s="33">
        <v>0</v>
      </c>
      <c r="Q160" s="21">
        <f t="shared" si="8"/>
        <v>27</v>
      </c>
      <c r="R160">
        <f t="shared" si="9"/>
        <v>25.063517407993615</v>
      </c>
      <c r="S160">
        <f t="shared" si="10"/>
        <v>65.020312989016062</v>
      </c>
      <c r="T160">
        <v>12</v>
      </c>
    </row>
    <row r="161" spans="1:20">
      <c r="A161" s="32">
        <v>41248</v>
      </c>
      <c r="B161" s="42">
        <v>26</v>
      </c>
      <c r="C161" s="33">
        <v>1</v>
      </c>
      <c r="D161" s="33">
        <v>0</v>
      </c>
      <c r="E161" s="33">
        <v>0</v>
      </c>
      <c r="F161" s="33">
        <v>0</v>
      </c>
      <c r="G161" s="33">
        <v>0</v>
      </c>
      <c r="H161" s="33">
        <v>1</v>
      </c>
      <c r="I161" s="33">
        <v>0</v>
      </c>
      <c r="J161" s="33">
        <v>0</v>
      </c>
      <c r="K161" s="33">
        <v>0</v>
      </c>
      <c r="L161" s="33">
        <v>1</v>
      </c>
      <c r="M161" s="33">
        <v>0</v>
      </c>
      <c r="N161" s="33">
        <v>0</v>
      </c>
      <c r="O161" s="33">
        <v>0</v>
      </c>
      <c r="P161" s="33">
        <v>0</v>
      </c>
      <c r="Q161" s="21">
        <f t="shared" si="8"/>
        <v>28</v>
      </c>
      <c r="R161">
        <f t="shared" si="9"/>
        <v>25.239736893539483</v>
      </c>
      <c r="S161">
        <f t="shared" si="10"/>
        <v>0.57799999104499533</v>
      </c>
      <c r="T161">
        <v>13</v>
      </c>
    </row>
    <row r="162" spans="1:20">
      <c r="A162" s="32">
        <v>41249</v>
      </c>
      <c r="B162" s="42">
        <v>16</v>
      </c>
      <c r="C162" s="33">
        <v>1</v>
      </c>
      <c r="D162" s="33">
        <v>0</v>
      </c>
      <c r="E162" s="33">
        <v>0</v>
      </c>
      <c r="F162" s="33">
        <v>0</v>
      </c>
      <c r="G162" s="33">
        <v>0</v>
      </c>
      <c r="H162" s="33">
        <v>1</v>
      </c>
      <c r="I162" s="33">
        <v>0</v>
      </c>
      <c r="J162" s="33">
        <v>0</v>
      </c>
      <c r="K162" s="33">
        <v>0</v>
      </c>
      <c r="L162" s="33">
        <v>0</v>
      </c>
      <c r="M162" s="33">
        <v>1</v>
      </c>
      <c r="N162" s="33">
        <v>0</v>
      </c>
      <c r="O162" s="33">
        <v>0</v>
      </c>
      <c r="P162" s="33">
        <v>0</v>
      </c>
      <c r="Q162" s="21">
        <f t="shared" si="8"/>
        <v>23</v>
      </c>
      <c r="R162">
        <f t="shared" si="9"/>
        <v>20.998602067929241</v>
      </c>
      <c r="S162">
        <f t="shared" si="10"/>
        <v>24.986022633506483</v>
      </c>
      <c r="T162">
        <v>8</v>
      </c>
    </row>
    <row r="163" spans="1:20">
      <c r="A163" s="32">
        <v>41250</v>
      </c>
      <c r="B163" s="42">
        <v>19</v>
      </c>
      <c r="C163" s="33">
        <v>1</v>
      </c>
      <c r="D163" s="33">
        <v>0</v>
      </c>
      <c r="E163" s="33">
        <v>0</v>
      </c>
      <c r="F163" s="33">
        <v>0</v>
      </c>
      <c r="G163" s="33">
        <v>0</v>
      </c>
      <c r="H163" s="33">
        <v>1</v>
      </c>
      <c r="I163" s="33">
        <v>0</v>
      </c>
      <c r="J163" s="33">
        <v>0</v>
      </c>
      <c r="K163" s="33">
        <v>0</v>
      </c>
      <c r="L163" s="33">
        <v>0</v>
      </c>
      <c r="M163" s="33">
        <v>0</v>
      </c>
      <c r="N163" s="33">
        <v>1</v>
      </c>
      <c r="O163" s="33">
        <v>0</v>
      </c>
      <c r="P163" s="33">
        <v>0</v>
      </c>
      <c r="Q163" s="21">
        <f t="shared" si="8"/>
        <v>29</v>
      </c>
      <c r="R163">
        <f t="shared" si="9"/>
        <v>25.876788576117807</v>
      </c>
      <c r="S163">
        <f t="shared" si="10"/>
        <v>47.290221120624381</v>
      </c>
      <c r="T163">
        <v>14</v>
      </c>
    </row>
    <row r="164" spans="1:20">
      <c r="A164" s="32">
        <v>41251</v>
      </c>
      <c r="B164" s="42">
        <v>44</v>
      </c>
      <c r="C164" s="33">
        <v>1</v>
      </c>
      <c r="D164" s="33">
        <v>0</v>
      </c>
      <c r="E164" s="33">
        <v>0</v>
      </c>
      <c r="F164" s="33">
        <v>1</v>
      </c>
      <c r="G164" s="33">
        <v>1</v>
      </c>
      <c r="H164" s="33">
        <v>4</v>
      </c>
      <c r="I164" s="33">
        <v>0</v>
      </c>
      <c r="J164" s="33">
        <v>0</v>
      </c>
      <c r="K164" s="33">
        <v>0</v>
      </c>
      <c r="L164" s="33">
        <v>0</v>
      </c>
      <c r="M164" s="33">
        <v>0</v>
      </c>
      <c r="N164" s="33">
        <v>0</v>
      </c>
      <c r="O164" s="33">
        <v>1</v>
      </c>
      <c r="P164" s="33">
        <v>0</v>
      </c>
      <c r="Q164" s="21">
        <f t="shared" si="8"/>
        <v>46</v>
      </c>
      <c r="R164">
        <f t="shared" si="9"/>
        <v>40.631489088060079</v>
      </c>
      <c r="S164">
        <f t="shared" si="10"/>
        <v>11.346865763858322</v>
      </c>
      <c r="T164">
        <v>31</v>
      </c>
    </row>
    <row r="165" spans="1:20">
      <c r="A165" s="32">
        <v>41252</v>
      </c>
      <c r="B165" s="42">
        <v>35</v>
      </c>
      <c r="C165" s="33">
        <v>1</v>
      </c>
      <c r="D165" s="33">
        <v>0</v>
      </c>
      <c r="E165" s="33">
        <v>0</v>
      </c>
      <c r="F165" s="33">
        <v>1</v>
      </c>
      <c r="G165" s="33">
        <v>0</v>
      </c>
      <c r="H165" s="33">
        <v>2</v>
      </c>
      <c r="I165" s="33">
        <v>0</v>
      </c>
      <c r="J165" s="33">
        <v>0</v>
      </c>
      <c r="K165" s="33">
        <v>0</v>
      </c>
      <c r="L165" s="33">
        <v>0</v>
      </c>
      <c r="M165" s="33">
        <v>0</v>
      </c>
      <c r="N165" s="33">
        <v>0</v>
      </c>
      <c r="O165" s="33">
        <v>0</v>
      </c>
      <c r="P165" s="33">
        <v>0</v>
      </c>
      <c r="Q165" s="21">
        <f t="shared" si="8"/>
        <v>37</v>
      </c>
      <c r="R165">
        <f t="shared" si="9"/>
        <v>30.455091625857644</v>
      </c>
      <c r="S165">
        <f t="shared" si="10"/>
        <v>20.656192129349311</v>
      </c>
      <c r="T165">
        <v>22</v>
      </c>
    </row>
    <row r="166" spans="1:20">
      <c r="A166" s="32">
        <v>41253</v>
      </c>
      <c r="B166" s="42">
        <v>39</v>
      </c>
      <c r="C166" s="33">
        <v>1</v>
      </c>
      <c r="D166" s="33">
        <v>0</v>
      </c>
      <c r="E166" s="33">
        <v>0</v>
      </c>
      <c r="F166" s="33">
        <v>0</v>
      </c>
      <c r="G166" s="33">
        <v>0</v>
      </c>
      <c r="H166" s="33">
        <v>1</v>
      </c>
      <c r="I166" s="33">
        <v>0</v>
      </c>
      <c r="J166" s="33">
        <v>1</v>
      </c>
      <c r="K166" s="33">
        <v>0</v>
      </c>
      <c r="L166" s="33">
        <v>0</v>
      </c>
      <c r="M166" s="33">
        <v>0</v>
      </c>
      <c r="N166" s="33">
        <v>0</v>
      </c>
      <c r="O166" s="33">
        <v>0</v>
      </c>
      <c r="P166" s="33">
        <v>0</v>
      </c>
      <c r="Q166" s="21">
        <f t="shared" si="8"/>
        <v>34</v>
      </c>
      <c r="R166">
        <f t="shared" si="9"/>
        <v>29.080803653516028</v>
      </c>
      <c r="S166">
        <f t="shared" si="10"/>
        <v>98.390456160100968</v>
      </c>
      <c r="T166">
        <v>19</v>
      </c>
    </row>
    <row r="167" spans="1:20">
      <c r="A167" s="32">
        <v>41254</v>
      </c>
      <c r="B167" s="42">
        <v>22</v>
      </c>
      <c r="C167" s="33">
        <v>1</v>
      </c>
      <c r="D167" s="33">
        <v>0</v>
      </c>
      <c r="E167" s="33">
        <v>0</v>
      </c>
      <c r="F167" s="33">
        <v>0</v>
      </c>
      <c r="G167" s="33">
        <v>0</v>
      </c>
      <c r="H167" s="33">
        <v>1</v>
      </c>
      <c r="I167" s="33">
        <v>0</v>
      </c>
      <c r="J167" s="33">
        <v>0</v>
      </c>
      <c r="K167" s="33">
        <v>1</v>
      </c>
      <c r="L167" s="33">
        <v>0</v>
      </c>
      <c r="M167" s="33">
        <v>0</v>
      </c>
      <c r="N167" s="33">
        <v>0</v>
      </c>
      <c r="O167" s="33">
        <v>0</v>
      </c>
      <c r="P167" s="33">
        <v>0</v>
      </c>
      <c r="Q167" s="21">
        <f t="shared" si="8"/>
        <v>29</v>
      </c>
      <c r="R167">
        <f t="shared" si="9"/>
        <v>26.213768946680748</v>
      </c>
      <c r="S167">
        <f t="shared" si="10"/>
        <v>17.755848736010979</v>
      </c>
      <c r="T167">
        <v>14</v>
      </c>
    </row>
    <row r="168" spans="1:20">
      <c r="A168" s="32">
        <v>41255</v>
      </c>
      <c r="B168" s="42">
        <v>27</v>
      </c>
      <c r="C168" s="33">
        <v>1</v>
      </c>
      <c r="D168" s="33">
        <v>0</v>
      </c>
      <c r="E168" s="33">
        <v>0</v>
      </c>
      <c r="F168" s="33">
        <v>0</v>
      </c>
      <c r="G168" s="33">
        <v>0</v>
      </c>
      <c r="H168" s="33">
        <v>1</v>
      </c>
      <c r="I168" s="33">
        <v>0</v>
      </c>
      <c r="J168" s="33">
        <v>0</v>
      </c>
      <c r="K168" s="33">
        <v>0</v>
      </c>
      <c r="L168" s="33">
        <v>1</v>
      </c>
      <c r="M168" s="33">
        <v>0</v>
      </c>
      <c r="N168" s="33">
        <v>0</v>
      </c>
      <c r="O168" s="33">
        <v>0</v>
      </c>
      <c r="P168" s="33">
        <v>0</v>
      </c>
      <c r="Q168" s="21">
        <f t="shared" si="8"/>
        <v>30</v>
      </c>
      <c r="R168">
        <f t="shared" si="9"/>
        <v>26.389988432226616</v>
      </c>
      <c r="S168">
        <f t="shared" si="10"/>
        <v>0.3721141128173418</v>
      </c>
      <c r="T168">
        <v>15</v>
      </c>
    </row>
    <row r="169" spans="1:20">
      <c r="A169" s="32">
        <v>41256</v>
      </c>
      <c r="B169" s="42">
        <v>34</v>
      </c>
      <c r="C169" s="33">
        <v>1</v>
      </c>
      <c r="D169" s="33">
        <v>0</v>
      </c>
      <c r="E169" s="33">
        <v>0</v>
      </c>
      <c r="F169" s="33">
        <v>0</v>
      </c>
      <c r="G169" s="33">
        <v>0</v>
      </c>
      <c r="H169" s="33">
        <v>1</v>
      </c>
      <c r="I169" s="33">
        <v>0</v>
      </c>
      <c r="J169" s="33">
        <v>0</v>
      </c>
      <c r="K169" s="33">
        <v>0</v>
      </c>
      <c r="L169" s="33">
        <v>0</v>
      </c>
      <c r="M169" s="33">
        <v>1</v>
      </c>
      <c r="N169" s="33">
        <v>0</v>
      </c>
      <c r="O169" s="33">
        <v>0</v>
      </c>
      <c r="P169" s="33">
        <v>0</v>
      </c>
      <c r="Q169" s="21">
        <f t="shared" si="8"/>
        <v>32</v>
      </c>
      <c r="R169">
        <f t="shared" si="9"/>
        <v>26.174733992021341</v>
      </c>
      <c r="S169">
        <f t="shared" si="10"/>
        <v>61.23478809562625</v>
      </c>
      <c r="T169">
        <v>17</v>
      </c>
    </row>
    <row r="170" spans="1:20">
      <c r="A170" s="32">
        <v>41257</v>
      </c>
      <c r="B170" s="42">
        <v>37</v>
      </c>
      <c r="C170" s="33">
        <v>1</v>
      </c>
      <c r="D170" s="33">
        <v>0</v>
      </c>
      <c r="E170" s="33">
        <v>0</v>
      </c>
      <c r="F170" s="33">
        <v>0</v>
      </c>
      <c r="G170" s="33">
        <v>0</v>
      </c>
      <c r="H170" s="33">
        <v>1</v>
      </c>
      <c r="I170" s="33">
        <v>0</v>
      </c>
      <c r="J170" s="33">
        <v>0</v>
      </c>
      <c r="K170" s="33">
        <v>0</v>
      </c>
      <c r="L170" s="33">
        <v>0</v>
      </c>
      <c r="M170" s="33">
        <v>0</v>
      </c>
      <c r="N170" s="33">
        <v>1</v>
      </c>
      <c r="O170" s="33">
        <v>0</v>
      </c>
      <c r="P170" s="33">
        <v>0</v>
      </c>
      <c r="Q170" s="21">
        <f t="shared" si="8"/>
        <v>40</v>
      </c>
      <c r="R170">
        <f t="shared" si="9"/>
        <v>32.203172038897044</v>
      </c>
      <c r="S170">
        <f t="shared" si="10"/>
        <v>23.009558488419142</v>
      </c>
      <c r="T170">
        <v>25</v>
      </c>
    </row>
    <row r="171" spans="1:20">
      <c r="A171" s="32">
        <v>41258</v>
      </c>
      <c r="B171" s="42">
        <v>50</v>
      </c>
      <c r="C171" s="33">
        <v>1</v>
      </c>
      <c r="D171" s="33">
        <v>0</v>
      </c>
      <c r="E171" s="33">
        <v>0</v>
      </c>
      <c r="F171" s="33">
        <v>1</v>
      </c>
      <c r="G171" s="33">
        <v>1</v>
      </c>
      <c r="H171" s="33">
        <v>4</v>
      </c>
      <c r="I171" s="33">
        <v>0</v>
      </c>
      <c r="J171" s="33">
        <v>0</v>
      </c>
      <c r="K171" s="33">
        <v>0</v>
      </c>
      <c r="L171" s="33">
        <v>0</v>
      </c>
      <c r="M171" s="33">
        <v>0</v>
      </c>
      <c r="N171" s="33">
        <v>0</v>
      </c>
      <c r="O171" s="33">
        <v>1</v>
      </c>
      <c r="P171" s="33">
        <v>0</v>
      </c>
      <c r="Q171" s="21">
        <f t="shared" si="8"/>
        <v>50</v>
      </c>
      <c r="R171">
        <f t="shared" si="9"/>
        <v>42.931992165434345</v>
      </c>
      <c r="S171">
        <f t="shared" si="10"/>
        <v>49.956734749481484</v>
      </c>
      <c r="T171">
        <v>35</v>
      </c>
    </row>
    <row r="172" spans="1:20">
      <c r="A172" s="32">
        <v>41259</v>
      </c>
      <c r="B172" s="42">
        <v>49</v>
      </c>
      <c r="C172" s="33">
        <v>1</v>
      </c>
      <c r="D172" s="33">
        <v>0</v>
      </c>
      <c r="E172" s="33">
        <v>0</v>
      </c>
      <c r="F172" s="33">
        <v>1</v>
      </c>
      <c r="G172" s="33">
        <v>0</v>
      </c>
      <c r="H172" s="33">
        <v>2</v>
      </c>
      <c r="I172" s="33">
        <v>0</v>
      </c>
      <c r="J172" s="33">
        <v>0</v>
      </c>
      <c r="K172" s="33">
        <v>0</v>
      </c>
      <c r="L172" s="33">
        <v>0</v>
      </c>
      <c r="M172" s="33">
        <v>0</v>
      </c>
      <c r="N172" s="33">
        <v>0</v>
      </c>
      <c r="O172" s="33">
        <v>0</v>
      </c>
      <c r="P172" s="33">
        <v>0</v>
      </c>
      <c r="Q172" s="21">
        <f t="shared" si="8"/>
        <v>45</v>
      </c>
      <c r="R172">
        <f t="shared" si="9"/>
        <v>35.05609778060618</v>
      </c>
      <c r="S172">
        <f t="shared" si="10"/>
        <v>194.4324091040159</v>
      </c>
      <c r="T172">
        <v>30</v>
      </c>
    </row>
    <row r="173" spans="1:20">
      <c r="A173" s="32">
        <v>41260</v>
      </c>
      <c r="B173" s="42">
        <v>43</v>
      </c>
      <c r="C173" s="33">
        <v>1</v>
      </c>
      <c r="D173" s="33">
        <v>0</v>
      </c>
      <c r="E173" s="33">
        <v>0</v>
      </c>
      <c r="F173" s="33">
        <v>0</v>
      </c>
      <c r="G173" s="33">
        <v>0</v>
      </c>
      <c r="H173" s="33">
        <v>1</v>
      </c>
      <c r="I173" s="33">
        <v>0</v>
      </c>
      <c r="J173" s="33">
        <v>1</v>
      </c>
      <c r="K173" s="33">
        <v>0</v>
      </c>
      <c r="L173" s="33">
        <v>0</v>
      </c>
      <c r="M173" s="33">
        <v>0</v>
      </c>
      <c r="N173" s="33">
        <v>0</v>
      </c>
      <c r="O173" s="33">
        <v>0</v>
      </c>
      <c r="P173" s="33">
        <v>0</v>
      </c>
      <c r="Q173" s="21">
        <f t="shared" si="8"/>
        <v>45</v>
      </c>
      <c r="R173">
        <f t="shared" si="9"/>
        <v>35.407187116295262</v>
      </c>
      <c r="S173">
        <f t="shared" si="10"/>
        <v>57.650807486952665</v>
      </c>
      <c r="T173">
        <v>30</v>
      </c>
    </row>
    <row r="174" spans="1:20">
      <c r="A174" s="32">
        <v>41261</v>
      </c>
      <c r="B174" s="42">
        <v>41</v>
      </c>
      <c r="C174" s="33">
        <v>1</v>
      </c>
      <c r="D174" s="33">
        <v>0</v>
      </c>
      <c r="E174" s="33">
        <v>0</v>
      </c>
      <c r="F174" s="33">
        <v>0</v>
      </c>
      <c r="G174" s="33">
        <v>0</v>
      </c>
      <c r="H174" s="33">
        <v>1</v>
      </c>
      <c r="I174" s="33">
        <v>0</v>
      </c>
      <c r="J174" s="33">
        <v>0</v>
      </c>
      <c r="K174" s="33">
        <v>1</v>
      </c>
      <c r="L174" s="33">
        <v>0</v>
      </c>
      <c r="M174" s="33">
        <v>0</v>
      </c>
      <c r="N174" s="33">
        <v>0</v>
      </c>
      <c r="O174" s="33">
        <v>0</v>
      </c>
      <c r="P174" s="33">
        <v>0</v>
      </c>
      <c r="Q174" s="21">
        <f t="shared" si="8"/>
        <v>45</v>
      </c>
      <c r="R174">
        <f t="shared" si="9"/>
        <v>35.415781256177823</v>
      </c>
      <c r="S174">
        <f t="shared" si="10"/>
        <v>31.183498978854935</v>
      </c>
      <c r="T174">
        <v>30</v>
      </c>
    </row>
    <row r="175" spans="1:20">
      <c r="A175" s="32">
        <v>41262</v>
      </c>
      <c r="B175" s="42">
        <v>39</v>
      </c>
      <c r="C175" s="33">
        <v>1</v>
      </c>
      <c r="D175" s="33">
        <v>0</v>
      </c>
      <c r="E175" s="33">
        <v>0</v>
      </c>
      <c r="F175" s="33">
        <v>0</v>
      </c>
      <c r="G175" s="33">
        <v>0</v>
      </c>
      <c r="H175" s="33">
        <v>1</v>
      </c>
      <c r="I175" s="33">
        <v>0</v>
      </c>
      <c r="J175" s="33">
        <v>0</v>
      </c>
      <c r="K175" s="33">
        <v>0</v>
      </c>
      <c r="L175" s="33">
        <v>1</v>
      </c>
      <c r="M175" s="33">
        <v>0</v>
      </c>
      <c r="N175" s="33">
        <v>0</v>
      </c>
      <c r="O175" s="33">
        <v>0</v>
      </c>
      <c r="P175" s="33">
        <v>0</v>
      </c>
      <c r="Q175" s="21">
        <f t="shared" si="8"/>
        <v>43</v>
      </c>
      <c r="R175">
        <f t="shared" si="9"/>
        <v>33.866623433692986</v>
      </c>
      <c r="S175">
        <f t="shared" si="10"/>
        <v>26.351554971509987</v>
      </c>
      <c r="T175">
        <v>28</v>
      </c>
    </row>
    <row r="176" spans="1:20">
      <c r="A176" s="32">
        <v>41263</v>
      </c>
      <c r="B176" s="42">
        <v>50</v>
      </c>
      <c r="C176" s="33">
        <v>1</v>
      </c>
      <c r="D176" s="33">
        <v>0</v>
      </c>
      <c r="E176" s="33">
        <v>0</v>
      </c>
      <c r="F176" s="33">
        <v>0</v>
      </c>
      <c r="G176" s="33">
        <v>0</v>
      </c>
      <c r="H176" s="33">
        <v>1</v>
      </c>
      <c r="I176" s="33">
        <v>0</v>
      </c>
      <c r="J176" s="33">
        <v>0</v>
      </c>
      <c r="K176" s="33">
        <v>0</v>
      </c>
      <c r="L176" s="33">
        <v>0</v>
      </c>
      <c r="M176" s="33">
        <v>1</v>
      </c>
      <c r="N176" s="33">
        <v>0</v>
      </c>
      <c r="O176" s="33">
        <v>0</v>
      </c>
      <c r="P176" s="33">
        <v>0</v>
      </c>
      <c r="Q176" s="21">
        <f t="shared" si="8"/>
        <v>47</v>
      </c>
      <c r="R176">
        <f t="shared" si="9"/>
        <v>34.801620532174844</v>
      </c>
      <c r="S176">
        <f t="shared" si="10"/>
        <v>230.99073844800927</v>
      </c>
      <c r="T176">
        <v>32</v>
      </c>
    </row>
    <row r="177" spans="1:20">
      <c r="A177" s="32">
        <v>41264</v>
      </c>
      <c r="B177" s="42">
        <v>45</v>
      </c>
      <c r="C177" s="33">
        <v>1</v>
      </c>
      <c r="D177" s="33">
        <v>0</v>
      </c>
      <c r="E177" s="33">
        <v>0</v>
      </c>
      <c r="F177" s="33">
        <v>0</v>
      </c>
      <c r="G177" s="33">
        <v>0</v>
      </c>
      <c r="H177" s="33">
        <v>1</v>
      </c>
      <c r="I177" s="33">
        <v>0</v>
      </c>
      <c r="J177" s="33">
        <v>0</v>
      </c>
      <c r="K177" s="33">
        <v>0</v>
      </c>
      <c r="L177" s="33">
        <v>0</v>
      </c>
      <c r="M177" s="33">
        <v>0</v>
      </c>
      <c r="N177" s="33">
        <v>1</v>
      </c>
      <c r="O177" s="33">
        <v>0</v>
      </c>
      <c r="P177" s="33">
        <v>0</v>
      </c>
      <c r="Q177" s="21">
        <f t="shared" si="8"/>
        <v>51</v>
      </c>
      <c r="R177">
        <f t="shared" si="9"/>
        <v>38.529555501676285</v>
      </c>
      <c r="S177">
        <f t="shared" si="10"/>
        <v>41.866652005887637</v>
      </c>
      <c r="T177">
        <v>36</v>
      </c>
    </row>
    <row r="178" spans="1:20">
      <c r="A178" s="32">
        <v>41265</v>
      </c>
      <c r="B178" s="42">
        <v>49</v>
      </c>
      <c r="C178" s="33">
        <v>1</v>
      </c>
      <c r="D178" s="33">
        <v>0</v>
      </c>
      <c r="E178" s="33">
        <v>0</v>
      </c>
      <c r="F178" s="33">
        <v>2</v>
      </c>
      <c r="G178" s="33">
        <v>1</v>
      </c>
      <c r="H178" s="33">
        <v>6</v>
      </c>
      <c r="I178" s="33">
        <v>0</v>
      </c>
      <c r="J178" s="33">
        <v>0</v>
      </c>
      <c r="K178" s="33">
        <v>0</v>
      </c>
      <c r="L178" s="33">
        <v>0</v>
      </c>
      <c r="M178" s="33">
        <v>0</v>
      </c>
      <c r="N178" s="33">
        <v>0</v>
      </c>
      <c r="O178" s="33">
        <v>1</v>
      </c>
      <c r="P178" s="33">
        <v>0</v>
      </c>
      <c r="Q178" s="21">
        <f t="shared" si="8"/>
        <v>45</v>
      </c>
      <c r="R178">
        <f t="shared" si="9"/>
        <v>43.86618089009626</v>
      </c>
      <c r="S178">
        <f t="shared" si="10"/>
        <v>26.356098653212833</v>
      </c>
      <c r="T178">
        <v>30</v>
      </c>
    </row>
    <row r="179" spans="1:20">
      <c r="A179" s="32">
        <v>41266</v>
      </c>
      <c r="B179" s="42">
        <v>46</v>
      </c>
      <c r="C179" s="33">
        <v>1</v>
      </c>
      <c r="D179" s="33">
        <v>0</v>
      </c>
      <c r="E179" s="33">
        <v>0</v>
      </c>
      <c r="F179" s="33">
        <v>2</v>
      </c>
      <c r="G179" s="33">
        <v>3</v>
      </c>
      <c r="H179" s="33">
        <v>12</v>
      </c>
      <c r="I179" s="33">
        <v>1</v>
      </c>
      <c r="J179" s="33">
        <v>0</v>
      </c>
      <c r="K179" s="33">
        <v>0</v>
      </c>
      <c r="L179" s="33">
        <v>0</v>
      </c>
      <c r="M179" s="33">
        <v>0</v>
      </c>
      <c r="N179" s="33">
        <v>0</v>
      </c>
      <c r="O179" s="33">
        <v>0</v>
      </c>
      <c r="P179" s="33">
        <v>0</v>
      </c>
      <c r="Q179" s="21">
        <f t="shared" si="8"/>
        <v>37</v>
      </c>
      <c r="R179">
        <f t="shared" si="9"/>
        <v>38.688706573348163</v>
      </c>
      <c r="S179">
        <f t="shared" si="10"/>
        <v>53.455011570602352</v>
      </c>
      <c r="T179">
        <v>22</v>
      </c>
    </row>
    <row r="180" spans="1:20">
      <c r="A180" s="32">
        <v>41267</v>
      </c>
      <c r="B180" s="42">
        <v>44</v>
      </c>
      <c r="C180" s="33">
        <v>1</v>
      </c>
      <c r="D180" s="33">
        <v>0</v>
      </c>
      <c r="E180" s="33">
        <v>0</v>
      </c>
      <c r="F180" s="33">
        <v>1</v>
      </c>
      <c r="G180" s="33">
        <v>0</v>
      </c>
      <c r="H180" s="33">
        <v>2</v>
      </c>
      <c r="I180" s="33">
        <v>1</v>
      </c>
      <c r="J180" s="33">
        <v>1</v>
      </c>
      <c r="K180" s="33">
        <v>0</v>
      </c>
      <c r="L180" s="33">
        <v>0</v>
      </c>
      <c r="M180" s="33">
        <v>0</v>
      </c>
      <c r="N180" s="33">
        <v>0</v>
      </c>
      <c r="O180" s="33">
        <v>0</v>
      </c>
      <c r="P180" s="33">
        <v>0</v>
      </c>
      <c r="Q180" s="21">
        <f t="shared" si="8"/>
        <v>46</v>
      </c>
      <c r="R180">
        <f t="shared" si="9"/>
        <v>39.580044710024765</v>
      </c>
      <c r="S180">
        <f t="shared" si="10"/>
        <v>19.536004765380063</v>
      </c>
      <c r="T180">
        <v>31</v>
      </c>
    </row>
    <row r="181" spans="1:20">
      <c r="A181" s="32">
        <v>41268</v>
      </c>
      <c r="B181" s="42">
        <v>43</v>
      </c>
      <c r="C181" s="33">
        <v>1</v>
      </c>
      <c r="D181" s="33">
        <v>0</v>
      </c>
      <c r="E181" s="33">
        <v>0</v>
      </c>
      <c r="F181" s="33">
        <v>1</v>
      </c>
      <c r="G181" s="33">
        <v>1</v>
      </c>
      <c r="H181" s="33">
        <v>4</v>
      </c>
      <c r="I181" s="33">
        <v>0</v>
      </c>
      <c r="J181" s="33">
        <v>0</v>
      </c>
      <c r="K181" s="33">
        <v>1</v>
      </c>
      <c r="L181" s="33">
        <v>0</v>
      </c>
      <c r="M181" s="33">
        <v>0</v>
      </c>
      <c r="N181" s="33">
        <v>0</v>
      </c>
      <c r="O181" s="33">
        <v>0</v>
      </c>
      <c r="P181" s="33">
        <v>0</v>
      </c>
      <c r="Q181" s="21">
        <f t="shared" si="8"/>
        <v>45</v>
      </c>
      <c r="R181">
        <f t="shared" si="9"/>
        <v>42.278983007245415</v>
      </c>
      <c r="S181">
        <f t="shared" si="10"/>
        <v>0.51986550384086505</v>
      </c>
      <c r="T181">
        <v>30</v>
      </c>
    </row>
    <row r="182" spans="1:20">
      <c r="A182" s="32">
        <v>41269</v>
      </c>
      <c r="B182" s="42">
        <v>55</v>
      </c>
      <c r="C182" s="33">
        <v>1</v>
      </c>
      <c r="D182" s="33">
        <v>0</v>
      </c>
      <c r="E182" s="33">
        <v>0</v>
      </c>
      <c r="F182" s="33">
        <v>0</v>
      </c>
      <c r="G182" s="33">
        <v>0</v>
      </c>
      <c r="H182" s="33">
        <v>1</v>
      </c>
      <c r="I182" s="33">
        <v>0</v>
      </c>
      <c r="J182" s="33">
        <v>0</v>
      </c>
      <c r="K182" s="33">
        <v>0</v>
      </c>
      <c r="L182" s="33">
        <v>1</v>
      </c>
      <c r="M182" s="33">
        <v>0</v>
      </c>
      <c r="N182" s="33">
        <v>0</v>
      </c>
      <c r="O182" s="33">
        <v>0</v>
      </c>
      <c r="P182" s="33">
        <v>0</v>
      </c>
      <c r="Q182" s="21">
        <f t="shared" si="8"/>
        <v>38</v>
      </c>
      <c r="R182">
        <f t="shared" si="9"/>
        <v>30.990994586975152</v>
      </c>
      <c r="S182">
        <f t="shared" si="10"/>
        <v>576.43234092265641</v>
      </c>
      <c r="T182">
        <v>23</v>
      </c>
    </row>
    <row r="183" spans="1:20">
      <c r="A183" s="32">
        <v>41270</v>
      </c>
      <c r="B183" s="42">
        <v>48</v>
      </c>
      <c r="C183" s="33">
        <v>1</v>
      </c>
      <c r="D183" s="33">
        <v>0</v>
      </c>
      <c r="E183" s="33">
        <v>0</v>
      </c>
      <c r="F183" s="33">
        <v>1</v>
      </c>
      <c r="G183" s="33">
        <v>0</v>
      </c>
      <c r="H183" s="33">
        <v>2</v>
      </c>
      <c r="I183" s="33">
        <v>0</v>
      </c>
      <c r="J183" s="33">
        <v>0</v>
      </c>
      <c r="K183" s="33">
        <v>0</v>
      </c>
      <c r="L183" s="33">
        <v>0</v>
      </c>
      <c r="M183" s="33">
        <v>1</v>
      </c>
      <c r="N183" s="33">
        <v>0</v>
      </c>
      <c r="O183" s="33">
        <v>0</v>
      </c>
      <c r="P183" s="33">
        <v>0</v>
      </c>
      <c r="Q183" s="21">
        <f t="shared" si="8"/>
        <v>41</v>
      </c>
      <c r="R183">
        <f t="shared" si="9"/>
        <v>35.914728390153023</v>
      </c>
      <c r="S183">
        <f t="shared" si="10"/>
        <v>146.05378988377333</v>
      </c>
      <c r="T183">
        <v>26</v>
      </c>
    </row>
    <row r="184" spans="1:20">
      <c r="A184" s="32">
        <v>41271</v>
      </c>
      <c r="B184" s="42">
        <v>41</v>
      </c>
      <c r="C184" s="33">
        <v>1</v>
      </c>
      <c r="D184" s="33">
        <v>0</v>
      </c>
      <c r="E184" s="33">
        <v>0</v>
      </c>
      <c r="F184" s="33">
        <v>1</v>
      </c>
      <c r="G184" s="33">
        <v>1</v>
      </c>
      <c r="H184" s="33">
        <v>4</v>
      </c>
      <c r="I184" s="33">
        <v>0</v>
      </c>
      <c r="J184" s="33">
        <v>0</v>
      </c>
      <c r="K184" s="33">
        <v>0</v>
      </c>
      <c r="L184" s="33">
        <v>0</v>
      </c>
      <c r="M184" s="33">
        <v>0</v>
      </c>
      <c r="N184" s="33">
        <v>1</v>
      </c>
      <c r="O184" s="33">
        <v>0</v>
      </c>
      <c r="P184" s="33">
        <v>0</v>
      </c>
      <c r="Q184" s="21">
        <f t="shared" si="8"/>
        <v>30</v>
      </c>
      <c r="R184">
        <f t="shared" si="9"/>
        <v>33.315116096528975</v>
      </c>
      <c r="S184">
        <f t="shared" si="10"/>
        <v>59.057440609828063</v>
      </c>
      <c r="T184">
        <v>15</v>
      </c>
    </row>
    <row r="185" spans="1:20">
      <c r="A185" s="32">
        <v>41272</v>
      </c>
      <c r="B185" s="42">
        <v>33</v>
      </c>
      <c r="C185" s="33">
        <v>1</v>
      </c>
      <c r="D185" s="33">
        <v>0</v>
      </c>
      <c r="E185" s="33">
        <v>0</v>
      </c>
      <c r="F185" s="33">
        <v>2</v>
      </c>
      <c r="G185" s="33">
        <v>2</v>
      </c>
      <c r="H185" s="33">
        <v>9</v>
      </c>
      <c r="I185" s="33">
        <v>0</v>
      </c>
      <c r="J185" s="33">
        <v>0</v>
      </c>
      <c r="K185" s="33">
        <v>0</v>
      </c>
      <c r="L185" s="33">
        <v>0</v>
      </c>
      <c r="M185" s="33">
        <v>0</v>
      </c>
      <c r="N185" s="33">
        <v>0</v>
      </c>
      <c r="O185" s="33">
        <v>1</v>
      </c>
      <c r="P185" s="33">
        <v>0</v>
      </c>
      <c r="Q185" s="21">
        <f t="shared" si="8"/>
        <v>15</v>
      </c>
      <c r="R185">
        <f t="shared" si="9"/>
        <v>28.157702184157451</v>
      </c>
      <c r="S185">
        <f t="shared" si="10"/>
        <v>23.447848137313525</v>
      </c>
      <c r="T185">
        <v>0</v>
      </c>
    </row>
    <row r="186" spans="1:20">
      <c r="A186" s="32">
        <v>41273</v>
      </c>
      <c r="B186" s="42">
        <v>23</v>
      </c>
      <c r="C186" s="33">
        <v>1</v>
      </c>
      <c r="D186" s="33">
        <v>0</v>
      </c>
      <c r="E186" s="33">
        <v>0</v>
      </c>
      <c r="F186" s="33">
        <v>1</v>
      </c>
      <c r="G186" s="33">
        <v>2</v>
      </c>
      <c r="H186" s="33">
        <v>6</v>
      </c>
      <c r="I186" s="33">
        <v>0</v>
      </c>
      <c r="J186" s="33">
        <v>0</v>
      </c>
      <c r="K186" s="33">
        <v>0</v>
      </c>
      <c r="L186" s="33">
        <v>0</v>
      </c>
      <c r="M186" s="33">
        <v>0</v>
      </c>
      <c r="N186" s="33">
        <v>0</v>
      </c>
      <c r="O186" s="33">
        <v>0</v>
      </c>
      <c r="P186" s="33">
        <v>0</v>
      </c>
      <c r="Q186" s="21">
        <f t="shared" si="8"/>
        <v>15</v>
      </c>
      <c r="R186">
        <f t="shared" si="9"/>
        <v>22.401003254355217</v>
      </c>
      <c r="S186">
        <f t="shared" si="10"/>
        <v>0.35879710129304071</v>
      </c>
      <c r="T186">
        <v>0</v>
      </c>
    </row>
    <row r="187" spans="1:20">
      <c r="A187" s="32">
        <v>41274</v>
      </c>
      <c r="B187" s="42">
        <v>0</v>
      </c>
      <c r="C187" s="33">
        <v>1</v>
      </c>
      <c r="D187" s="33">
        <v>0</v>
      </c>
      <c r="E187" s="33">
        <v>1</v>
      </c>
      <c r="F187" s="33">
        <v>-1</v>
      </c>
      <c r="G187" s="33">
        <v>-1</v>
      </c>
      <c r="H187" s="33">
        <v>0</v>
      </c>
      <c r="I187" s="33">
        <v>0</v>
      </c>
      <c r="J187" s="33">
        <v>1</v>
      </c>
      <c r="K187" s="33">
        <v>0</v>
      </c>
      <c r="L187" s="33">
        <v>0</v>
      </c>
      <c r="M187" s="33">
        <v>0</v>
      </c>
      <c r="N187" s="33">
        <v>0</v>
      </c>
      <c r="O187" s="33">
        <v>0</v>
      </c>
      <c r="P187" s="33">
        <v>0</v>
      </c>
      <c r="Q187" s="21">
        <f t="shared" si="8"/>
        <v>15</v>
      </c>
      <c r="R187">
        <f t="shared" si="9"/>
        <v>9.7821224796010018</v>
      </c>
      <c r="S187">
        <f t="shared" si="10"/>
        <v>95.689920205915257</v>
      </c>
      <c r="T187">
        <v>0</v>
      </c>
    </row>
    <row r="188" spans="1:20">
      <c r="A188" s="32">
        <v>41275</v>
      </c>
      <c r="B188" s="42">
        <v>0</v>
      </c>
      <c r="C188" s="33">
        <v>1</v>
      </c>
      <c r="D188" s="33">
        <v>0</v>
      </c>
      <c r="E188" s="33">
        <v>1</v>
      </c>
      <c r="F188" s="33">
        <v>-1</v>
      </c>
      <c r="G188" s="33">
        <v>-1</v>
      </c>
      <c r="H188" s="33">
        <v>0</v>
      </c>
      <c r="I188" s="33">
        <v>0</v>
      </c>
      <c r="J188" s="33">
        <v>0</v>
      </c>
      <c r="K188" s="33">
        <v>1</v>
      </c>
      <c r="L188" s="33">
        <v>0</v>
      </c>
      <c r="M188" s="33">
        <v>0</v>
      </c>
      <c r="N188" s="33">
        <v>0</v>
      </c>
      <c r="O188" s="33">
        <v>0</v>
      </c>
      <c r="P188" s="33">
        <v>0</v>
      </c>
      <c r="Q188" s="21">
        <f t="shared" si="8"/>
        <v>15</v>
      </c>
      <c r="R188">
        <f t="shared" si="9"/>
        <v>9.7907166194835558</v>
      </c>
      <c r="S188">
        <f t="shared" si="10"/>
        <v>95.858131923031507</v>
      </c>
      <c r="T188">
        <v>0</v>
      </c>
    </row>
    <row r="189" spans="1:20">
      <c r="A189" s="32">
        <v>41276</v>
      </c>
      <c r="B189" s="42">
        <v>0</v>
      </c>
      <c r="C189" s="33">
        <v>1</v>
      </c>
      <c r="D189" s="33">
        <v>0</v>
      </c>
      <c r="E189" s="33">
        <v>1</v>
      </c>
      <c r="F189" s="33">
        <v>-1</v>
      </c>
      <c r="G189" s="33">
        <v>-1</v>
      </c>
      <c r="H189" s="33">
        <v>0</v>
      </c>
      <c r="I189" s="33">
        <v>0</v>
      </c>
      <c r="J189" s="33">
        <v>0</v>
      </c>
      <c r="K189" s="33">
        <v>0</v>
      </c>
      <c r="L189" s="33">
        <v>1</v>
      </c>
      <c r="M189" s="33">
        <v>0</v>
      </c>
      <c r="N189" s="33">
        <v>0</v>
      </c>
      <c r="O189" s="33">
        <v>0</v>
      </c>
      <c r="P189" s="33">
        <v>0</v>
      </c>
      <c r="Q189" s="21">
        <f t="shared" si="8"/>
        <v>27</v>
      </c>
      <c r="R189">
        <f t="shared" si="9"/>
        <v>16.293319567808659</v>
      </c>
      <c r="S189">
        <f t="shared" si="10"/>
        <v>265.47226253873657</v>
      </c>
      <c r="T189">
        <v>12</v>
      </c>
    </row>
    <row r="190" spans="1:20">
      <c r="A190" s="32">
        <v>41277</v>
      </c>
      <c r="B190" s="42">
        <v>0</v>
      </c>
      <c r="C190" s="33">
        <v>1</v>
      </c>
      <c r="D190" s="33">
        <v>0</v>
      </c>
      <c r="E190" s="33">
        <v>1</v>
      </c>
      <c r="F190" s="33">
        <v>-1</v>
      </c>
      <c r="G190" s="33">
        <v>-1</v>
      </c>
      <c r="H190" s="33">
        <v>0</v>
      </c>
      <c r="I190" s="33">
        <v>0</v>
      </c>
      <c r="J190" s="33">
        <v>0</v>
      </c>
      <c r="K190" s="33">
        <v>0</v>
      </c>
      <c r="L190" s="33">
        <v>0</v>
      </c>
      <c r="M190" s="33">
        <v>1</v>
      </c>
      <c r="N190" s="33">
        <v>0</v>
      </c>
      <c r="O190" s="33">
        <v>0</v>
      </c>
      <c r="P190" s="33">
        <v>0</v>
      </c>
      <c r="Q190" s="21">
        <f t="shared" si="8"/>
        <v>24</v>
      </c>
      <c r="R190">
        <f t="shared" si="9"/>
        <v>13.202436280885548</v>
      </c>
      <c r="S190">
        <f t="shared" si="10"/>
        <v>174.30432375084303</v>
      </c>
      <c r="T190">
        <v>9</v>
      </c>
    </row>
    <row r="191" spans="1:20">
      <c r="A191" s="32">
        <v>41278</v>
      </c>
      <c r="B191" s="42">
        <v>38</v>
      </c>
      <c r="C191" s="33">
        <v>1</v>
      </c>
      <c r="D191" s="33">
        <v>0</v>
      </c>
      <c r="E191" s="33">
        <v>0</v>
      </c>
      <c r="F191" s="33">
        <v>0</v>
      </c>
      <c r="G191" s="33">
        <v>0</v>
      </c>
      <c r="H191" s="33">
        <v>1</v>
      </c>
      <c r="I191" s="33">
        <v>0</v>
      </c>
      <c r="J191" s="33">
        <v>0</v>
      </c>
      <c r="K191" s="33">
        <v>0</v>
      </c>
      <c r="L191" s="33">
        <v>0</v>
      </c>
      <c r="M191" s="33">
        <v>0</v>
      </c>
      <c r="N191" s="33">
        <v>1</v>
      </c>
      <c r="O191" s="33">
        <v>0</v>
      </c>
      <c r="P191" s="33">
        <v>0</v>
      </c>
      <c r="Q191" s="21">
        <f t="shared" si="8"/>
        <v>23</v>
      </c>
      <c r="R191">
        <f t="shared" si="9"/>
        <v>22.426033960056408</v>
      </c>
      <c r="S191">
        <f t="shared" si="10"/>
        <v>242.5484182133163</v>
      </c>
      <c r="T191">
        <v>8</v>
      </c>
    </row>
    <row r="192" spans="1:20">
      <c r="A192" s="32">
        <v>41279</v>
      </c>
      <c r="B192" s="42">
        <v>26</v>
      </c>
      <c r="C192" s="33">
        <v>1</v>
      </c>
      <c r="D192" s="33">
        <v>0</v>
      </c>
      <c r="E192" s="33">
        <v>0</v>
      </c>
      <c r="F192" s="33">
        <v>0</v>
      </c>
      <c r="G192" s="33">
        <v>0</v>
      </c>
      <c r="H192" s="33">
        <v>1</v>
      </c>
      <c r="I192" s="33">
        <v>0</v>
      </c>
      <c r="J192" s="33">
        <v>0</v>
      </c>
      <c r="K192" s="33">
        <v>0</v>
      </c>
      <c r="L192" s="33">
        <v>0</v>
      </c>
      <c r="M192" s="33">
        <v>0</v>
      </c>
      <c r="N192" s="33">
        <v>0</v>
      </c>
      <c r="O192" s="33">
        <v>1</v>
      </c>
      <c r="P192" s="33">
        <v>0</v>
      </c>
      <c r="Q192" s="21">
        <f t="shared" si="8"/>
        <v>44</v>
      </c>
      <c r="R192">
        <f t="shared" si="9"/>
        <v>32.618035798305343</v>
      </c>
      <c r="S192">
        <f t="shared" si="10"/>
        <v>43.79839782765103</v>
      </c>
      <c r="T192">
        <v>29</v>
      </c>
    </row>
    <row r="193" spans="1:20">
      <c r="A193" s="32">
        <v>41280</v>
      </c>
      <c r="B193" s="42">
        <v>24</v>
      </c>
      <c r="C193" s="33">
        <v>1</v>
      </c>
      <c r="D193" s="33">
        <v>0</v>
      </c>
      <c r="E193" s="33">
        <v>0</v>
      </c>
      <c r="F193" s="33">
        <v>0</v>
      </c>
      <c r="G193" s="33">
        <v>0</v>
      </c>
      <c r="H193" s="33">
        <v>1</v>
      </c>
      <c r="I193" s="33">
        <v>0</v>
      </c>
      <c r="J193" s="33">
        <v>0</v>
      </c>
      <c r="K193" s="33">
        <v>0</v>
      </c>
      <c r="L193" s="33">
        <v>0</v>
      </c>
      <c r="M193" s="33">
        <v>0</v>
      </c>
      <c r="N193" s="33">
        <v>0</v>
      </c>
      <c r="O193" s="33">
        <v>0</v>
      </c>
      <c r="P193" s="33">
        <v>0</v>
      </c>
      <c r="Q193" s="21">
        <f t="shared" si="8"/>
        <v>38</v>
      </c>
      <c r="R193">
        <f t="shared" si="9"/>
        <v>26.466354921161635</v>
      </c>
      <c r="S193">
        <f t="shared" si="10"/>
        <v>6.0829065971382139</v>
      </c>
      <c r="T193">
        <v>23</v>
      </c>
    </row>
    <row r="194" spans="1:20">
      <c r="A194" s="32">
        <v>41281</v>
      </c>
      <c r="B194" s="42">
        <v>22</v>
      </c>
      <c r="C194" s="33">
        <v>1</v>
      </c>
      <c r="D194" s="33">
        <v>0</v>
      </c>
      <c r="E194" s="33">
        <v>0</v>
      </c>
      <c r="F194" s="33">
        <v>0</v>
      </c>
      <c r="G194" s="33">
        <v>0</v>
      </c>
      <c r="H194" s="33">
        <v>1</v>
      </c>
      <c r="I194" s="33">
        <v>0</v>
      </c>
      <c r="J194" s="33">
        <v>1</v>
      </c>
      <c r="K194" s="33">
        <v>0</v>
      </c>
      <c r="L194" s="33">
        <v>0</v>
      </c>
      <c r="M194" s="33">
        <v>0</v>
      </c>
      <c r="N194" s="33">
        <v>0</v>
      </c>
      <c r="O194" s="33">
        <v>0</v>
      </c>
      <c r="P194" s="33">
        <v>0</v>
      </c>
      <c r="Q194" s="21">
        <f t="shared" si="8"/>
        <v>24</v>
      </c>
      <c r="R194">
        <f t="shared" si="9"/>
        <v>23.32954596008036</v>
      </c>
      <c r="S194">
        <f t="shared" si="10"/>
        <v>1.7676924599660053</v>
      </c>
      <c r="T194">
        <v>9</v>
      </c>
    </row>
    <row r="195" spans="1:20">
      <c r="A195" s="32">
        <v>41282</v>
      </c>
      <c r="B195" s="42">
        <v>12</v>
      </c>
      <c r="C195" s="33">
        <v>1</v>
      </c>
      <c r="D195" s="33">
        <v>0</v>
      </c>
      <c r="E195" s="33">
        <v>0</v>
      </c>
      <c r="F195" s="33">
        <v>0</v>
      </c>
      <c r="G195" s="33">
        <v>0</v>
      </c>
      <c r="H195" s="33">
        <v>1</v>
      </c>
      <c r="I195" s="33">
        <v>0</v>
      </c>
      <c r="J195" s="33">
        <v>0</v>
      </c>
      <c r="K195" s="33">
        <v>1</v>
      </c>
      <c r="L195" s="33">
        <v>0</v>
      </c>
      <c r="M195" s="33">
        <v>0</v>
      </c>
      <c r="N195" s="33">
        <v>0</v>
      </c>
      <c r="O195" s="33">
        <v>0</v>
      </c>
      <c r="P195" s="33">
        <v>0</v>
      </c>
      <c r="Q195" s="21">
        <f t="shared" si="8"/>
        <v>25</v>
      </c>
      <c r="R195">
        <f t="shared" si="9"/>
        <v>23.913265869306478</v>
      </c>
      <c r="S195">
        <f t="shared" si="10"/>
        <v>141.92590367278265</v>
      </c>
      <c r="T195">
        <v>10</v>
      </c>
    </row>
    <row r="196" spans="1:20">
      <c r="A196" s="32">
        <v>41283</v>
      </c>
      <c r="B196" s="42">
        <v>18</v>
      </c>
      <c r="C196" s="33">
        <v>1</v>
      </c>
      <c r="D196" s="33">
        <v>0</v>
      </c>
      <c r="E196" s="33">
        <v>0</v>
      </c>
      <c r="F196" s="33">
        <v>0</v>
      </c>
      <c r="G196" s="33">
        <v>0</v>
      </c>
      <c r="H196" s="33">
        <v>1</v>
      </c>
      <c r="I196" s="33">
        <v>0</v>
      </c>
      <c r="J196" s="33">
        <v>0</v>
      </c>
      <c r="K196" s="33">
        <v>0</v>
      </c>
      <c r="L196" s="33">
        <v>1</v>
      </c>
      <c r="M196" s="33">
        <v>0</v>
      </c>
      <c r="N196" s="33">
        <v>0</v>
      </c>
      <c r="O196" s="33">
        <v>0</v>
      </c>
      <c r="P196" s="33">
        <v>0</v>
      </c>
      <c r="Q196" s="21">
        <f t="shared" si="8"/>
        <v>25</v>
      </c>
      <c r="R196">
        <f t="shared" si="9"/>
        <v>23.514359585508778</v>
      </c>
      <c r="S196">
        <f t="shared" si="10"/>
        <v>30.408161638292544</v>
      </c>
      <c r="T196">
        <v>10</v>
      </c>
    </row>
    <row r="197" spans="1:20">
      <c r="A197" s="32">
        <v>41284</v>
      </c>
      <c r="B197" s="42">
        <v>19</v>
      </c>
      <c r="C197" s="33">
        <v>1</v>
      </c>
      <c r="D197" s="33">
        <v>0</v>
      </c>
      <c r="E197" s="33">
        <v>0</v>
      </c>
      <c r="F197" s="33">
        <v>0</v>
      </c>
      <c r="G197" s="33">
        <v>0</v>
      </c>
      <c r="H197" s="33">
        <v>1</v>
      </c>
      <c r="I197" s="33">
        <v>0</v>
      </c>
      <c r="J197" s="33">
        <v>0</v>
      </c>
      <c r="K197" s="33">
        <v>0</v>
      </c>
      <c r="L197" s="33">
        <v>0</v>
      </c>
      <c r="M197" s="33">
        <v>1</v>
      </c>
      <c r="N197" s="33">
        <v>0</v>
      </c>
      <c r="O197" s="33">
        <v>0</v>
      </c>
      <c r="P197" s="33">
        <v>0</v>
      </c>
      <c r="Q197" s="21">
        <f t="shared" ref="Q197:Q260" si="11">T197+15</f>
        <v>22</v>
      </c>
      <c r="R197">
        <f t="shared" ref="R197:R260" si="12">SUMPRODUCT($C$2:$Q$2,C197:Q197)</f>
        <v>20.423476298585673</v>
      </c>
      <c r="S197">
        <f t="shared" ref="S197:S260" si="13">(R197-B197)^2</f>
        <v>2.0262847726351669</v>
      </c>
      <c r="T197">
        <v>7</v>
      </c>
    </row>
    <row r="198" spans="1:20">
      <c r="A198" s="32">
        <v>41285</v>
      </c>
      <c r="B198" s="42">
        <v>27</v>
      </c>
      <c r="C198" s="33">
        <v>1</v>
      </c>
      <c r="D198" s="33">
        <v>0</v>
      </c>
      <c r="E198" s="33">
        <v>0</v>
      </c>
      <c r="F198" s="33">
        <v>0</v>
      </c>
      <c r="G198" s="33">
        <v>0</v>
      </c>
      <c r="H198" s="33">
        <v>1</v>
      </c>
      <c r="I198" s="33">
        <v>0</v>
      </c>
      <c r="J198" s="33">
        <v>0</v>
      </c>
      <c r="K198" s="33">
        <v>0</v>
      </c>
      <c r="L198" s="33">
        <v>0</v>
      </c>
      <c r="M198" s="33">
        <v>0</v>
      </c>
      <c r="N198" s="33">
        <v>1</v>
      </c>
      <c r="O198" s="33">
        <v>0</v>
      </c>
      <c r="P198" s="33">
        <v>0</v>
      </c>
      <c r="Q198" s="21">
        <f t="shared" si="11"/>
        <v>24</v>
      </c>
      <c r="R198">
        <f t="shared" si="12"/>
        <v>23.001159729399973</v>
      </c>
      <c r="S198">
        <f t="shared" si="13"/>
        <v>15.990723509772499</v>
      </c>
      <c r="T198">
        <v>9</v>
      </c>
    </row>
    <row r="199" spans="1:20">
      <c r="A199" s="32">
        <v>41286</v>
      </c>
      <c r="B199" s="42">
        <v>39</v>
      </c>
      <c r="C199" s="33">
        <v>1</v>
      </c>
      <c r="D199" s="33">
        <v>0</v>
      </c>
      <c r="E199" s="33">
        <v>0</v>
      </c>
      <c r="F199" s="33">
        <v>1</v>
      </c>
      <c r="G199" s="33">
        <v>0</v>
      </c>
      <c r="H199" s="33">
        <v>2</v>
      </c>
      <c r="I199" s="33">
        <v>0</v>
      </c>
      <c r="J199" s="33">
        <v>0</v>
      </c>
      <c r="K199" s="33">
        <v>0</v>
      </c>
      <c r="L199" s="33">
        <v>0</v>
      </c>
      <c r="M199" s="33">
        <v>0</v>
      </c>
      <c r="N199" s="33">
        <v>0</v>
      </c>
      <c r="O199" s="33">
        <v>1</v>
      </c>
      <c r="P199" s="33">
        <v>0</v>
      </c>
      <c r="Q199" s="21">
        <f t="shared" si="11"/>
        <v>39</v>
      </c>
      <c r="R199">
        <f t="shared" si="12"/>
        <v>34.306269425627086</v>
      </c>
      <c r="S199">
        <f t="shared" si="13"/>
        <v>22.031106704803086</v>
      </c>
      <c r="T199">
        <v>24</v>
      </c>
    </row>
    <row r="200" spans="1:20">
      <c r="A200" s="32">
        <v>41287</v>
      </c>
      <c r="B200" s="42">
        <v>50</v>
      </c>
      <c r="C200" s="33">
        <v>1</v>
      </c>
      <c r="D200" s="33">
        <v>0</v>
      </c>
      <c r="E200" s="33">
        <v>0</v>
      </c>
      <c r="F200" s="33">
        <v>0</v>
      </c>
      <c r="G200" s="33">
        <v>0</v>
      </c>
      <c r="H200" s="33">
        <v>1</v>
      </c>
      <c r="I200" s="33">
        <v>0</v>
      </c>
      <c r="J200" s="33">
        <v>0</v>
      </c>
      <c r="K200" s="33">
        <v>0</v>
      </c>
      <c r="L200" s="33">
        <v>0</v>
      </c>
      <c r="M200" s="33">
        <v>0</v>
      </c>
      <c r="N200" s="33">
        <v>0</v>
      </c>
      <c r="O200" s="33">
        <v>0</v>
      </c>
      <c r="P200" s="33">
        <v>0</v>
      </c>
      <c r="Q200" s="21">
        <f t="shared" si="11"/>
        <v>36</v>
      </c>
      <c r="R200">
        <f t="shared" si="12"/>
        <v>25.316103382474498</v>
      </c>
      <c r="S200">
        <f t="shared" si="13"/>
        <v>609.29475222468693</v>
      </c>
      <c r="T200">
        <v>21</v>
      </c>
    </row>
    <row r="201" spans="1:20">
      <c r="A201" s="32">
        <v>41288</v>
      </c>
      <c r="B201" s="42">
        <v>16</v>
      </c>
      <c r="C201" s="33">
        <v>1</v>
      </c>
      <c r="D201" s="33">
        <v>0</v>
      </c>
      <c r="E201" s="33">
        <v>0</v>
      </c>
      <c r="F201" s="33">
        <v>0</v>
      </c>
      <c r="G201" s="33">
        <v>0</v>
      </c>
      <c r="H201" s="33">
        <v>1</v>
      </c>
      <c r="I201" s="33">
        <v>1</v>
      </c>
      <c r="J201" s="33">
        <v>1</v>
      </c>
      <c r="K201" s="33">
        <v>0</v>
      </c>
      <c r="L201" s="33">
        <v>0</v>
      </c>
      <c r="M201" s="33">
        <v>0</v>
      </c>
      <c r="N201" s="33">
        <v>0</v>
      </c>
      <c r="O201" s="33">
        <v>0</v>
      </c>
      <c r="P201" s="33">
        <v>0</v>
      </c>
      <c r="Q201" s="21">
        <f t="shared" si="11"/>
        <v>33</v>
      </c>
      <c r="R201">
        <f t="shared" si="12"/>
        <v>27.539547234518821</v>
      </c>
      <c r="S201">
        <f t="shared" si="13"/>
        <v>133.16115037769097</v>
      </c>
      <c r="T201">
        <v>18</v>
      </c>
    </row>
    <row r="202" spans="1:20">
      <c r="A202" s="32">
        <v>41289</v>
      </c>
      <c r="B202" s="42">
        <v>31</v>
      </c>
      <c r="C202" s="33">
        <v>1</v>
      </c>
      <c r="D202" s="33">
        <v>0</v>
      </c>
      <c r="E202" s="33">
        <v>0</v>
      </c>
      <c r="F202" s="33">
        <v>0</v>
      </c>
      <c r="G202" s="33">
        <v>0</v>
      </c>
      <c r="H202" s="33">
        <v>1</v>
      </c>
      <c r="I202" s="33">
        <v>0</v>
      </c>
      <c r="J202" s="33">
        <v>0</v>
      </c>
      <c r="K202" s="33">
        <v>1</v>
      </c>
      <c r="L202" s="33">
        <v>0</v>
      </c>
      <c r="M202" s="33">
        <v>0</v>
      </c>
      <c r="N202" s="33">
        <v>0</v>
      </c>
      <c r="O202" s="33">
        <v>0</v>
      </c>
      <c r="P202" s="33">
        <v>0</v>
      </c>
      <c r="Q202" s="21">
        <f t="shared" si="11"/>
        <v>33</v>
      </c>
      <c r="R202">
        <f t="shared" si="12"/>
        <v>28.514272024055018</v>
      </c>
      <c r="S202">
        <f t="shared" si="13"/>
        <v>6.1788435703955393</v>
      </c>
      <c r="T202">
        <v>18</v>
      </c>
    </row>
    <row r="203" spans="1:20">
      <c r="A203" s="32">
        <v>41290</v>
      </c>
      <c r="B203" s="42">
        <v>33</v>
      </c>
      <c r="C203" s="33">
        <v>1</v>
      </c>
      <c r="D203" s="33">
        <v>0</v>
      </c>
      <c r="E203" s="33">
        <v>0</v>
      </c>
      <c r="F203" s="33">
        <v>0</v>
      </c>
      <c r="G203" s="33">
        <v>0</v>
      </c>
      <c r="H203" s="33">
        <v>1</v>
      </c>
      <c r="I203" s="33">
        <v>0</v>
      </c>
      <c r="J203" s="33">
        <v>0</v>
      </c>
      <c r="K203" s="33">
        <v>0</v>
      </c>
      <c r="L203" s="33">
        <v>1</v>
      </c>
      <c r="M203" s="33">
        <v>0</v>
      </c>
      <c r="N203" s="33">
        <v>0</v>
      </c>
      <c r="O203" s="33">
        <v>0</v>
      </c>
      <c r="P203" s="33">
        <v>0</v>
      </c>
      <c r="Q203" s="21">
        <f t="shared" si="11"/>
        <v>32</v>
      </c>
      <c r="R203">
        <f t="shared" si="12"/>
        <v>27.540239970913749</v>
      </c>
      <c r="S203">
        <f t="shared" si="13"/>
        <v>29.8089795752079</v>
      </c>
      <c r="T203">
        <v>17</v>
      </c>
    </row>
    <row r="204" spans="1:20">
      <c r="A204" s="32">
        <v>41291</v>
      </c>
      <c r="B204" s="42">
        <v>27</v>
      </c>
      <c r="C204" s="33">
        <v>1</v>
      </c>
      <c r="D204" s="33">
        <v>0</v>
      </c>
      <c r="E204" s="33">
        <v>0</v>
      </c>
      <c r="F204" s="33">
        <v>0</v>
      </c>
      <c r="G204" s="33">
        <v>0</v>
      </c>
      <c r="H204" s="33">
        <v>1</v>
      </c>
      <c r="I204" s="33">
        <v>0</v>
      </c>
      <c r="J204" s="33">
        <v>0</v>
      </c>
      <c r="K204" s="33">
        <v>0</v>
      </c>
      <c r="L204" s="33">
        <v>0</v>
      </c>
      <c r="M204" s="33">
        <v>1</v>
      </c>
      <c r="N204" s="33">
        <v>0</v>
      </c>
      <c r="O204" s="33">
        <v>0</v>
      </c>
      <c r="P204" s="33">
        <v>0</v>
      </c>
      <c r="Q204" s="21">
        <f t="shared" si="11"/>
        <v>28</v>
      </c>
      <c r="R204">
        <f t="shared" si="12"/>
        <v>23.874230914647075</v>
      </c>
      <c r="S204">
        <f t="shared" si="13"/>
        <v>9.7704323749480597</v>
      </c>
      <c r="T204">
        <v>13</v>
      </c>
    </row>
    <row r="205" spans="1:20">
      <c r="A205" s="32">
        <v>41292</v>
      </c>
      <c r="B205" s="42">
        <v>26</v>
      </c>
      <c r="C205" s="33">
        <v>1</v>
      </c>
      <c r="D205" s="33">
        <v>0</v>
      </c>
      <c r="E205" s="33">
        <v>0</v>
      </c>
      <c r="F205" s="33">
        <v>0</v>
      </c>
      <c r="G205" s="33">
        <v>0</v>
      </c>
      <c r="H205" s="33">
        <v>1</v>
      </c>
      <c r="I205" s="33">
        <v>0</v>
      </c>
      <c r="J205" s="33">
        <v>0</v>
      </c>
      <c r="K205" s="33">
        <v>0</v>
      </c>
      <c r="L205" s="33">
        <v>0</v>
      </c>
      <c r="M205" s="33">
        <v>0</v>
      </c>
      <c r="N205" s="33">
        <v>1</v>
      </c>
      <c r="O205" s="33">
        <v>0</v>
      </c>
      <c r="P205" s="33">
        <v>0</v>
      </c>
      <c r="Q205" s="21">
        <f t="shared" si="11"/>
        <v>33</v>
      </c>
      <c r="R205">
        <f t="shared" si="12"/>
        <v>28.177291653492077</v>
      </c>
      <c r="S205">
        <f t="shared" si="13"/>
        <v>4.7405989443662619</v>
      </c>
      <c r="T205">
        <v>18</v>
      </c>
    </row>
    <row r="206" spans="1:20">
      <c r="A206" s="32">
        <v>41293</v>
      </c>
      <c r="B206" s="42">
        <v>56</v>
      </c>
      <c r="C206" s="33">
        <v>1</v>
      </c>
      <c r="D206" s="33">
        <v>0</v>
      </c>
      <c r="E206" s="33">
        <v>0</v>
      </c>
      <c r="F206" s="33">
        <v>1</v>
      </c>
      <c r="G206" s="33">
        <v>1</v>
      </c>
      <c r="H206" s="33">
        <v>4</v>
      </c>
      <c r="I206" s="33">
        <v>0</v>
      </c>
      <c r="J206" s="33">
        <v>0</v>
      </c>
      <c r="K206" s="33">
        <v>0</v>
      </c>
      <c r="L206" s="33">
        <v>0</v>
      </c>
      <c r="M206" s="33">
        <v>0</v>
      </c>
      <c r="N206" s="33">
        <v>0</v>
      </c>
      <c r="O206" s="33">
        <v>1</v>
      </c>
      <c r="P206" s="33">
        <v>0</v>
      </c>
      <c r="Q206" s="21">
        <f t="shared" si="11"/>
        <v>45</v>
      </c>
      <c r="R206">
        <f t="shared" si="12"/>
        <v>40.056363318716507</v>
      </c>
      <c r="S206">
        <f t="shared" si="13"/>
        <v>254.19955062476853</v>
      </c>
      <c r="T206">
        <v>30</v>
      </c>
    </row>
    <row r="207" spans="1:20">
      <c r="A207" s="32">
        <v>41294</v>
      </c>
      <c r="B207" s="42">
        <v>43</v>
      </c>
      <c r="C207" s="33">
        <v>1</v>
      </c>
      <c r="D207" s="33">
        <v>0</v>
      </c>
      <c r="E207" s="33">
        <v>0</v>
      </c>
      <c r="F207" s="33">
        <v>1</v>
      </c>
      <c r="G207" s="33">
        <v>0</v>
      </c>
      <c r="H207" s="33">
        <v>2</v>
      </c>
      <c r="I207" s="33">
        <v>0</v>
      </c>
      <c r="J207" s="33">
        <v>0</v>
      </c>
      <c r="K207" s="33">
        <v>0</v>
      </c>
      <c r="L207" s="33">
        <v>0</v>
      </c>
      <c r="M207" s="33">
        <v>0</v>
      </c>
      <c r="N207" s="33">
        <v>0</v>
      </c>
      <c r="O207" s="33">
        <v>0</v>
      </c>
      <c r="P207" s="33">
        <v>0</v>
      </c>
      <c r="Q207" s="21">
        <f t="shared" si="11"/>
        <v>43</v>
      </c>
      <c r="R207">
        <f t="shared" si="12"/>
        <v>33.90584624191905</v>
      </c>
      <c r="S207">
        <f t="shared" si="13"/>
        <v>82.70363257561786</v>
      </c>
      <c r="T207">
        <v>28</v>
      </c>
    </row>
    <row r="208" spans="1:20">
      <c r="A208" s="32">
        <v>41295</v>
      </c>
      <c r="B208" s="42">
        <v>38</v>
      </c>
      <c r="C208" s="33">
        <v>1</v>
      </c>
      <c r="D208" s="33">
        <v>0</v>
      </c>
      <c r="E208" s="33">
        <v>0</v>
      </c>
      <c r="F208" s="33">
        <v>0</v>
      </c>
      <c r="G208" s="33">
        <v>0</v>
      </c>
      <c r="H208" s="33">
        <v>1</v>
      </c>
      <c r="I208" s="33">
        <v>0</v>
      </c>
      <c r="J208" s="33">
        <v>1</v>
      </c>
      <c r="K208" s="33">
        <v>0</v>
      </c>
      <c r="L208" s="33">
        <v>0</v>
      </c>
      <c r="M208" s="33">
        <v>0</v>
      </c>
      <c r="N208" s="33">
        <v>0</v>
      </c>
      <c r="O208" s="33">
        <v>0</v>
      </c>
      <c r="P208" s="33">
        <v>0</v>
      </c>
      <c r="Q208" s="21">
        <f t="shared" si="11"/>
        <v>33</v>
      </c>
      <c r="R208">
        <f t="shared" si="12"/>
        <v>28.505677884172464</v>
      </c>
      <c r="S208">
        <f t="shared" si="13"/>
        <v>90.142152439091873</v>
      </c>
      <c r="T208">
        <v>18</v>
      </c>
    </row>
    <row r="209" spans="1:20">
      <c r="A209" s="32">
        <v>41296</v>
      </c>
      <c r="B209" s="42">
        <v>21</v>
      </c>
      <c r="C209" s="33">
        <v>1</v>
      </c>
      <c r="D209" s="33">
        <v>0</v>
      </c>
      <c r="E209" s="33">
        <v>0</v>
      </c>
      <c r="F209" s="33">
        <v>0</v>
      </c>
      <c r="G209" s="33">
        <v>0</v>
      </c>
      <c r="H209" s="33">
        <v>1</v>
      </c>
      <c r="I209" s="33">
        <v>0</v>
      </c>
      <c r="J209" s="33">
        <v>0</v>
      </c>
      <c r="K209" s="33">
        <v>1</v>
      </c>
      <c r="L209" s="33">
        <v>0</v>
      </c>
      <c r="M209" s="33">
        <v>0</v>
      </c>
      <c r="N209" s="33">
        <v>0</v>
      </c>
      <c r="O209" s="33">
        <v>0</v>
      </c>
      <c r="P209" s="33">
        <v>0</v>
      </c>
      <c r="Q209" s="21">
        <f t="shared" si="11"/>
        <v>32</v>
      </c>
      <c r="R209">
        <f t="shared" si="12"/>
        <v>27.939146254711449</v>
      </c>
      <c r="S209">
        <f t="shared" si="13"/>
        <v>48.151750744275937</v>
      </c>
      <c r="T209">
        <v>17</v>
      </c>
    </row>
    <row r="210" spans="1:20">
      <c r="A210" s="32">
        <v>41297</v>
      </c>
      <c r="B210" s="42">
        <v>37</v>
      </c>
      <c r="C210" s="33">
        <v>1</v>
      </c>
      <c r="D210" s="33">
        <v>0</v>
      </c>
      <c r="E210" s="33">
        <v>0</v>
      </c>
      <c r="F210" s="33">
        <v>0</v>
      </c>
      <c r="G210" s="33">
        <v>0</v>
      </c>
      <c r="H210" s="33">
        <v>1</v>
      </c>
      <c r="I210" s="33">
        <v>0</v>
      </c>
      <c r="J210" s="33">
        <v>0</v>
      </c>
      <c r="K210" s="33">
        <v>0</v>
      </c>
      <c r="L210" s="33">
        <v>1</v>
      </c>
      <c r="M210" s="33">
        <v>0</v>
      </c>
      <c r="N210" s="33">
        <v>0</v>
      </c>
      <c r="O210" s="33">
        <v>0</v>
      </c>
      <c r="P210" s="33">
        <v>0</v>
      </c>
      <c r="Q210" s="21">
        <f t="shared" si="11"/>
        <v>35</v>
      </c>
      <c r="R210">
        <f t="shared" si="12"/>
        <v>29.26561727894445</v>
      </c>
      <c r="S210">
        <f t="shared" si="13"/>
        <v>59.820676075762648</v>
      </c>
      <c r="T210">
        <v>20</v>
      </c>
    </row>
    <row r="211" spans="1:20">
      <c r="A211" s="32">
        <v>41298</v>
      </c>
      <c r="B211" s="42">
        <v>29</v>
      </c>
      <c r="C211" s="33">
        <v>1</v>
      </c>
      <c r="D211" s="33">
        <v>0</v>
      </c>
      <c r="E211" s="33">
        <v>0</v>
      </c>
      <c r="F211" s="33">
        <v>0</v>
      </c>
      <c r="G211" s="33">
        <v>0</v>
      </c>
      <c r="H211" s="33">
        <v>1</v>
      </c>
      <c r="I211" s="33">
        <v>0</v>
      </c>
      <c r="J211" s="33">
        <v>0</v>
      </c>
      <c r="K211" s="33">
        <v>0</v>
      </c>
      <c r="L211" s="33">
        <v>0</v>
      </c>
      <c r="M211" s="33">
        <v>1</v>
      </c>
      <c r="N211" s="33">
        <v>0</v>
      </c>
      <c r="O211" s="33">
        <v>0</v>
      </c>
      <c r="P211" s="33">
        <v>0</v>
      </c>
      <c r="Q211" s="21">
        <f t="shared" si="11"/>
        <v>31</v>
      </c>
      <c r="R211">
        <f t="shared" si="12"/>
        <v>25.599608222677773</v>
      </c>
      <c r="S211">
        <f t="shared" si="13"/>
        <v>11.562664239280613</v>
      </c>
      <c r="T211">
        <v>16</v>
      </c>
    </row>
    <row r="212" spans="1:20">
      <c r="A212" s="32">
        <v>41299</v>
      </c>
      <c r="B212" s="42">
        <v>43</v>
      </c>
      <c r="C212" s="33">
        <v>1</v>
      </c>
      <c r="D212" s="33">
        <v>0</v>
      </c>
      <c r="E212" s="33">
        <v>0</v>
      </c>
      <c r="F212" s="33">
        <v>1</v>
      </c>
      <c r="G212" s="33">
        <v>0</v>
      </c>
      <c r="H212" s="33">
        <v>2</v>
      </c>
      <c r="I212" s="33">
        <v>0</v>
      </c>
      <c r="J212" s="33">
        <v>0</v>
      </c>
      <c r="K212" s="33">
        <v>0</v>
      </c>
      <c r="L212" s="33">
        <v>0</v>
      </c>
      <c r="M212" s="33">
        <v>0</v>
      </c>
      <c r="N212" s="33">
        <v>1</v>
      </c>
      <c r="O212" s="33">
        <v>0</v>
      </c>
      <c r="P212" s="33">
        <v>0</v>
      </c>
      <c r="Q212" s="21">
        <f t="shared" si="11"/>
        <v>45</v>
      </c>
      <c r="R212">
        <f t="shared" si="12"/>
        <v>39.642663359654456</v>
      </c>
      <c r="S212">
        <f t="shared" si="13"/>
        <v>11.271709316606703</v>
      </c>
      <c r="T212">
        <v>30</v>
      </c>
    </row>
    <row r="213" spans="1:20">
      <c r="A213" s="32">
        <v>41300</v>
      </c>
      <c r="B213" s="42">
        <v>56</v>
      </c>
      <c r="C213" s="33">
        <v>1</v>
      </c>
      <c r="D213" s="33">
        <v>0</v>
      </c>
      <c r="E213" s="33">
        <v>0</v>
      </c>
      <c r="F213" s="33">
        <v>2</v>
      </c>
      <c r="G213" s="33">
        <v>1</v>
      </c>
      <c r="H213" s="33">
        <v>6</v>
      </c>
      <c r="I213" s="33">
        <v>0</v>
      </c>
      <c r="J213" s="33">
        <v>0</v>
      </c>
      <c r="K213" s="33">
        <v>0</v>
      </c>
      <c r="L213" s="33">
        <v>0</v>
      </c>
      <c r="M213" s="33">
        <v>0</v>
      </c>
      <c r="N213" s="33">
        <v>0</v>
      </c>
      <c r="O213" s="33">
        <v>1</v>
      </c>
      <c r="P213" s="33">
        <v>0</v>
      </c>
      <c r="Q213" s="21">
        <f t="shared" si="11"/>
        <v>47</v>
      </c>
      <c r="R213">
        <f t="shared" si="12"/>
        <v>45.016432428783389</v>
      </c>
      <c r="S213">
        <f t="shared" si="13"/>
        <v>120.63875659148115</v>
      </c>
      <c r="T213">
        <v>32</v>
      </c>
    </row>
    <row r="214" spans="1:20">
      <c r="A214" s="32">
        <v>41301</v>
      </c>
      <c r="B214" s="42">
        <v>50</v>
      </c>
      <c r="C214" s="33">
        <v>1</v>
      </c>
      <c r="D214" s="33">
        <v>0</v>
      </c>
      <c r="E214" s="33">
        <v>0</v>
      </c>
      <c r="F214" s="33">
        <v>1</v>
      </c>
      <c r="G214" s="33">
        <v>1</v>
      </c>
      <c r="H214" s="33">
        <v>4</v>
      </c>
      <c r="I214" s="33">
        <v>0</v>
      </c>
      <c r="J214" s="33">
        <v>0</v>
      </c>
      <c r="K214" s="33">
        <v>0</v>
      </c>
      <c r="L214" s="33">
        <v>0</v>
      </c>
      <c r="M214" s="33">
        <v>0</v>
      </c>
      <c r="N214" s="33">
        <v>0</v>
      </c>
      <c r="O214" s="33">
        <v>0</v>
      </c>
      <c r="P214" s="33">
        <v>0</v>
      </c>
      <c r="Q214" s="21">
        <f t="shared" si="11"/>
        <v>41</v>
      </c>
      <c r="R214">
        <f t="shared" si="12"/>
        <v>35.054933980259932</v>
      </c>
      <c r="S214">
        <f t="shared" si="13"/>
        <v>223.35499833438925</v>
      </c>
      <c r="T214">
        <v>26</v>
      </c>
    </row>
    <row r="215" spans="1:20">
      <c r="A215" s="32">
        <v>41302</v>
      </c>
      <c r="B215" s="42">
        <v>42</v>
      </c>
      <c r="C215" s="33">
        <v>1</v>
      </c>
      <c r="D215" s="33">
        <v>0</v>
      </c>
      <c r="E215" s="33">
        <v>0</v>
      </c>
      <c r="F215" s="33">
        <v>1</v>
      </c>
      <c r="G215" s="33">
        <v>0</v>
      </c>
      <c r="H215" s="33">
        <v>2</v>
      </c>
      <c r="I215" s="33">
        <v>0</v>
      </c>
      <c r="J215" s="33">
        <v>1</v>
      </c>
      <c r="K215" s="33">
        <v>0</v>
      </c>
      <c r="L215" s="33">
        <v>0</v>
      </c>
      <c r="M215" s="33">
        <v>0</v>
      </c>
      <c r="N215" s="33">
        <v>0</v>
      </c>
      <c r="O215" s="33">
        <v>0</v>
      </c>
      <c r="P215" s="33">
        <v>0</v>
      </c>
      <c r="Q215" s="21">
        <f t="shared" si="11"/>
        <v>48</v>
      </c>
      <c r="R215">
        <f t="shared" si="12"/>
        <v>41.696426898365544</v>
      </c>
      <c r="S215">
        <f t="shared" si="13"/>
        <v>9.2156628035963514E-2</v>
      </c>
      <c r="T215">
        <v>33</v>
      </c>
    </row>
    <row r="216" spans="1:20">
      <c r="A216" s="32">
        <v>41303</v>
      </c>
      <c r="B216" s="42">
        <v>42</v>
      </c>
      <c r="C216" s="33">
        <v>1</v>
      </c>
      <c r="D216" s="33">
        <v>0</v>
      </c>
      <c r="E216" s="33">
        <v>0</v>
      </c>
      <c r="F216" s="33">
        <v>1</v>
      </c>
      <c r="G216" s="33">
        <v>0</v>
      </c>
      <c r="H216" s="33">
        <v>2</v>
      </c>
      <c r="I216" s="33">
        <v>0</v>
      </c>
      <c r="J216" s="33">
        <v>0</v>
      </c>
      <c r="K216" s="33">
        <v>1</v>
      </c>
      <c r="L216" s="33">
        <v>0</v>
      </c>
      <c r="M216" s="33">
        <v>0</v>
      </c>
      <c r="N216" s="33">
        <v>0</v>
      </c>
      <c r="O216" s="33">
        <v>0</v>
      </c>
      <c r="P216" s="33">
        <v>0</v>
      </c>
      <c r="Q216" s="21">
        <f t="shared" si="11"/>
        <v>44</v>
      </c>
      <c r="R216">
        <f t="shared" si="12"/>
        <v>39.404517960873832</v>
      </c>
      <c r="S216">
        <f t="shared" si="13"/>
        <v>6.73652701542653</v>
      </c>
      <c r="T216">
        <v>29</v>
      </c>
    </row>
    <row r="217" spans="1:20">
      <c r="A217" s="32">
        <v>41304</v>
      </c>
      <c r="B217" s="42">
        <v>45</v>
      </c>
      <c r="C217" s="33">
        <v>1</v>
      </c>
      <c r="D217" s="33">
        <v>0</v>
      </c>
      <c r="E217" s="33">
        <v>0</v>
      </c>
      <c r="F217" s="33">
        <v>1</v>
      </c>
      <c r="G217" s="33">
        <v>0</v>
      </c>
      <c r="H217" s="33">
        <v>2</v>
      </c>
      <c r="I217" s="33">
        <v>0</v>
      </c>
      <c r="J217" s="33">
        <v>0</v>
      </c>
      <c r="K217" s="33">
        <v>0</v>
      </c>
      <c r="L217" s="33">
        <v>1</v>
      </c>
      <c r="M217" s="33">
        <v>0</v>
      </c>
      <c r="N217" s="33">
        <v>0</v>
      </c>
      <c r="O217" s="33">
        <v>0</v>
      </c>
      <c r="P217" s="33">
        <v>0</v>
      </c>
      <c r="Q217" s="21">
        <f t="shared" si="11"/>
        <v>42</v>
      </c>
      <c r="R217">
        <f t="shared" si="12"/>
        <v>37.855360138388995</v>
      </c>
      <c r="S217">
        <f t="shared" si="13"/>
        <v>51.045878752120913</v>
      </c>
      <c r="T217">
        <v>27</v>
      </c>
    </row>
    <row r="218" spans="1:20">
      <c r="A218" s="32">
        <v>41305</v>
      </c>
      <c r="B218" s="42">
        <v>39</v>
      </c>
      <c r="C218" s="33">
        <v>1</v>
      </c>
      <c r="D218" s="33">
        <v>0</v>
      </c>
      <c r="E218" s="33">
        <v>0</v>
      </c>
      <c r="F218" s="33">
        <v>2</v>
      </c>
      <c r="G218" s="33">
        <v>1</v>
      </c>
      <c r="H218" s="33">
        <v>6</v>
      </c>
      <c r="I218" s="33">
        <v>0</v>
      </c>
      <c r="J218" s="33">
        <v>0</v>
      </c>
      <c r="K218" s="33">
        <v>0</v>
      </c>
      <c r="L218" s="33">
        <v>0</v>
      </c>
      <c r="M218" s="33">
        <v>1</v>
      </c>
      <c r="N218" s="33">
        <v>0</v>
      </c>
      <c r="O218" s="33">
        <v>0</v>
      </c>
      <c r="P218" s="33">
        <v>0</v>
      </c>
      <c r="Q218" s="21">
        <f t="shared" si="11"/>
        <v>32</v>
      </c>
      <c r="R218">
        <f t="shared" si="12"/>
        <v>36.84775331446869</v>
      </c>
      <c r="S218">
        <f t="shared" si="13"/>
        <v>4.6321657953805087</v>
      </c>
      <c r="T218">
        <v>17</v>
      </c>
    </row>
    <row r="219" spans="1:20">
      <c r="A219" s="32">
        <v>41306</v>
      </c>
      <c r="B219" s="42">
        <v>48</v>
      </c>
      <c r="C219" s="33">
        <v>1</v>
      </c>
      <c r="D219" s="33">
        <v>0</v>
      </c>
      <c r="E219" s="33">
        <v>0</v>
      </c>
      <c r="F219" s="33">
        <v>1</v>
      </c>
      <c r="G219" s="33">
        <v>1</v>
      </c>
      <c r="H219" s="33">
        <v>4</v>
      </c>
      <c r="I219" s="33">
        <v>0</v>
      </c>
      <c r="J219" s="33">
        <v>0</v>
      </c>
      <c r="K219" s="33">
        <v>0</v>
      </c>
      <c r="L219" s="33">
        <v>0</v>
      </c>
      <c r="M219" s="33">
        <v>0</v>
      </c>
      <c r="N219" s="33">
        <v>1</v>
      </c>
      <c r="O219" s="33">
        <v>0</v>
      </c>
      <c r="P219" s="33">
        <v>0</v>
      </c>
      <c r="Q219" s="21">
        <f t="shared" si="11"/>
        <v>34</v>
      </c>
      <c r="R219">
        <f t="shared" si="12"/>
        <v>35.615619173903241</v>
      </c>
      <c r="S219">
        <f t="shared" si="13"/>
        <v>153.37288844579305</v>
      </c>
      <c r="T219">
        <v>19</v>
      </c>
    </row>
    <row r="220" spans="1:20">
      <c r="A220" s="32">
        <v>41307</v>
      </c>
      <c r="B220" s="42">
        <v>48</v>
      </c>
      <c r="C220" s="33">
        <v>1</v>
      </c>
      <c r="D220" s="33">
        <v>0</v>
      </c>
      <c r="E220" s="33">
        <v>0</v>
      </c>
      <c r="F220" s="33">
        <v>2</v>
      </c>
      <c r="G220" s="33">
        <v>1</v>
      </c>
      <c r="H220" s="33">
        <v>6</v>
      </c>
      <c r="I220" s="33">
        <v>0</v>
      </c>
      <c r="J220" s="33">
        <v>0</v>
      </c>
      <c r="K220" s="33">
        <v>0</v>
      </c>
      <c r="L220" s="33">
        <v>0</v>
      </c>
      <c r="M220" s="33">
        <v>0</v>
      </c>
      <c r="N220" s="33">
        <v>0</v>
      </c>
      <c r="O220" s="33">
        <v>1</v>
      </c>
      <c r="P220" s="33">
        <v>0</v>
      </c>
      <c r="Q220" s="21">
        <f t="shared" si="11"/>
        <v>48</v>
      </c>
      <c r="R220">
        <f t="shared" si="12"/>
        <v>45.591558198126961</v>
      </c>
      <c r="S220">
        <f t="shared" si="13"/>
        <v>5.8005919130094501</v>
      </c>
      <c r="T220">
        <v>33</v>
      </c>
    </row>
    <row r="221" spans="1:20">
      <c r="A221" s="32">
        <v>41308</v>
      </c>
      <c r="B221" s="42">
        <v>41</v>
      </c>
      <c r="C221" s="33">
        <v>1</v>
      </c>
      <c r="D221" s="33">
        <v>0</v>
      </c>
      <c r="E221" s="33">
        <v>0</v>
      </c>
      <c r="F221" s="33">
        <v>1</v>
      </c>
      <c r="G221" s="33">
        <v>1</v>
      </c>
      <c r="H221" s="33">
        <v>4</v>
      </c>
      <c r="I221" s="33">
        <v>0</v>
      </c>
      <c r="J221" s="33">
        <v>0</v>
      </c>
      <c r="K221" s="33">
        <v>0</v>
      </c>
      <c r="L221" s="33">
        <v>0</v>
      </c>
      <c r="M221" s="33">
        <v>0</v>
      </c>
      <c r="N221" s="33">
        <v>0</v>
      </c>
      <c r="O221" s="33">
        <v>0</v>
      </c>
      <c r="P221" s="33">
        <v>0</v>
      </c>
      <c r="Q221" s="21">
        <f t="shared" si="11"/>
        <v>34</v>
      </c>
      <c r="R221">
        <f t="shared" si="12"/>
        <v>31.029053594854965</v>
      </c>
      <c r="S221">
        <f t="shared" si="13"/>
        <v>99.419772214274701</v>
      </c>
      <c r="T221">
        <v>19</v>
      </c>
    </row>
    <row r="222" spans="1:20">
      <c r="A222" s="32">
        <v>41309</v>
      </c>
      <c r="B222" s="42">
        <v>30</v>
      </c>
      <c r="C222" s="33">
        <v>1</v>
      </c>
      <c r="D222" s="33">
        <v>0</v>
      </c>
      <c r="E222" s="33">
        <v>0</v>
      </c>
      <c r="F222" s="33">
        <v>1</v>
      </c>
      <c r="G222" s="33">
        <v>0</v>
      </c>
      <c r="H222" s="33">
        <v>2</v>
      </c>
      <c r="I222" s="33">
        <v>0</v>
      </c>
      <c r="J222" s="33">
        <v>1</v>
      </c>
      <c r="K222" s="33">
        <v>0</v>
      </c>
      <c r="L222" s="33">
        <v>0</v>
      </c>
      <c r="M222" s="33">
        <v>0</v>
      </c>
      <c r="N222" s="33">
        <v>0</v>
      </c>
      <c r="O222" s="33">
        <v>0</v>
      </c>
      <c r="P222" s="33">
        <v>0</v>
      </c>
      <c r="Q222" s="21">
        <f t="shared" si="11"/>
        <v>38</v>
      </c>
      <c r="R222">
        <f t="shared" si="12"/>
        <v>35.945169204929876</v>
      </c>
      <c r="S222">
        <f t="shared" si="13"/>
        <v>35.345036875246528</v>
      </c>
      <c r="T222">
        <v>23</v>
      </c>
    </row>
    <row r="223" spans="1:20">
      <c r="A223" s="32">
        <v>41310</v>
      </c>
      <c r="B223" s="42">
        <v>29</v>
      </c>
      <c r="C223" s="33">
        <v>1</v>
      </c>
      <c r="D223" s="33">
        <v>0</v>
      </c>
      <c r="E223" s="33">
        <v>0</v>
      </c>
      <c r="F223" s="33">
        <v>1</v>
      </c>
      <c r="G223" s="33">
        <v>0</v>
      </c>
      <c r="H223" s="33">
        <v>2</v>
      </c>
      <c r="I223" s="33">
        <v>0</v>
      </c>
      <c r="J223" s="33">
        <v>0</v>
      </c>
      <c r="K223" s="33">
        <v>1</v>
      </c>
      <c r="L223" s="33">
        <v>0</v>
      </c>
      <c r="M223" s="33">
        <v>0</v>
      </c>
      <c r="N223" s="33">
        <v>0</v>
      </c>
      <c r="O223" s="33">
        <v>0</v>
      </c>
      <c r="P223" s="33">
        <v>0</v>
      </c>
      <c r="Q223" s="21">
        <f t="shared" si="11"/>
        <v>33</v>
      </c>
      <c r="R223">
        <f t="shared" si="12"/>
        <v>33.078134498094599</v>
      </c>
      <c r="S223">
        <f t="shared" si="13"/>
        <v>16.631180984549285</v>
      </c>
      <c r="T223">
        <v>18</v>
      </c>
    </row>
    <row r="224" spans="1:20">
      <c r="A224" s="32">
        <v>41311</v>
      </c>
      <c r="B224" s="42">
        <v>21</v>
      </c>
      <c r="C224" s="33">
        <v>1</v>
      </c>
      <c r="D224" s="33">
        <v>0</v>
      </c>
      <c r="E224" s="33">
        <v>0</v>
      </c>
      <c r="F224" s="33">
        <v>0</v>
      </c>
      <c r="G224" s="33">
        <v>0</v>
      </c>
      <c r="H224" s="33">
        <v>1</v>
      </c>
      <c r="I224" s="33">
        <v>0</v>
      </c>
      <c r="J224" s="33">
        <v>0</v>
      </c>
      <c r="K224" s="33">
        <v>0</v>
      </c>
      <c r="L224" s="33">
        <v>1</v>
      </c>
      <c r="M224" s="33">
        <v>0</v>
      </c>
      <c r="N224" s="33">
        <v>0</v>
      </c>
      <c r="O224" s="33">
        <v>0</v>
      </c>
      <c r="P224" s="33">
        <v>0</v>
      </c>
      <c r="Q224" s="21">
        <f t="shared" si="11"/>
        <v>37</v>
      </c>
      <c r="R224">
        <f t="shared" si="12"/>
        <v>30.415868817631583</v>
      </c>
      <c r="S224">
        <f t="shared" si="13"/>
        <v>88.658585590846798</v>
      </c>
      <c r="T224">
        <v>22</v>
      </c>
    </row>
    <row r="225" spans="1:20">
      <c r="A225" s="32">
        <v>41312</v>
      </c>
      <c r="B225" s="42">
        <v>25</v>
      </c>
      <c r="C225" s="33">
        <v>1</v>
      </c>
      <c r="D225" s="33">
        <v>0</v>
      </c>
      <c r="E225" s="33">
        <v>0</v>
      </c>
      <c r="F225" s="33">
        <v>0</v>
      </c>
      <c r="G225" s="33">
        <v>0</v>
      </c>
      <c r="H225" s="33">
        <v>1</v>
      </c>
      <c r="I225" s="33">
        <v>0</v>
      </c>
      <c r="J225" s="33">
        <v>0</v>
      </c>
      <c r="K225" s="33">
        <v>0</v>
      </c>
      <c r="L225" s="33">
        <v>0</v>
      </c>
      <c r="M225" s="33">
        <v>1</v>
      </c>
      <c r="N225" s="33">
        <v>0</v>
      </c>
      <c r="O225" s="33">
        <v>0</v>
      </c>
      <c r="P225" s="33">
        <v>0</v>
      </c>
      <c r="Q225" s="21">
        <f t="shared" si="11"/>
        <v>29</v>
      </c>
      <c r="R225">
        <f t="shared" si="12"/>
        <v>24.44935668399064</v>
      </c>
      <c r="S225">
        <f t="shared" si="13"/>
        <v>0.30320806146578388</v>
      </c>
      <c r="T225">
        <v>14</v>
      </c>
    </row>
    <row r="226" spans="1:20">
      <c r="A226" s="32">
        <v>41313</v>
      </c>
      <c r="B226" s="42">
        <v>40</v>
      </c>
      <c r="C226" s="33">
        <v>1</v>
      </c>
      <c r="D226" s="33">
        <v>0</v>
      </c>
      <c r="E226" s="33">
        <v>0</v>
      </c>
      <c r="F226" s="33">
        <v>1</v>
      </c>
      <c r="G226" s="33">
        <v>0</v>
      </c>
      <c r="H226" s="33">
        <v>2</v>
      </c>
      <c r="I226" s="33">
        <v>0</v>
      </c>
      <c r="J226" s="33">
        <v>0</v>
      </c>
      <c r="K226" s="33">
        <v>0</v>
      </c>
      <c r="L226" s="33">
        <v>0</v>
      </c>
      <c r="M226" s="33">
        <v>0</v>
      </c>
      <c r="N226" s="33">
        <v>1</v>
      </c>
      <c r="O226" s="33">
        <v>0</v>
      </c>
      <c r="P226" s="33">
        <v>0</v>
      </c>
      <c r="Q226" s="21">
        <f t="shared" si="11"/>
        <v>40</v>
      </c>
      <c r="R226">
        <f t="shared" si="12"/>
        <v>36.767034512936618</v>
      </c>
      <c r="S226">
        <f t="shared" si="13"/>
        <v>10.45206584054297</v>
      </c>
      <c r="T226">
        <v>25</v>
      </c>
    </row>
    <row r="227" spans="1:20">
      <c r="A227" s="32">
        <v>41314</v>
      </c>
      <c r="B227" s="42">
        <v>36</v>
      </c>
      <c r="C227" s="33">
        <v>1</v>
      </c>
      <c r="D227" s="33">
        <v>0</v>
      </c>
      <c r="E227" s="33">
        <v>0</v>
      </c>
      <c r="F227" s="33">
        <v>2</v>
      </c>
      <c r="G227" s="33">
        <v>1</v>
      </c>
      <c r="H227" s="33">
        <v>6</v>
      </c>
      <c r="I227" s="33">
        <v>0</v>
      </c>
      <c r="J227" s="33">
        <v>0</v>
      </c>
      <c r="K227" s="33">
        <v>0</v>
      </c>
      <c r="L227" s="33">
        <v>0</v>
      </c>
      <c r="M227" s="33">
        <v>0</v>
      </c>
      <c r="N227" s="33">
        <v>0</v>
      </c>
      <c r="O227" s="33">
        <v>1</v>
      </c>
      <c r="P227" s="33">
        <v>0</v>
      </c>
      <c r="Q227" s="21">
        <f t="shared" si="11"/>
        <v>51</v>
      </c>
      <c r="R227">
        <f t="shared" si="12"/>
        <v>47.316935506157662</v>
      </c>
      <c r="S227">
        <f t="shared" si="13"/>
        <v>128.07302925053199</v>
      </c>
      <c r="T227">
        <v>36</v>
      </c>
    </row>
    <row r="228" spans="1:20">
      <c r="A228" s="32">
        <v>41315</v>
      </c>
      <c r="B228" s="42">
        <v>44</v>
      </c>
      <c r="C228" s="33">
        <v>1</v>
      </c>
      <c r="D228" s="33">
        <v>0</v>
      </c>
      <c r="E228" s="33">
        <v>0</v>
      </c>
      <c r="F228" s="33">
        <v>2</v>
      </c>
      <c r="G228" s="33">
        <v>2</v>
      </c>
      <c r="H228" s="33">
        <v>9</v>
      </c>
      <c r="I228" s="33">
        <v>0</v>
      </c>
      <c r="J228" s="33">
        <v>0</v>
      </c>
      <c r="K228" s="33">
        <v>0</v>
      </c>
      <c r="L228" s="33">
        <v>0</v>
      </c>
      <c r="M228" s="33">
        <v>0</v>
      </c>
      <c r="N228" s="33">
        <v>0</v>
      </c>
      <c r="O228" s="33">
        <v>0</v>
      </c>
      <c r="P228" s="33">
        <v>0</v>
      </c>
      <c r="Q228" s="21">
        <f t="shared" si="11"/>
        <v>37</v>
      </c>
      <c r="R228">
        <f t="shared" si="12"/>
        <v>38.109542848633609</v>
      </c>
      <c r="S228">
        <f t="shared" si="13"/>
        <v>34.697485452083455</v>
      </c>
      <c r="T228">
        <v>22</v>
      </c>
    </row>
    <row r="229" spans="1:20">
      <c r="A229" s="32">
        <v>41316</v>
      </c>
      <c r="B229" s="42">
        <v>38</v>
      </c>
      <c r="C229" s="33">
        <v>1</v>
      </c>
      <c r="D229" s="33">
        <v>0</v>
      </c>
      <c r="E229" s="33">
        <v>0</v>
      </c>
      <c r="F229" s="33">
        <v>0</v>
      </c>
      <c r="G229" s="33">
        <v>0</v>
      </c>
      <c r="H229" s="33">
        <v>1</v>
      </c>
      <c r="I229" s="33">
        <v>1</v>
      </c>
      <c r="J229" s="33">
        <v>1</v>
      </c>
      <c r="K229" s="33">
        <v>0</v>
      </c>
      <c r="L229" s="33">
        <v>0</v>
      </c>
      <c r="M229" s="33">
        <v>0</v>
      </c>
      <c r="N229" s="33">
        <v>0</v>
      </c>
      <c r="O229" s="33">
        <v>0</v>
      </c>
      <c r="P229" s="33">
        <v>0</v>
      </c>
      <c r="Q229" s="21">
        <f t="shared" si="11"/>
        <v>38</v>
      </c>
      <c r="R229">
        <f t="shared" si="12"/>
        <v>30.415176081236652</v>
      </c>
      <c r="S229">
        <f t="shared" si="13"/>
        <v>57.529553878644592</v>
      </c>
      <c r="T229">
        <v>23</v>
      </c>
    </row>
    <row r="230" spans="1:20">
      <c r="A230" s="32">
        <v>41317</v>
      </c>
      <c r="B230" s="42">
        <v>43</v>
      </c>
      <c r="C230" s="33">
        <v>1</v>
      </c>
      <c r="D230" s="33">
        <v>0</v>
      </c>
      <c r="E230" s="33">
        <v>0</v>
      </c>
      <c r="F230" s="33">
        <v>0</v>
      </c>
      <c r="G230" s="33">
        <v>0</v>
      </c>
      <c r="H230" s="33">
        <v>1</v>
      </c>
      <c r="I230" s="33">
        <v>0</v>
      </c>
      <c r="J230" s="33">
        <v>0</v>
      </c>
      <c r="K230" s="33">
        <v>1</v>
      </c>
      <c r="L230" s="33">
        <v>0</v>
      </c>
      <c r="M230" s="33">
        <v>0</v>
      </c>
      <c r="N230" s="33">
        <v>0</v>
      </c>
      <c r="O230" s="33">
        <v>0</v>
      </c>
      <c r="P230" s="33">
        <v>0</v>
      </c>
      <c r="Q230" s="21">
        <f t="shared" si="11"/>
        <v>33</v>
      </c>
      <c r="R230">
        <f t="shared" si="12"/>
        <v>28.514272024055018</v>
      </c>
      <c r="S230">
        <f t="shared" si="13"/>
        <v>209.83631499307512</v>
      </c>
      <c r="T230">
        <v>18</v>
      </c>
    </row>
    <row r="231" spans="1:20">
      <c r="A231" s="32">
        <v>41318</v>
      </c>
      <c r="B231" s="42">
        <v>39</v>
      </c>
      <c r="C231" s="33">
        <v>1</v>
      </c>
      <c r="D231" s="33">
        <v>0</v>
      </c>
      <c r="E231" s="33">
        <v>0</v>
      </c>
      <c r="F231" s="33">
        <v>0</v>
      </c>
      <c r="G231" s="33">
        <v>0</v>
      </c>
      <c r="H231" s="33">
        <v>1</v>
      </c>
      <c r="I231" s="33">
        <v>0</v>
      </c>
      <c r="J231" s="33">
        <v>0</v>
      </c>
      <c r="K231" s="33">
        <v>0</v>
      </c>
      <c r="L231" s="33">
        <v>1</v>
      </c>
      <c r="M231" s="33">
        <v>0</v>
      </c>
      <c r="N231" s="33">
        <v>0</v>
      </c>
      <c r="O231" s="33">
        <v>0</v>
      </c>
      <c r="P231" s="33">
        <v>0</v>
      </c>
      <c r="Q231" s="21">
        <f t="shared" si="11"/>
        <v>38</v>
      </c>
      <c r="R231">
        <f t="shared" si="12"/>
        <v>30.990994586975152</v>
      </c>
      <c r="S231">
        <f t="shared" si="13"/>
        <v>64.144167705861321</v>
      </c>
      <c r="T231">
        <v>23</v>
      </c>
    </row>
    <row r="232" spans="1:20">
      <c r="A232" s="32">
        <v>41319</v>
      </c>
      <c r="B232" s="42">
        <v>43</v>
      </c>
      <c r="C232" s="33">
        <v>1</v>
      </c>
      <c r="D232" s="33">
        <v>0</v>
      </c>
      <c r="E232" s="33">
        <v>0</v>
      </c>
      <c r="F232" s="33">
        <v>0</v>
      </c>
      <c r="G232" s="33">
        <v>0</v>
      </c>
      <c r="H232" s="33">
        <v>1</v>
      </c>
      <c r="I232" s="33">
        <v>0</v>
      </c>
      <c r="J232" s="33">
        <v>0</v>
      </c>
      <c r="K232" s="33">
        <v>0</v>
      </c>
      <c r="L232" s="33">
        <v>0</v>
      </c>
      <c r="M232" s="33">
        <v>1</v>
      </c>
      <c r="N232" s="33">
        <v>0</v>
      </c>
      <c r="O232" s="33">
        <v>0</v>
      </c>
      <c r="P232" s="33">
        <v>0</v>
      </c>
      <c r="Q232" s="21">
        <f t="shared" si="11"/>
        <v>37</v>
      </c>
      <c r="R232">
        <f t="shared" si="12"/>
        <v>29.050362838739176</v>
      </c>
      <c r="S232">
        <f t="shared" si="13"/>
        <v>194.59237693082895</v>
      </c>
      <c r="T232">
        <v>22</v>
      </c>
    </row>
    <row r="233" spans="1:20">
      <c r="A233" s="32">
        <v>41320</v>
      </c>
      <c r="B233" s="42">
        <v>46</v>
      </c>
      <c r="C233" s="33">
        <v>1</v>
      </c>
      <c r="D233" s="33">
        <v>0</v>
      </c>
      <c r="E233" s="33">
        <v>0</v>
      </c>
      <c r="F233" s="33">
        <v>0</v>
      </c>
      <c r="G233" s="33">
        <v>0</v>
      </c>
      <c r="H233" s="33">
        <v>1</v>
      </c>
      <c r="I233" s="33">
        <v>0</v>
      </c>
      <c r="J233" s="33">
        <v>0</v>
      </c>
      <c r="K233" s="33">
        <v>0</v>
      </c>
      <c r="L233" s="33">
        <v>0</v>
      </c>
      <c r="M233" s="33">
        <v>0</v>
      </c>
      <c r="N233" s="33">
        <v>1</v>
      </c>
      <c r="O233" s="33">
        <v>0</v>
      </c>
      <c r="P233" s="33">
        <v>0</v>
      </c>
      <c r="Q233" s="21">
        <f t="shared" si="11"/>
        <v>40</v>
      </c>
      <c r="R233">
        <f t="shared" si="12"/>
        <v>32.203172038897044</v>
      </c>
      <c r="S233">
        <f t="shared" si="13"/>
        <v>190.35246178827234</v>
      </c>
      <c r="T233">
        <v>25</v>
      </c>
    </row>
    <row r="234" spans="1:20">
      <c r="A234" s="32">
        <v>41321</v>
      </c>
      <c r="B234" s="42">
        <v>52</v>
      </c>
      <c r="C234" s="33">
        <v>1</v>
      </c>
      <c r="D234" s="33">
        <v>0</v>
      </c>
      <c r="E234" s="33">
        <v>0</v>
      </c>
      <c r="F234" s="33">
        <v>1</v>
      </c>
      <c r="G234" s="33">
        <v>1</v>
      </c>
      <c r="H234" s="33">
        <v>4</v>
      </c>
      <c r="I234" s="33">
        <v>0</v>
      </c>
      <c r="J234" s="33">
        <v>0</v>
      </c>
      <c r="K234" s="33">
        <v>0</v>
      </c>
      <c r="L234" s="33">
        <v>0</v>
      </c>
      <c r="M234" s="33">
        <v>0</v>
      </c>
      <c r="N234" s="33">
        <v>0</v>
      </c>
      <c r="O234" s="33">
        <v>1</v>
      </c>
      <c r="P234" s="33">
        <v>0</v>
      </c>
      <c r="Q234" s="21">
        <f t="shared" si="11"/>
        <v>48</v>
      </c>
      <c r="R234">
        <f t="shared" si="12"/>
        <v>41.781740626747208</v>
      </c>
      <c r="S234">
        <f t="shared" si="13"/>
        <v>104.41282461906854</v>
      </c>
      <c r="T234">
        <v>33</v>
      </c>
    </row>
    <row r="235" spans="1:20">
      <c r="A235" s="32">
        <v>41322</v>
      </c>
      <c r="B235" s="42">
        <v>47</v>
      </c>
      <c r="C235" s="33">
        <v>1</v>
      </c>
      <c r="D235" s="33">
        <v>0</v>
      </c>
      <c r="E235" s="33">
        <v>0</v>
      </c>
      <c r="F235" s="33">
        <v>1</v>
      </c>
      <c r="G235" s="33">
        <v>0</v>
      </c>
      <c r="H235" s="33">
        <v>2</v>
      </c>
      <c r="I235" s="33">
        <v>0</v>
      </c>
      <c r="J235" s="33">
        <v>0</v>
      </c>
      <c r="K235" s="33">
        <v>0</v>
      </c>
      <c r="L235" s="33">
        <v>0</v>
      </c>
      <c r="M235" s="33">
        <v>0</v>
      </c>
      <c r="N235" s="33">
        <v>0</v>
      </c>
      <c r="O235" s="33">
        <v>0</v>
      </c>
      <c r="P235" s="33">
        <v>0</v>
      </c>
      <c r="Q235" s="21">
        <f t="shared" si="11"/>
        <v>46</v>
      </c>
      <c r="R235">
        <f t="shared" si="12"/>
        <v>35.631223549949752</v>
      </c>
      <c r="S235">
        <f t="shared" si="13"/>
        <v>129.24907797121713</v>
      </c>
      <c r="T235">
        <v>31</v>
      </c>
    </row>
    <row r="236" spans="1:20">
      <c r="A236" s="32">
        <v>41323</v>
      </c>
      <c r="B236" s="42">
        <v>41</v>
      </c>
      <c r="C236" s="33">
        <v>1</v>
      </c>
      <c r="D236" s="33">
        <v>0</v>
      </c>
      <c r="E236" s="33">
        <v>0</v>
      </c>
      <c r="F236" s="33">
        <v>0</v>
      </c>
      <c r="G236" s="33">
        <v>0</v>
      </c>
      <c r="H236" s="33">
        <v>1</v>
      </c>
      <c r="I236" s="33">
        <v>0</v>
      </c>
      <c r="J236" s="33">
        <v>1</v>
      </c>
      <c r="K236" s="33">
        <v>0</v>
      </c>
      <c r="L236" s="33">
        <v>0</v>
      </c>
      <c r="M236" s="33">
        <v>0</v>
      </c>
      <c r="N236" s="33">
        <v>0</v>
      </c>
      <c r="O236" s="33">
        <v>0</v>
      </c>
      <c r="P236" s="33">
        <v>0</v>
      </c>
      <c r="Q236" s="21">
        <f t="shared" si="11"/>
        <v>41</v>
      </c>
      <c r="R236">
        <f t="shared" si="12"/>
        <v>33.106684038921003</v>
      </c>
      <c r="S236">
        <f t="shared" si="13"/>
        <v>62.304436861424449</v>
      </c>
      <c r="T236">
        <v>26</v>
      </c>
    </row>
    <row r="237" spans="1:20">
      <c r="A237" s="32">
        <v>41324</v>
      </c>
      <c r="B237" s="42">
        <v>36</v>
      </c>
      <c r="C237" s="33">
        <v>1</v>
      </c>
      <c r="D237" s="33">
        <v>0</v>
      </c>
      <c r="E237" s="33">
        <v>0</v>
      </c>
      <c r="F237" s="33">
        <v>0</v>
      </c>
      <c r="G237" s="33">
        <v>0</v>
      </c>
      <c r="H237" s="33">
        <v>1</v>
      </c>
      <c r="I237" s="33">
        <v>0</v>
      </c>
      <c r="J237" s="33">
        <v>0</v>
      </c>
      <c r="K237" s="33">
        <v>1</v>
      </c>
      <c r="L237" s="33">
        <v>0</v>
      </c>
      <c r="M237" s="33">
        <v>0</v>
      </c>
      <c r="N237" s="33">
        <v>0</v>
      </c>
      <c r="O237" s="33">
        <v>0</v>
      </c>
      <c r="P237" s="33">
        <v>0</v>
      </c>
      <c r="Q237" s="21">
        <f t="shared" si="11"/>
        <v>39</v>
      </c>
      <c r="R237">
        <f t="shared" si="12"/>
        <v>31.965026640116417</v>
      </c>
      <c r="S237">
        <f t="shared" si="13"/>
        <v>16.281010014970214</v>
      </c>
      <c r="T237">
        <v>24</v>
      </c>
    </row>
    <row r="238" spans="1:20">
      <c r="A238" s="32">
        <v>41325</v>
      </c>
      <c r="B238" s="42">
        <v>43</v>
      </c>
      <c r="C238" s="33">
        <v>1</v>
      </c>
      <c r="D238" s="33">
        <v>0</v>
      </c>
      <c r="E238" s="33">
        <v>0</v>
      </c>
      <c r="F238" s="33">
        <v>0</v>
      </c>
      <c r="G238" s="33">
        <v>0</v>
      </c>
      <c r="H238" s="33">
        <v>1</v>
      </c>
      <c r="I238" s="33">
        <v>0</v>
      </c>
      <c r="J238" s="33">
        <v>0</v>
      </c>
      <c r="K238" s="33">
        <v>0</v>
      </c>
      <c r="L238" s="33">
        <v>1</v>
      </c>
      <c r="M238" s="33">
        <v>0</v>
      </c>
      <c r="N238" s="33">
        <v>0</v>
      </c>
      <c r="O238" s="33">
        <v>0</v>
      </c>
      <c r="P238" s="33">
        <v>0</v>
      </c>
      <c r="Q238" s="21">
        <f t="shared" si="11"/>
        <v>47</v>
      </c>
      <c r="R238">
        <f t="shared" si="12"/>
        <v>36.167126511067252</v>
      </c>
      <c r="S238">
        <f t="shared" si="13"/>
        <v>46.688160115759985</v>
      </c>
      <c r="T238">
        <v>32</v>
      </c>
    </row>
    <row r="239" spans="1:20">
      <c r="A239" s="32">
        <v>41326</v>
      </c>
      <c r="B239" s="42">
        <v>37</v>
      </c>
      <c r="C239" s="33">
        <v>1</v>
      </c>
      <c r="D239" s="33">
        <v>0</v>
      </c>
      <c r="E239" s="33">
        <v>0</v>
      </c>
      <c r="F239" s="33">
        <v>0</v>
      </c>
      <c r="G239" s="33">
        <v>0</v>
      </c>
      <c r="H239" s="33">
        <v>1</v>
      </c>
      <c r="I239" s="33">
        <v>0</v>
      </c>
      <c r="J239" s="33">
        <v>0</v>
      </c>
      <c r="K239" s="33">
        <v>0</v>
      </c>
      <c r="L239" s="33">
        <v>0</v>
      </c>
      <c r="M239" s="33">
        <v>1</v>
      </c>
      <c r="N239" s="33">
        <v>0</v>
      </c>
      <c r="O239" s="33">
        <v>0</v>
      </c>
      <c r="P239" s="33">
        <v>0</v>
      </c>
      <c r="Q239" s="21">
        <f t="shared" si="11"/>
        <v>44</v>
      </c>
      <c r="R239">
        <f t="shared" si="12"/>
        <v>33.07624322414415</v>
      </c>
      <c r="S239">
        <f t="shared" si="13"/>
        <v>15.395867236074693</v>
      </c>
      <c r="T239">
        <v>29</v>
      </c>
    </row>
    <row r="240" spans="1:20">
      <c r="A240" s="32">
        <v>41327</v>
      </c>
      <c r="B240" s="42">
        <v>52</v>
      </c>
      <c r="C240" s="33">
        <v>1</v>
      </c>
      <c r="D240" s="33">
        <v>0</v>
      </c>
      <c r="E240" s="33">
        <v>0</v>
      </c>
      <c r="F240" s="33">
        <v>1</v>
      </c>
      <c r="G240" s="33">
        <v>1</v>
      </c>
      <c r="H240" s="33">
        <v>4</v>
      </c>
      <c r="I240" s="33">
        <v>0</v>
      </c>
      <c r="J240" s="33">
        <v>0</v>
      </c>
      <c r="K240" s="33">
        <v>0</v>
      </c>
      <c r="L240" s="33">
        <v>0</v>
      </c>
      <c r="M240" s="33">
        <v>0</v>
      </c>
      <c r="N240" s="33">
        <v>1</v>
      </c>
      <c r="O240" s="33">
        <v>0</v>
      </c>
      <c r="P240" s="33">
        <v>0</v>
      </c>
      <c r="Q240" s="21">
        <f t="shared" si="11"/>
        <v>58</v>
      </c>
      <c r="R240">
        <f t="shared" si="12"/>
        <v>49.418637638148851</v>
      </c>
      <c r="S240">
        <f t="shared" si="13"/>
        <v>6.66343164318174</v>
      </c>
      <c r="T240">
        <v>43</v>
      </c>
    </row>
    <row r="241" spans="1:20">
      <c r="A241" s="32">
        <v>41328</v>
      </c>
      <c r="B241" s="42">
        <v>56</v>
      </c>
      <c r="C241" s="33">
        <v>1</v>
      </c>
      <c r="D241" s="33">
        <v>0</v>
      </c>
      <c r="E241" s="33">
        <v>0</v>
      </c>
      <c r="F241" s="33">
        <v>3</v>
      </c>
      <c r="G241" s="33">
        <v>2</v>
      </c>
      <c r="H241" s="33">
        <v>12</v>
      </c>
      <c r="I241" s="33">
        <v>0</v>
      </c>
      <c r="J241" s="33">
        <v>0</v>
      </c>
      <c r="K241" s="33">
        <v>0</v>
      </c>
      <c r="L241" s="33">
        <v>0</v>
      </c>
      <c r="M241" s="33">
        <v>0</v>
      </c>
      <c r="N241" s="33">
        <v>0</v>
      </c>
      <c r="O241" s="33">
        <v>1</v>
      </c>
      <c r="P241" s="33">
        <v>0</v>
      </c>
      <c r="Q241" s="21">
        <f t="shared" si="11"/>
        <v>64</v>
      </c>
      <c r="R241">
        <f t="shared" si="12"/>
        <v>59.394637550712147</v>
      </c>
      <c r="S241">
        <f t="shared" si="13"/>
        <v>11.523564100704967</v>
      </c>
      <c r="T241">
        <v>49</v>
      </c>
    </row>
    <row r="242" spans="1:20">
      <c r="A242" s="32">
        <v>41329</v>
      </c>
      <c r="B242" s="42">
        <v>58</v>
      </c>
      <c r="C242" s="33">
        <v>1</v>
      </c>
      <c r="D242" s="33">
        <v>0</v>
      </c>
      <c r="E242" s="33">
        <v>0</v>
      </c>
      <c r="F242" s="33">
        <v>2</v>
      </c>
      <c r="G242" s="33">
        <v>1</v>
      </c>
      <c r="H242" s="33">
        <v>6</v>
      </c>
      <c r="I242" s="33">
        <v>0</v>
      </c>
      <c r="J242" s="33">
        <v>0</v>
      </c>
      <c r="K242" s="33">
        <v>0</v>
      </c>
      <c r="L242" s="33">
        <v>0</v>
      </c>
      <c r="M242" s="33">
        <v>0</v>
      </c>
      <c r="N242" s="33">
        <v>0</v>
      </c>
      <c r="O242" s="33">
        <v>0</v>
      </c>
      <c r="P242" s="33">
        <v>0</v>
      </c>
      <c r="Q242" s="21">
        <f t="shared" si="11"/>
        <v>62</v>
      </c>
      <c r="R242">
        <f t="shared" si="12"/>
        <v>50.942392707854587</v>
      </c>
      <c r="S242">
        <f t="shared" si="13"/>
        <v>49.809820690144107</v>
      </c>
      <c r="T242">
        <v>47</v>
      </c>
    </row>
    <row r="243" spans="1:20">
      <c r="A243" s="32">
        <v>41330</v>
      </c>
      <c r="B243" s="42">
        <v>66</v>
      </c>
      <c r="C243" s="33">
        <v>1</v>
      </c>
      <c r="D243" s="33">
        <v>0</v>
      </c>
      <c r="E243" s="33">
        <v>0</v>
      </c>
      <c r="F243" s="33">
        <v>1</v>
      </c>
      <c r="G243" s="33">
        <v>1</v>
      </c>
      <c r="H243" s="33">
        <v>4</v>
      </c>
      <c r="I243" s="33">
        <v>0</v>
      </c>
      <c r="J243" s="33">
        <v>1</v>
      </c>
      <c r="K243" s="33">
        <v>0</v>
      </c>
      <c r="L243" s="33">
        <v>0</v>
      </c>
      <c r="M243" s="33">
        <v>0</v>
      </c>
      <c r="N243" s="33">
        <v>0</v>
      </c>
      <c r="O243" s="33">
        <v>0</v>
      </c>
      <c r="P243" s="33">
        <v>0</v>
      </c>
      <c r="Q243" s="21">
        <f t="shared" si="11"/>
        <v>56</v>
      </c>
      <c r="R243">
        <f t="shared" si="12"/>
        <v>48.596772330142102</v>
      </c>
      <c r="S243">
        <f t="shared" si="13"/>
        <v>302.87233332890759</v>
      </c>
      <c r="T243">
        <v>41</v>
      </c>
    </row>
    <row r="244" spans="1:20">
      <c r="A244" s="32">
        <v>41331</v>
      </c>
      <c r="B244" s="42">
        <v>61</v>
      </c>
      <c r="C244" s="33">
        <v>1</v>
      </c>
      <c r="D244" s="33">
        <v>0</v>
      </c>
      <c r="E244" s="33">
        <v>0</v>
      </c>
      <c r="F244" s="33">
        <v>1</v>
      </c>
      <c r="G244" s="33">
        <v>1</v>
      </c>
      <c r="H244" s="33">
        <v>4</v>
      </c>
      <c r="I244" s="33">
        <v>0</v>
      </c>
      <c r="J244" s="33">
        <v>0</v>
      </c>
      <c r="K244" s="33">
        <v>1</v>
      </c>
      <c r="L244" s="33">
        <v>0</v>
      </c>
      <c r="M244" s="33">
        <v>0</v>
      </c>
      <c r="N244" s="33">
        <v>0</v>
      </c>
      <c r="O244" s="33">
        <v>0</v>
      </c>
      <c r="P244" s="33">
        <v>0</v>
      </c>
      <c r="Q244" s="21">
        <f t="shared" si="11"/>
        <v>55</v>
      </c>
      <c r="R244">
        <f t="shared" si="12"/>
        <v>48.030240700681091</v>
      </c>
      <c r="S244">
        <f t="shared" si="13"/>
        <v>168.21465628226932</v>
      </c>
      <c r="T244">
        <v>40</v>
      </c>
    </row>
    <row r="245" spans="1:20">
      <c r="A245" s="32">
        <v>41332</v>
      </c>
      <c r="B245" s="42">
        <v>60</v>
      </c>
      <c r="C245" s="33">
        <v>1</v>
      </c>
      <c r="D245" s="33">
        <v>0</v>
      </c>
      <c r="E245" s="33">
        <v>0</v>
      </c>
      <c r="F245" s="33">
        <v>1</v>
      </c>
      <c r="G245" s="33">
        <v>1</v>
      </c>
      <c r="H245" s="33">
        <v>4</v>
      </c>
      <c r="I245" s="33">
        <v>0</v>
      </c>
      <c r="J245" s="33">
        <v>0</v>
      </c>
      <c r="K245" s="33">
        <v>0</v>
      </c>
      <c r="L245" s="33">
        <v>1</v>
      </c>
      <c r="M245" s="33">
        <v>0</v>
      </c>
      <c r="N245" s="33">
        <v>0</v>
      </c>
      <c r="O245" s="33">
        <v>0</v>
      </c>
      <c r="P245" s="33">
        <v>0</v>
      </c>
      <c r="Q245" s="21">
        <f t="shared" si="11"/>
        <v>54</v>
      </c>
      <c r="R245">
        <f t="shared" si="12"/>
        <v>47.056208647539819</v>
      </c>
      <c r="S245">
        <f t="shared" si="13"/>
        <v>167.54173457602298</v>
      </c>
      <c r="T245">
        <v>39</v>
      </c>
    </row>
    <row r="246" spans="1:20">
      <c r="A246" s="32">
        <v>41333</v>
      </c>
      <c r="B246" s="42">
        <v>66</v>
      </c>
      <c r="C246" s="33">
        <v>1</v>
      </c>
      <c r="D246" s="33">
        <v>0</v>
      </c>
      <c r="E246" s="33">
        <v>0</v>
      </c>
      <c r="F246" s="33">
        <v>2</v>
      </c>
      <c r="G246" s="33">
        <v>1</v>
      </c>
      <c r="H246" s="33">
        <v>6</v>
      </c>
      <c r="I246" s="33">
        <v>0</v>
      </c>
      <c r="J246" s="33">
        <v>0</v>
      </c>
      <c r="K246" s="33">
        <v>0</v>
      </c>
      <c r="L246" s="33">
        <v>0</v>
      </c>
      <c r="M246" s="33">
        <v>1</v>
      </c>
      <c r="N246" s="33">
        <v>0</v>
      </c>
      <c r="O246" s="33">
        <v>0</v>
      </c>
      <c r="P246" s="33">
        <v>0</v>
      </c>
      <c r="Q246" s="21">
        <f t="shared" si="11"/>
        <v>51</v>
      </c>
      <c r="R246">
        <f t="shared" si="12"/>
        <v>47.775142931996463</v>
      </c>
      <c r="S246">
        <f t="shared" si="13"/>
        <v>332.14541514915851</v>
      </c>
      <c r="T246">
        <v>36</v>
      </c>
    </row>
    <row r="247" spans="1:20">
      <c r="A247" s="32">
        <v>41334</v>
      </c>
      <c r="B247" s="42">
        <v>55</v>
      </c>
      <c r="C247" s="33">
        <v>1</v>
      </c>
      <c r="D247" s="33">
        <v>0</v>
      </c>
      <c r="E247" s="33">
        <v>0</v>
      </c>
      <c r="F247" s="33">
        <v>1</v>
      </c>
      <c r="G247" s="33">
        <v>1</v>
      </c>
      <c r="H247" s="33">
        <v>4</v>
      </c>
      <c r="I247" s="33">
        <v>0</v>
      </c>
      <c r="J247" s="33">
        <v>0</v>
      </c>
      <c r="K247" s="33">
        <v>0</v>
      </c>
      <c r="L247" s="33">
        <v>0</v>
      </c>
      <c r="M247" s="33">
        <v>0</v>
      </c>
      <c r="N247" s="33">
        <v>1</v>
      </c>
      <c r="O247" s="33">
        <v>0</v>
      </c>
      <c r="P247" s="33">
        <v>1</v>
      </c>
      <c r="Q247" s="21">
        <f t="shared" si="11"/>
        <v>60</v>
      </c>
      <c r="R247">
        <f t="shared" si="12"/>
        <v>58.702107277541231</v>
      </c>
      <c r="S247">
        <f t="shared" si="13"/>
        <v>13.705598294423742</v>
      </c>
      <c r="T247">
        <v>45</v>
      </c>
    </row>
    <row r="248" spans="1:20">
      <c r="A248" s="32">
        <v>41335</v>
      </c>
      <c r="B248" s="42">
        <v>58</v>
      </c>
      <c r="C248" s="33">
        <v>1</v>
      </c>
      <c r="D248" s="33">
        <v>0</v>
      </c>
      <c r="E248" s="33">
        <v>0</v>
      </c>
      <c r="F248" s="33">
        <v>2</v>
      </c>
      <c r="G248" s="33">
        <v>1</v>
      </c>
      <c r="H248" s="33">
        <v>6</v>
      </c>
      <c r="I248" s="33">
        <v>0</v>
      </c>
      <c r="J248" s="33">
        <v>0</v>
      </c>
      <c r="K248" s="33">
        <v>0</v>
      </c>
      <c r="L248" s="33">
        <v>0</v>
      </c>
      <c r="M248" s="33">
        <v>0</v>
      </c>
      <c r="N248" s="33">
        <v>0</v>
      </c>
      <c r="O248" s="33">
        <v>1</v>
      </c>
      <c r="P248" s="33">
        <v>1</v>
      </c>
      <c r="Q248" s="21">
        <f t="shared" si="11"/>
        <v>52</v>
      </c>
      <c r="R248">
        <f t="shared" si="12"/>
        <v>56.025279376206477</v>
      </c>
      <c r="S248">
        <f t="shared" si="13"/>
        <v>3.899521542035481</v>
      </c>
      <c r="T248">
        <v>37</v>
      </c>
    </row>
    <row r="249" spans="1:20">
      <c r="A249" s="32">
        <v>41336</v>
      </c>
      <c r="B249" s="42">
        <v>46</v>
      </c>
      <c r="C249" s="33">
        <v>1</v>
      </c>
      <c r="D249" s="33">
        <v>0</v>
      </c>
      <c r="E249" s="33">
        <v>0</v>
      </c>
      <c r="F249" s="33">
        <v>1</v>
      </c>
      <c r="G249" s="33">
        <v>1</v>
      </c>
      <c r="H249" s="33">
        <v>4</v>
      </c>
      <c r="I249" s="33">
        <v>0</v>
      </c>
      <c r="J249" s="33">
        <v>0</v>
      </c>
      <c r="K249" s="33">
        <v>0</v>
      </c>
      <c r="L249" s="33">
        <v>0</v>
      </c>
      <c r="M249" s="33">
        <v>0</v>
      </c>
      <c r="N249" s="33">
        <v>0</v>
      </c>
      <c r="O249" s="33">
        <v>0</v>
      </c>
      <c r="P249" s="33">
        <v>1</v>
      </c>
      <c r="Q249" s="21">
        <f t="shared" si="11"/>
        <v>45</v>
      </c>
      <c r="R249">
        <f t="shared" si="12"/>
        <v>45.488655158339455</v>
      </c>
      <c r="S249">
        <f t="shared" si="13"/>
        <v>0.26147354709284787</v>
      </c>
      <c r="T249">
        <v>30</v>
      </c>
    </row>
    <row r="250" spans="1:20">
      <c r="A250" s="32">
        <v>41337</v>
      </c>
      <c r="B250" s="42">
        <v>50</v>
      </c>
      <c r="C250" s="33">
        <v>1</v>
      </c>
      <c r="D250" s="33">
        <v>0</v>
      </c>
      <c r="E250" s="33">
        <v>0</v>
      </c>
      <c r="F250" s="33">
        <v>0</v>
      </c>
      <c r="G250" s="33">
        <v>0</v>
      </c>
      <c r="H250" s="33">
        <v>1</v>
      </c>
      <c r="I250" s="33">
        <v>0</v>
      </c>
      <c r="J250" s="33">
        <v>1</v>
      </c>
      <c r="K250" s="33">
        <v>0</v>
      </c>
      <c r="L250" s="33">
        <v>0</v>
      </c>
      <c r="M250" s="33">
        <v>0</v>
      </c>
      <c r="N250" s="33">
        <v>0</v>
      </c>
      <c r="O250" s="33">
        <v>0</v>
      </c>
      <c r="P250" s="33">
        <v>1</v>
      </c>
      <c r="Q250" s="21">
        <f t="shared" si="11"/>
        <v>44</v>
      </c>
      <c r="R250">
        <f t="shared" si="12"/>
        <v>42.965279447656954</v>
      </c>
      <c r="S250">
        <f t="shared" si="13"/>
        <v>49.487293249557652</v>
      </c>
      <c r="T250">
        <v>29</v>
      </c>
    </row>
    <row r="251" spans="1:20">
      <c r="A251" s="32">
        <v>41338</v>
      </c>
      <c r="B251" s="42">
        <v>43</v>
      </c>
      <c r="C251" s="33">
        <v>1</v>
      </c>
      <c r="D251" s="33">
        <v>0</v>
      </c>
      <c r="E251" s="33">
        <v>0</v>
      </c>
      <c r="F251" s="33">
        <v>0</v>
      </c>
      <c r="G251" s="33">
        <v>0</v>
      </c>
      <c r="H251" s="33">
        <v>1</v>
      </c>
      <c r="I251" s="33">
        <v>0</v>
      </c>
      <c r="J251" s="33">
        <v>0</v>
      </c>
      <c r="K251" s="33">
        <v>1</v>
      </c>
      <c r="L251" s="33">
        <v>0</v>
      </c>
      <c r="M251" s="33">
        <v>0</v>
      </c>
      <c r="N251" s="33">
        <v>0</v>
      </c>
      <c r="O251" s="33">
        <v>0</v>
      </c>
      <c r="P251" s="33">
        <v>1</v>
      </c>
      <c r="Q251" s="21">
        <f t="shared" si="11"/>
        <v>45</v>
      </c>
      <c r="R251">
        <f t="shared" si="12"/>
        <v>43.548999356883073</v>
      </c>
      <c r="S251">
        <f t="shared" si="13"/>
        <v>0.30140029385802741</v>
      </c>
      <c r="T251">
        <v>30</v>
      </c>
    </row>
    <row r="252" spans="1:20">
      <c r="A252" s="32">
        <v>41339</v>
      </c>
      <c r="B252" s="42">
        <v>34</v>
      </c>
      <c r="C252" s="33">
        <v>1</v>
      </c>
      <c r="D252" s="33">
        <v>0</v>
      </c>
      <c r="E252" s="33">
        <v>0</v>
      </c>
      <c r="F252" s="33">
        <v>0</v>
      </c>
      <c r="G252" s="33">
        <v>0</v>
      </c>
      <c r="H252" s="33">
        <v>1</v>
      </c>
      <c r="I252" s="33">
        <v>0</v>
      </c>
      <c r="J252" s="33">
        <v>0</v>
      </c>
      <c r="K252" s="33">
        <v>0</v>
      </c>
      <c r="L252" s="33">
        <v>1</v>
      </c>
      <c r="M252" s="33">
        <v>0</v>
      </c>
      <c r="N252" s="33">
        <v>0</v>
      </c>
      <c r="O252" s="33">
        <v>0</v>
      </c>
      <c r="P252" s="33">
        <v>1</v>
      </c>
      <c r="Q252" s="21">
        <f t="shared" si="11"/>
        <v>53</v>
      </c>
      <c r="R252">
        <f t="shared" si="12"/>
        <v>47.751099227833905</v>
      </c>
      <c r="S252">
        <f t="shared" si="13"/>
        <v>189.09272997373421</v>
      </c>
      <c r="T252">
        <v>38</v>
      </c>
    </row>
    <row r="253" spans="1:20">
      <c r="A253" s="32">
        <v>41340</v>
      </c>
      <c r="B253" s="42">
        <v>40</v>
      </c>
      <c r="C253" s="33">
        <v>1</v>
      </c>
      <c r="D253" s="33">
        <v>0</v>
      </c>
      <c r="E253" s="33">
        <v>0</v>
      </c>
      <c r="F253" s="33">
        <v>0</v>
      </c>
      <c r="G253" s="33">
        <v>0</v>
      </c>
      <c r="H253" s="33">
        <v>1</v>
      </c>
      <c r="I253" s="33">
        <v>0</v>
      </c>
      <c r="J253" s="33">
        <v>0</v>
      </c>
      <c r="K253" s="33">
        <v>0</v>
      </c>
      <c r="L253" s="33">
        <v>0</v>
      </c>
      <c r="M253" s="33">
        <v>1</v>
      </c>
      <c r="N253" s="33">
        <v>0</v>
      </c>
      <c r="O253" s="33">
        <v>0</v>
      </c>
      <c r="P253" s="33">
        <v>1</v>
      </c>
      <c r="Q253" s="21">
        <f t="shared" si="11"/>
        <v>47</v>
      </c>
      <c r="R253">
        <f t="shared" si="12"/>
        <v>42.934838632880094</v>
      </c>
      <c r="S253">
        <f t="shared" si="13"/>
        <v>8.6132778010455002</v>
      </c>
      <c r="T253">
        <v>32</v>
      </c>
    </row>
    <row r="254" spans="1:20">
      <c r="A254" s="32">
        <v>41341</v>
      </c>
      <c r="B254" s="42">
        <v>46</v>
      </c>
      <c r="C254" s="33">
        <v>1</v>
      </c>
      <c r="D254" s="33">
        <v>0</v>
      </c>
      <c r="E254" s="33">
        <v>0</v>
      </c>
      <c r="F254" s="33">
        <v>0</v>
      </c>
      <c r="G254" s="33">
        <v>0</v>
      </c>
      <c r="H254" s="33">
        <v>1</v>
      </c>
      <c r="I254" s="33">
        <v>0</v>
      </c>
      <c r="J254" s="33">
        <v>0</v>
      </c>
      <c r="K254" s="33">
        <v>0</v>
      </c>
      <c r="L254" s="33">
        <v>0</v>
      </c>
      <c r="M254" s="33">
        <v>0</v>
      </c>
      <c r="N254" s="33">
        <v>1</v>
      </c>
      <c r="O254" s="33">
        <v>0</v>
      </c>
      <c r="P254" s="33">
        <v>1</v>
      </c>
      <c r="Q254" s="21">
        <f t="shared" si="11"/>
        <v>48</v>
      </c>
      <c r="R254">
        <f t="shared" si="12"/>
        <v>44.937396294350833</v>
      </c>
      <c r="S254">
        <f t="shared" si="13"/>
        <v>1.1291266352593412</v>
      </c>
      <c r="T254">
        <v>33</v>
      </c>
    </row>
    <row r="255" spans="1:20">
      <c r="A255" s="32">
        <v>41342</v>
      </c>
      <c r="B255" s="42">
        <v>45</v>
      </c>
      <c r="C255" s="33">
        <v>1</v>
      </c>
      <c r="D255" s="33">
        <v>0</v>
      </c>
      <c r="E255" s="33">
        <v>0</v>
      </c>
      <c r="F255" s="33">
        <v>1</v>
      </c>
      <c r="G255" s="33">
        <v>1</v>
      </c>
      <c r="H255" s="33">
        <v>4</v>
      </c>
      <c r="I255" s="33">
        <v>0</v>
      </c>
      <c r="J255" s="33">
        <v>0</v>
      </c>
      <c r="K255" s="33">
        <v>0</v>
      </c>
      <c r="L255" s="33">
        <v>0</v>
      </c>
      <c r="M255" s="33">
        <v>0</v>
      </c>
      <c r="N255" s="33">
        <v>0</v>
      </c>
      <c r="O255" s="33">
        <v>1</v>
      </c>
      <c r="P255" s="33">
        <v>1</v>
      </c>
      <c r="Q255" s="21">
        <f t="shared" si="11"/>
        <v>45</v>
      </c>
      <c r="R255">
        <f t="shared" si="12"/>
        <v>48.189581419421756</v>
      </c>
      <c r="S255">
        <f t="shared" si="13"/>
        <v>10.173429631120506</v>
      </c>
      <c r="T255">
        <v>30</v>
      </c>
    </row>
    <row r="256" spans="1:20">
      <c r="A256" s="32">
        <v>41343</v>
      </c>
      <c r="B256" s="42">
        <v>50</v>
      </c>
      <c r="C256" s="33">
        <v>1</v>
      </c>
      <c r="D256" s="33">
        <v>0</v>
      </c>
      <c r="E256" s="33">
        <v>0</v>
      </c>
      <c r="F256" s="33">
        <v>1</v>
      </c>
      <c r="G256" s="33">
        <v>1</v>
      </c>
      <c r="H256" s="33">
        <v>4</v>
      </c>
      <c r="I256" s="33">
        <v>0</v>
      </c>
      <c r="J256" s="33">
        <v>0</v>
      </c>
      <c r="K256" s="33">
        <v>0</v>
      </c>
      <c r="L256" s="33">
        <v>0</v>
      </c>
      <c r="M256" s="33">
        <v>0</v>
      </c>
      <c r="N256" s="33">
        <v>0</v>
      </c>
      <c r="O256" s="33">
        <v>0</v>
      </c>
      <c r="P256" s="33">
        <v>1</v>
      </c>
      <c r="Q256" s="21">
        <f t="shared" si="11"/>
        <v>43</v>
      </c>
      <c r="R256">
        <f t="shared" si="12"/>
        <v>44.338403619652318</v>
      </c>
      <c r="S256">
        <f t="shared" si="13"/>
        <v>32.053673573965973</v>
      </c>
      <c r="T256">
        <v>28</v>
      </c>
    </row>
    <row r="257" spans="1:20">
      <c r="A257" s="32">
        <v>41344</v>
      </c>
      <c r="B257" s="42">
        <v>50</v>
      </c>
      <c r="C257" s="33">
        <v>1</v>
      </c>
      <c r="D257" s="33">
        <v>0</v>
      </c>
      <c r="E257" s="33">
        <v>0</v>
      </c>
      <c r="F257" s="33">
        <v>0</v>
      </c>
      <c r="G257" s="33">
        <v>0</v>
      </c>
      <c r="H257" s="33">
        <v>1</v>
      </c>
      <c r="I257" s="33">
        <v>0</v>
      </c>
      <c r="J257" s="33">
        <v>1</v>
      </c>
      <c r="K257" s="33">
        <v>0</v>
      </c>
      <c r="L257" s="33">
        <v>0</v>
      </c>
      <c r="M257" s="33">
        <v>0</v>
      </c>
      <c r="N257" s="33">
        <v>0</v>
      </c>
      <c r="O257" s="33">
        <v>0</v>
      </c>
      <c r="P257" s="33">
        <v>1</v>
      </c>
      <c r="Q257" s="21">
        <f t="shared" si="11"/>
        <v>46</v>
      </c>
      <c r="R257">
        <f t="shared" si="12"/>
        <v>44.115530986344083</v>
      </c>
      <c r="S257">
        <f t="shared" si="13"/>
        <v>34.626975572676635</v>
      </c>
      <c r="T257">
        <v>31</v>
      </c>
    </row>
    <row r="258" spans="1:20">
      <c r="A258" s="32">
        <v>41345</v>
      </c>
      <c r="B258" s="42">
        <v>53</v>
      </c>
      <c r="C258" s="33">
        <v>1</v>
      </c>
      <c r="D258" s="33">
        <v>0</v>
      </c>
      <c r="E258" s="33">
        <v>0</v>
      </c>
      <c r="F258" s="33">
        <v>0</v>
      </c>
      <c r="G258" s="33">
        <v>0</v>
      </c>
      <c r="H258" s="33">
        <v>1</v>
      </c>
      <c r="I258" s="33">
        <v>0</v>
      </c>
      <c r="J258" s="33">
        <v>0</v>
      </c>
      <c r="K258" s="33">
        <v>1</v>
      </c>
      <c r="L258" s="33">
        <v>0</v>
      </c>
      <c r="M258" s="33">
        <v>0</v>
      </c>
      <c r="N258" s="33">
        <v>0</v>
      </c>
      <c r="O258" s="33">
        <v>0</v>
      </c>
      <c r="P258" s="33">
        <v>1</v>
      </c>
      <c r="Q258" s="21">
        <f t="shared" si="11"/>
        <v>50</v>
      </c>
      <c r="R258">
        <f t="shared" si="12"/>
        <v>46.424628203600903</v>
      </c>
      <c r="S258">
        <f t="shared" si="13"/>
        <v>43.235514260880684</v>
      </c>
      <c r="T258">
        <v>35</v>
      </c>
    </row>
    <row r="259" spans="1:20">
      <c r="A259" s="32">
        <v>41346</v>
      </c>
      <c r="B259" s="42">
        <v>49</v>
      </c>
      <c r="C259" s="33">
        <v>1</v>
      </c>
      <c r="D259" s="33">
        <v>0</v>
      </c>
      <c r="E259" s="33">
        <v>0</v>
      </c>
      <c r="F259" s="33">
        <v>0</v>
      </c>
      <c r="G259" s="33">
        <v>0</v>
      </c>
      <c r="H259" s="33">
        <v>1</v>
      </c>
      <c r="I259" s="33">
        <v>0</v>
      </c>
      <c r="J259" s="33">
        <v>0</v>
      </c>
      <c r="K259" s="33">
        <v>0</v>
      </c>
      <c r="L259" s="33">
        <v>1</v>
      </c>
      <c r="M259" s="33">
        <v>0</v>
      </c>
      <c r="N259" s="33">
        <v>0</v>
      </c>
      <c r="O259" s="33">
        <v>0</v>
      </c>
      <c r="P259" s="33">
        <v>1</v>
      </c>
      <c r="Q259" s="21">
        <f t="shared" si="11"/>
        <v>45</v>
      </c>
      <c r="R259">
        <f t="shared" si="12"/>
        <v>43.150093073085372</v>
      </c>
      <c r="S259">
        <f t="shared" si="13"/>
        <v>34.221411053563742</v>
      </c>
      <c r="T259">
        <v>30</v>
      </c>
    </row>
    <row r="260" spans="1:20">
      <c r="A260" s="32">
        <v>41347</v>
      </c>
      <c r="B260" s="42">
        <v>43</v>
      </c>
      <c r="C260" s="33">
        <v>1</v>
      </c>
      <c r="D260" s="33">
        <v>0</v>
      </c>
      <c r="E260" s="33">
        <v>0</v>
      </c>
      <c r="F260" s="33">
        <v>0</v>
      </c>
      <c r="G260" s="33">
        <v>0</v>
      </c>
      <c r="H260" s="33">
        <v>1</v>
      </c>
      <c r="I260" s="33">
        <v>0</v>
      </c>
      <c r="J260" s="33">
        <v>0</v>
      </c>
      <c r="K260" s="33">
        <v>0</v>
      </c>
      <c r="L260" s="33">
        <v>0</v>
      </c>
      <c r="M260" s="33">
        <v>1</v>
      </c>
      <c r="N260" s="33">
        <v>0</v>
      </c>
      <c r="O260" s="33">
        <v>0</v>
      </c>
      <c r="P260" s="33">
        <v>1</v>
      </c>
      <c r="Q260" s="21">
        <f t="shared" si="11"/>
        <v>51</v>
      </c>
      <c r="R260">
        <f t="shared" si="12"/>
        <v>45.23534171025436</v>
      </c>
      <c r="S260">
        <f t="shared" si="13"/>
        <v>4.9967525616028885</v>
      </c>
      <c r="T260">
        <v>36</v>
      </c>
    </row>
    <row r="261" spans="1:20">
      <c r="A261" s="32">
        <v>41348</v>
      </c>
      <c r="B261" s="42">
        <v>73</v>
      </c>
      <c r="C261" s="33">
        <v>1</v>
      </c>
      <c r="D261" s="33">
        <v>0</v>
      </c>
      <c r="E261" s="33">
        <v>0</v>
      </c>
      <c r="F261" s="33">
        <v>2</v>
      </c>
      <c r="G261" s="33">
        <v>1</v>
      </c>
      <c r="H261" s="33">
        <v>6</v>
      </c>
      <c r="I261" s="33">
        <v>0</v>
      </c>
      <c r="J261" s="33">
        <v>0</v>
      </c>
      <c r="K261" s="33">
        <v>0</v>
      </c>
      <c r="L261" s="33">
        <v>0</v>
      </c>
      <c r="M261" s="33">
        <v>0</v>
      </c>
      <c r="N261" s="33">
        <v>1</v>
      </c>
      <c r="O261" s="33">
        <v>0</v>
      </c>
      <c r="P261" s="33">
        <v>1</v>
      </c>
      <c r="Q261" s="21">
        <f t="shared" ref="Q261:Q324" si="14">T261+15</f>
        <v>65</v>
      </c>
      <c r="R261">
        <f t="shared" ref="R261:R324" si="15">SUMPRODUCT($C$2:$Q$2,C261:Q261)</f>
        <v>65.387553695638815</v>
      </c>
      <c r="S261">
        <f t="shared" ref="S261:S324" si="16">(R261-B261)^2</f>
        <v>57.949338736782266</v>
      </c>
      <c r="T261">
        <v>50</v>
      </c>
    </row>
    <row r="262" spans="1:20">
      <c r="A262" s="32">
        <v>41349</v>
      </c>
      <c r="B262" s="42">
        <v>66</v>
      </c>
      <c r="C262" s="33">
        <v>1</v>
      </c>
      <c r="D262" s="33">
        <v>0</v>
      </c>
      <c r="E262" s="33">
        <v>0</v>
      </c>
      <c r="F262" s="33">
        <v>3</v>
      </c>
      <c r="G262" s="33">
        <v>2</v>
      </c>
      <c r="H262" s="33">
        <v>12</v>
      </c>
      <c r="I262" s="33">
        <v>0</v>
      </c>
      <c r="J262" s="33">
        <v>0</v>
      </c>
      <c r="K262" s="33">
        <v>0</v>
      </c>
      <c r="L262" s="33">
        <v>0</v>
      </c>
      <c r="M262" s="33">
        <v>0</v>
      </c>
      <c r="N262" s="33">
        <v>0</v>
      </c>
      <c r="O262" s="33">
        <v>1</v>
      </c>
      <c r="P262" s="33">
        <v>1</v>
      </c>
      <c r="Q262" s="21">
        <f t="shared" si="14"/>
        <v>73</v>
      </c>
      <c r="R262">
        <f t="shared" si="15"/>
        <v>72.703987575509501</v>
      </c>
      <c r="S262">
        <f t="shared" si="16"/>
        <v>44.943449412585757</v>
      </c>
      <c r="T262">
        <v>58</v>
      </c>
    </row>
    <row r="263" spans="1:20">
      <c r="A263" s="32">
        <v>41350</v>
      </c>
      <c r="B263" s="42">
        <v>59</v>
      </c>
      <c r="C263" s="33">
        <v>1</v>
      </c>
      <c r="D263" s="33">
        <v>0</v>
      </c>
      <c r="E263" s="33">
        <v>0</v>
      </c>
      <c r="F263" s="33">
        <v>2</v>
      </c>
      <c r="G263" s="33">
        <v>2</v>
      </c>
      <c r="H263" s="33">
        <v>9</v>
      </c>
      <c r="I263" s="33">
        <v>0</v>
      </c>
      <c r="J263" s="33">
        <v>0</v>
      </c>
      <c r="K263" s="33">
        <v>0</v>
      </c>
      <c r="L263" s="33">
        <v>0</v>
      </c>
      <c r="M263" s="33">
        <v>0</v>
      </c>
      <c r="N263" s="33">
        <v>0</v>
      </c>
      <c r="O263" s="33">
        <v>0</v>
      </c>
      <c r="P263" s="33">
        <v>1</v>
      </c>
      <c r="Q263" s="21">
        <f t="shared" si="14"/>
        <v>60</v>
      </c>
      <c r="R263">
        <f t="shared" si="15"/>
        <v>59.470653644240905</v>
      </c>
      <c r="S263">
        <f t="shared" si="16"/>
        <v>0.22151485283724401</v>
      </c>
      <c r="T263">
        <v>45</v>
      </c>
    </row>
    <row r="264" spans="1:20">
      <c r="A264" s="32">
        <v>41351</v>
      </c>
      <c r="B264" s="42">
        <v>73</v>
      </c>
      <c r="C264" s="33">
        <v>1</v>
      </c>
      <c r="D264" s="33">
        <v>0</v>
      </c>
      <c r="E264" s="33">
        <v>0</v>
      </c>
      <c r="F264" s="33">
        <v>2</v>
      </c>
      <c r="G264" s="33">
        <v>2</v>
      </c>
      <c r="H264" s="33">
        <v>9</v>
      </c>
      <c r="I264" s="33">
        <v>0</v>
      </c>
      <c r="J264" s="33">
        <v>1</v>
      </c>
      <c r="K264" s="33">
        <v>0</v>
      </c>
      <c r="L264" s="33">
        <v>0</v>
      </c>
      <c r="M264" s="33">
        <v>0</v>
      </c>
      <c r="N264" s="33">
        <v>0</v>
      </c>
      <c r="O264" s="33">
        <v>0</v>
      </c>
      <c r="P264" s="33">
        <v>1</v>
      </c>
      <c r="Q264" s="21">
        <f t="shared" si="14"/>
        <v>63</v>
      </c>
      <c r="R264">
        <f t="shared" si="15"/>
        <v>66.110982762000276</v>
      </c>
      <c r="S264">
        <f t="shared" si="16"/>
        <v>47.458558505457347</v>
      </c>
      <c r="T264">
        <v>48</v>
      </c>
    </row>
    <row r="265" spans="1:20">
      <c r="A265" s="32">
        <v>41352</v>
      </c>
      <c r="B265" s="42">
        <v>68</v>
      </c>
      <c r="C265" s="33">
        <v>1</v>
      </c>
      <c r="D265" s="33">
        <v>0</v>
      </c>
      <c r="E265" s="33">
        <v>0</v>
      </c>
      <c r="F265" s="33">
        <v>2</v>
      </c>
      <c r="G265" s="33">
        <v>2</v>
      </c>
      <c r="H265" s="33">
        <v>9</v>
      </c>
      <c r="I265" s="33">
        <v>0</v>
      </c>
      <c r="J265" s="33">
        <v>0</v>
      </c>
      <c r="K265" s="33">
        <v>1</v>
      </c>
      <c r="L265" s="33">
        <v>0</v>
      </c>
      <c r="M265" s="33">
        <v>0</v>
      </c>
      <c r="N265" s="33">
        <v>0</v>
      </c>
      <c r="O265" s="33">
        <v>0</v>
      </c>
      <c r="P265" s="33">
        <v>1</v>
      </c>
      <c r="Q265" s="21">
        <f t="shared" si="14"/>
        <v>66</v>
      </c>
      <c r="R265">
        <f t="shared" si="15"/>
        <v>67.844954209913524</v>
      </c>
      <c r="S265">
        <f t="shared" si="16"/>
        <v>2.4039197023539478E-2</v>
      </c>
      <c r="T265">
        <v>51</v>
      </c>
    </row>
    <row r="266" spans="1:20">
      <c r="A266" s="32">
        <v>41353</v>
      </c>
      <c r="B266" s="42">
        <v>74</v>
      </c>
      <c r="C266" s="33">
        <v>1</v>
      </c>
      <c r="D266" s="33">
        <v>0</v>
      </c>
      <c r="E266" s="33">
        <v>0</v>
      </c>
      <c r="F266" s="33">
        <v>5</v>
      </c>
      <c r="G266" s="33">
        <v>4</v>
      </c>
      <c r="H266" s="33">
        <v>30</v>
      </c>
      <c r="I266" s="33">
        <v>1</v>
      </c>
      <c r="J266" s="33">
        <v>0</v>
      </c>
      <c r="K266" s="33">
        <v>0</v>
      </c>
      <c r="L266" s="33">
        <v>1</v>
      </c>
      <c r="M266" s="33">
        <v>0</v>
      </c>
      <c r="N266" s="33">
        <v>0</v>
      </c>
      <c r="O266" s="33">
        <v>0</v>
      </c>
      <c r="P266" s="33">
        <v>1</v>
      </c>
      <c r="Q266" s="21">
        <f t="shared" si="14"/>
        <v>75</v>
      </c>
      <c r="R266">
        <f t="shared" si="15"/>
        <v>79.389686539491464</v>
      </c>
      <c r="S266">
        <f t="shared" si="16"/>
        <v>29.048720993975476</v>
      </c>
      <c r="T266">
        <v>60</v>
      </c>
    </row>
    <row r="267" spans="1:20">
      <c r="A267" s="32">
        <v>41354</v>
      </c>
      <c r="B267" s="42">
        <v>71</v>
      </c>
      <c r="C267" s="33">
        <v>1</v>
      </c>
      <c r="D267" s="33">
        <v>0</v>
      </c>
      <c r="E267" s="33">
        <v>0</v>
      </c>
      <c r="F267" s="33">
        <v>5</v>
      </c>
      <c r="G267" s="33">
        <v>4</v>
      </c>
      <c r="H267" s="33">
        <v>30</v>
      </c>
      <c r="I267" s="33">
        <v>0</v>
      </c>
      <c r="J267" s="33">
        <v>0</v>
      </c>
      <c r="K267" s="33">
        <v>0</v>
      </c>
      <c r="L267" s="33">
        <v>0</v>
      </c>
      <c r="M267" s="33">
        <v>1</v>
      </c>
      <c r="N267" s="33">
        <v>0</v>
      </c>
      <c r="O267" s="33">
        <v>0</v>
      </c>
      <c r="P267" s="33">
        <v>1</v>
      </c>
      <c r="Q267" s="21">
        <f t="shared" si="14"/>
        <v>64</v>
      </c>
      <c r="R267">
        <f t="shared" si="15"/>
        <v>72.66392774747348</v>
      </c>
      <c r="S267">
        <f t="shared" si="16"/>
        <v>2.768655548812168</v>
      </c>
      <c r="T267">
        <v>49</v>
      </c>
    </row>
    <row r="268" spans="1:20">
      <c r="A268" s="32">
        <v>41355</v>
      </c>
      <c r="B268" s="42">
        <v>65</v>
      </c>
      <c r="C268" s="33">
        <v>1</v>
      </c>
      <c r="D268" s="33">
        <v>0</v>
      </c>
      <c r="E268" s="33">
        <v>0</v>
      </c>
      <c r="F268" s="33">
        <v>4</v>
      </c>
      <c r="G268" s="33">
        <v>3</v>
      </c>
      <c r="H268" s="33">
        <v>20</v>
      </c>
      <c r="I268" s="33">
        <v>0</v>
      </c>
      <c r="J268" s="33">
        <v>0</v>
      </c>
      <c r="K268" s="33">
        <v>0</v>
      </c>
      <c r="L268" s="33">
        <v>0</v>
      </c>
      <c r="M268" s="33">
        <v>0</v>
      </c>
      <c r="N268" s="33">
        <v>1</v>
      </c>
      <c r="O268" s="33">
        <v>0</v>
      </c>
      <c r="P268" s="33">
        <v>1</v>
      </c>
      <c r="Q268" s="21">
        <f t="shared" si="14"/>
        <v>62</v>
      </c>
      <c r="R268">
        <f t="shared" si="15"/>
        <v>71.356220668464687</v>
      </c>
      <c r="S268">
        <f t="shared" si="16"/>
        <v>40.401541186217671</v>
      </c>
      <c r="T268">
        <v>47</v>
      </c>
    </row>
    <row r="269" spans="1:20">
      <c r="A269" s="32">
        <v>41356</v>
      </c>
      <c r="B269" s="42">
        <v>60</v>
      </c>
      <c r="C269" s="33">
        <v>1</v>
      </c>
      <c r="D269" s="33">
        <v>0</v>
      </c>
      <c r="E269" s="33">
        <v>0</v>
      </c>
      <c r="F269" s="33">
        <v>5</v>
      </c>
      <c r="G269" s="33">
        <v>4</v>
      </c>
      <c r="H269" s="33">
        <v>30</v>
      </c>
      <c r="I269" s="33">
        <v>0</v>
      </c>
      <c r="J269" s="33">
        <v>0</v>
      </c>
      <c r="K269" s="33">
        <v>0</v>
      </c>
      <c r="L269" s="33">
        <v>0</v>
      </c>
      <c r="M269" s="33">
        <v>0</v>
      </c>
      <c r="N269" s="33">
        <v>0</v>
      </c>
      <c r="O269" s="33">
        <v>1</v>
      </c>
      <c r="P269" s="33">
        <v>1</v>
      </c>
      <c r="Q269" s="21">
        <f t="shared" si="14"/>
        <v>70</v>
      </c>
      <c r="R269">
        <f t="shared" si="15"/>
        <v>75.656474937696075</v>
      </c>
      <c r="S269">
        <f t="shared" si="16"/>
        <v>245.12520747470532</v>
      </c>
      <c r="T269">
        <v>55</v>
      </c>
    </row>
    <row r="270" spans="1:20">
      <c r="A270" s="32">
        <v>41357</v>
      </c>
      <c r="B270" s="42">
        <v>66</v>
      </c>
      <c r="C270" s="33">
        <v>1</v>
      </c>
      <c r="D270" s="33">
        <v>0</v>
      </c>
      <c r="E270" s="33">
        <v>0</v>
      </c>
      <c r="F270" s="33">
        <v>4</v>
      </c>
      <c r="G270" s="33">
        <v>3</v>
      </c>
      <c r="H270" s="33">
        <v>20</v>
      </c>
      <c r="I270" s="33">
        <v>0</v>
      </c>
      <c r="J270" s="33">
        <v>0</v>
      </c>
      <c r="K270" s="33">
        <v>0</v>
      </c>
      <c r="L270" s="33">
        <v>0</v>
      </c>
      <c r="M270" s="33">
        <v>0</v>
      </c>
      <c r="N270" s="33">
        <v>0</v>
      </c>
      <c r="O270" s="33">
        <v>0</v>
      </c>
      <c r="P270" s="33">
        <v>1</v>
      </c>
      <c r="Q270" s="21">
        <f t="shared" si="14"/>
        <v>64</v>
      </c>
      <c r="R270">
        <f t="shared" si="15"/>
        <v>67.919906628103547</v>
      </c>
      <c r="S270">
        <f t="shared" si="16"/>
        <v>3.686041460635932</v>
      </c>
      <c r="T270">
        <v>49</v>
      </c>
    </row>
    <row r="271" spans="1:20">
      <c r="A271" s="32">
        <v>41358</v>
      </c>
      <c r="B271" s="42">
        <v>76</v>
      </c>
      <c r="C271" s="33">
        <v>1</v>
      </c>
      <c r="D271" s="33">
        <v>0</v>
      </c>
      <c r="E271" s="33">
        <v>0</v>
      </c>
      <c r="F271" s="33">
        <v>3</v>
      </c>
      <c r="G271" s="33">
        <v>3</v>
      </c>
      <c r="H271" s="33">
        <v>16</v>
      </c>
      <c r="I271" s="33">
        <v>0</v>
      </c>
      <c r="J271" s="33">
        <v>1</v>
      </c>
      <c r="K271" s="33">
        <v>0</v>
      </c>
      <c r="L271" s="33">
        <v>0</v>
      </c>
      <c r="M271" s="33">
        <v>0</v>
      </c>
      <c r="N271" s="33">
        <v>0</v>
      </c>
      <c r="O271" s="33">
        <v>0</v>
      </c>
      <c r="P271" s="33">
        <v>1</v>
      </c>
      <c r="Q271" s="21">
        <f t="shared" si="14"/>
        <v>84</v>
      </c>
      <c r="R271">
        <f t="shared" si="15"/>
        <v>82.035646058643465</v>
      </c>
      <c r="S271">
        <f t="shared" si="16"/>
        <v>36.429023345218397</v>
      </c>
      <c r="T271">
        <v>69</v>
      </c>
    </row>
    <row r="272" spans="1:20">
      <c r="A272" s="32">
        <v>41359</v>
      </c>
      <c r="B272" s="42">
        <v>81</v>
      </c>
      <c r="C272" s="33">
        <v>1</v>
      </c>
      <c r="D272" s="33">
        <v>0</v>
      </c>
      <c r="E272" s="33">
        <v>0</v>
      </c>
      <c r="F272" s="33">
        <v>3</v>
      </c>
      <c r="G272" s="33">
        <v>3</v>
      </c>
      <c r="H272" s="33">
        <v>16</v>
      </c>
      <c r="I272" s="33">
        <v>0</v>
      </c>
      <c r="J272" s="33">
        <v>0</v>
      </c>
      <c r="K272" s="33">
        <v>1</v>
      </c>
      <c r="L272" s="33">
        <v>0</v>
      </c>
      <c r="M272" s="33">
        <v>0</v>
      </c>
      <c r="N272" s="33">
        <v>0</v>
      </c>
      <c r="O272" s="33">
        <v>0</v>
      </c>
      <c r="P272" s="33">
        <v>1</v>
      </c>
      <c r="Q272" s="21">
        <f t="shared" si="14"/>
        <v>103</v>
      </c>
      <c r="R272">
        <f t="shared" si="15"/>
        <v>92.971629816053792</v>
      </c>
      <c r="S272">
        <f t="shared" si="16"/>
        <v>143.31992045262814</v>
      </c>
      <c r="T272">
        <v>88</v>
      </c>
    </row>
    <row r="273" spans="1:20">
      <c r="A273" s="32">
        <v>41360</v>
      </c>
      <c r="B273" s="42">
        <v>74</v>
      </c>
      <c r="C273" s="33">
        <v>1</v>
      </c>
      <c r="D273" s="33">
        <v>0</v>
      </c>
      <c r="E273" s="33">
        <v>0</v>
      </c>
      <c r="F273" s="33">
        <v>4</v>
      </c>
      <c r="G273" s="33">
        <v>3</v>
      </c>
      <c r="H273" s="33">
        <v>20</v>
      </c>
      <c r="I273" s="33">
        <v>0</v>
      </c>
      <c r="J273" s="33">
        <v>0</v>
      </c>
      <c r="K273" s="33">
        <v>0</v>
      </c>
      <c r="L273" s="33">
        <v>1</v>
      </c>
      <c r="M273" s="33">
        <v>0</v>
      </c>
      <c r="N273" s="33">
        <v>0</v>
      </c>
      <c r="O273" s="33">
        <v>0</v>
      </c>
      <c r="P273" s="33">
        <v>1</v>
      </c>
      <c r="Q273" s="21">
        <f t="shared" si="14"/>
        <v>81</v>
      </c>
      <c r="R273">
        <f t="shared" si="15"/>
        <v>82.221684372757707</v>
      </c>
      <c r="S273">
        <f t="shared" si="16"/>
        <v>67.596093925248297</v>
      </c>
      <c r="T273">
        <v>66</v>
      </c>
    </row>
    <row r="274" spans="1:20">
      <c r="A274" s="32">
        <v>41361</v>
      </c>
      <c r="B274" s="42">
        <v>83</v>
      </c>
      <c r="C274" s="33">
        <v>1</v>
      </c>
      <c r="D274" s="33">
        <v>0</v>
      </c>
      <c r="E274" s="33">
        <v>0</v>
      </c>
      <c r="F274" s="33">
        <v>4</v>
      </c>
      <c r="G274" s="33">
        <v>4</v>
      </c>
      <c r="H274" s="33">
        <v>25</v>
      </c>
      <c r="I274" s="33">
        <v>0</v>
      </c>
      <c r="J274" s="33">
        <v>0</v>
      </c>
      <c r="K274" s="33">
        <v>0</v>
      </c>
      <c r="L274" s="33">
        <v>0</v>
      </c>
      <c r="M274" s="33">
        <v>1</v>
      </c>
      <c r="N274" s="33">
        <v>0</v>
      </c>
      <c r="O274" s="33">
        <v>0</v>
      </c>
      <c r="P274" s="33">
        <v>1</v>
      </c>
      <c r="Q274" s="21">
        <f t="shared" si="14"/>
        <v>78</v>
      </c>
      <c r="R274">
        <f t="shared" si="15"/>
        <v>79.168005654883132</v>
      </c>
      <c r="S274">
        <f t="shared" si="16"/>
        <v>14.684180661007657</v>
      </c>
      <c r="T274">
        <v>63</v>
      </c>
    </row>
    <row r="275" spans="1:20">
      <c r="A275" s="32">
        <v>41362</v>
      </c>
      <c r="B275" s="42">
        <v>71</v>
      </c>
      <c r="C275" s="33">
        <v>1</v>
      </c>
      <c r="D275" s="33">
        <v>0</v>
      </c>
      <c r="E275" s="33">
        <v>0</v>
      </c>
      <c r="F275" s="33">
        <v>4</v>
      </c>
      <c r="G275" s="33">
        <v>4</v>
      </c>
      <c r="H275" s="33">
        <v>25</v>
      </c>
      <c r="I275" s="33">
        <v>0</v>
      </c>
      <c r="J275" s="33">
        <v>0</v>
      </c>
      <c r="K275" s="33">
        <v>0</v>
      </c>
      <c r="L275" s="33">
        <v>0</v>
      </c>
      <c r="M275" s="33">
        <v>0</v>
      </c>
      <c r="N275" s="33">
        <v>1</v>
      </c>
      <c r="O275" s="33">
        <v>0</v>
      </c>
      <c r="P275" s="33">
        <v>1</v>
      </c>
      <c r="Q275" s="21">
        <f t="shared" si="14"/>
        <v>84</v>
      </c>
      <c r="R275">
        <f t="shared" si="15"/>
        <v>84.046192163071709</v>
      </c>
      <c r="S275">
        <f t="shared" si="16"/>
        <v>170.20312995579366</v>
      </c>
      <c r="T275">
        <v>69</v>
      </c>
    </row>
    <row r="276" spans="1:20">
      <c r="A276" s="32">
        <v>41363</v>
      </c>
      <c r="B276" s="42">
        <v>84</v>
      </c>
      <c r="C276" s="33">
        <v>1</v>
      </c>
      <c r="D276" s="33">
        <v>0</v>
      </c>
      <c r="E276" s="33">
        <v>0</v>
      </c>
      <c r="F276" s="33">
        <v>5</v>
      </c>
      <c r="G276" s="33">
        <v>5</v>
      </c>
      <c r="H276" s="33">
        <v>36</v>
      </c>
      <c r="I276" s="33">
        <v>0</v>
      </c>
      <c r="J276" s="33">
        <v>0</v>
      </c>
      <c r="K276" s="33">
        <v>0</v>
      </c>
      <c r="L276" s="33">
        <v>0</v>
      </c>
      <c r="M276" s="33">
        <v>0</v>
      </c>
      <c r="N276" s="33">
        <v>0</v>
      </c>
      <c r="O276" s="33">
        <v>1</v>
      </c>
      <c r="P276" s="33">
        <v>1</v>
      </c>
      <c r="Q276" s="21">
        <f t="shared" si="14"/>
        <v>78</v>
      </c>
      <c r="R276">
        <f t="shared" si="15"/>
        <v>79.54064075883332</v>
      </c>
      <c r="S276">
        <f t="shared" si="16"/>
        <v>19.885884841778672</v>
      </c>
      <c r="T276">
        <v>63</v>
      </c>
    </row>
    <row r="277" spans="1:20">
      <c r="A277" s="32">
        <v>41364</v>
      </c>
      <c r="B277" s="42">
        <v>69</v>
      </c>
      <c r="C277" s="33">
        <v>1</v>
      </c>
      <c r="D277" s="33">
        <v>0</v>
      </c>
      <c r="E277" s="33">
        <v>0</v>
      </c>
      <c r="F277" s="33">
        <v>5</v>
      </c>
      <c r="G277" s="33">
        <v>4</v>
      </c>
      <c r="H277" s="33">
        <v>30</v>
      </c>
      <c r="I277" s="33">
        <v>0</v>
      </c>
      <c r="J277" s="33">
        <v>0</v>
      </c>
      <c r="K277" s="33">
        <v>0</v>
      </c>
      <c r="L277" s="33">
        <v>0</v>
      </c>
      <c r="M277" s="33">
        <v>0</v>
      </c>
      <c r="N277" s="33">
        <v>0</v>
      </c>
      <c r="O277" s="33">
        <v>0</v>
      </c>
      <c r="P277" s="33">
        <v>1</v>
      </c>
      <c r="Q277" s="21">
        <f t="shared" si="14"/>
        <v>51</v>
      </c>
      <c r="R277">
        <f t="shared" si="15"/>
        <v>62.028159059085993</v>
      </c>
      <c r="S277">
        <f t="shared" si="16"/>
        <v>48.606566105404703</v>
      </c>
      <c r="T277">
        <v>36</v>
      </c>
    </row>
    <row r="278" spans="1:20">
      <c r="A278" s="32">
        <v>41365</v>
      </c>
      <c r="B278" s="42">
        <v>67</v>
      </c>
      <c r="C278" s="33">
        <v>1</v>
      </c>
      <c r="D278" s="33">
        <v>0</v>
      </c>
      <c r="E278" s="33">
        <v>0</v>
      </c>
      <c r="F278" s="33">
        <v>4</v>
      </c>
      <c r="G278" s="33">
        <v>2</v>
      </c>
      <c r="H278" s="33">
        <v>15</v>
      </c>
      <c r="I278" s="33">
        <v>0</v>
      </c>
      <c r="J278" s="33">
        <v>1</v>
      </c>
      <c r="K278" s="33">
        <v>0</v>
      </c>
      <c r="L278" s="33">
        <v>0</v>
      </c>
      <c r="M278" s="33">
        <v>0</v>
      </c>
      <c r="N278" s="33">
        <v>0</v>
      </c>
      <c r="O278" s="33">
        <v>0</v>
      </c>
      <c r="P278" s="33">
        <v>1</v>
      </c>
      <c r="Q278" s="21">
        <f t="shared" si="14"/>
        <v>60</v>
      </c>
      <c r="R278">
        <f t="shared" si="15"/>
        <v>70.49715079140941</v>
      </c>
      <c r="S278">
        <f t="shared" si="16"/>
        <v>12.230063657855466</v>
      </c>
      <c r="T278">
        <v>45</v>
      </c>
    </row>
    <row r="279" spans="1:20">
      <c r="A279" s="32">
        <v>41366</v>
      </c>
      <c r="B279" s="42">
        <v>55</v>
      </c>
      <c r="C279" s="33">
        <v>1</v>
      </c>
      <c r="D279" s="33">
        <v>0</v>
      </c>
      <c r="E279" s="33">
        <v>0</v>
      </c>
      <c r="F279" s="33">
        <v>2</v>
      </c>
      <c r="G279" s="33">
        <v>1</v>
      </c>
      <c r="H279" s="33">
        <v>6</v>
      </c>
      <c r="I279" s="33">
        <v>0</v>
      </c>
      <c r="J279" s="33">
        <v>0</v>
      </c>
      <c r="K279" s="33">
        <v>1</v>
      </c>
      <c r="L279" s="33">
        <v>0</v>
      </c>
      <c r="M279" s="33">
        <v>0</v>
      </c>
      <c r="N279" s="33">
        <v>0</v>
      </c>
      <c r="O279" s="33">
        <v>0</v>
      </c>
      <c r="P279" s="33">
        <v>1</v>
      </c>
      <c r="Q279" s="21">
        <f t="shared" si="14"/>
        <v>51</v>
      </c>
      <c r="R279">
        <f t="shared" si="15"/>
        <v>57.672773295391821</v>
      </c>
      <c r="S279">
        <f t="shared" si="16"/>
        <v>7.1437170885596526</v>
      </c>
      <c r="T279">
        <v>36</v>
      </c>
    </row>
    <row r="280" spans="1:20">
      <c r="A280" s="32">
        <v>41367</v>
      </c>
      <c r="B280" s="42">
        <v>59</v>
      </c>
      <c r="C280" s="33">
        <v>1</v>
      </c>
      <c r="D280" s="33">
        <v>0</v>
      </c>
      <c r="E280" s="33">
        <v>0</v>
      </c>
      <c r="F280" s="33">
        <v>2</v>
      </c>
      <c r="G280" s="33">
        <v>0</v>
      </c>
      <c r="H280" s="33">
        <v>3</v>
      </c>
      <c r="I280" s="33">
        <v>0</v>
      </c>
      <c r="J280" s="33">
        <v>0</v>
      </c>
      <c r="K280" s="33">
        <v>0</v>
      </c>
      <c r="L280" s="33">
        <v>1</v>
      </c>
      <c r="M280" s="33">
        <v>0</v>
      </c>
      <c r="N280" s="33">
        <v>0</v>
      </c>
      <c r="O280" s="33">
        <v>0</v>
      </c>
      <c r="P280" s="33">
        <v>1</v>
      </c>
      <c r="Q280" s="21">
        <f t="shared" si="14"/>
        <v>47</v>
      </c>
      <c r="R280">
        <f t="shared" si="15"/>
        <v>53.428069559851657</v>
      </c>
      <c r="S280">
        <f t="shared" si="16"/>
        <v>31.046408829851703</v>
      </c>
      <c r="T280">
        <v>32</v>
      </c>
    </row>
    <row r="281" spans="1:20">
      <c r="A281" s="32">
        <v>41368</v>
      </c>
      <c r="B281" s="42">
        <v>42</v>
      </c>
      <c r="C281" s="33">
        <v>1</v>
      </c>
      <c r="D281" s="33">
        <v>0</v>
      </c>
      <c r="E281" s="33">
        <v>0</v>
      </c>
      <c r="F281" s="33">
        <v>1</v>
      </c>
      <c r="G281" s="33">
        <v>0</v>
      </c>
      <c r="H281" s="33">
        <v>2</v>
      </c>
      <c r="I281" s="33">
        <v>0</v>
      </c>
      <c r="J281" s="33">
        <v>0</v>
      </c>
      <c r="K281" s="33">
        <v>0</v>
      </c>
      <c r="L281" s="33">
        <v>0</v>
      </c>
      <c r="M281" s="33">
        <v>1</v>
      </c>
      <c r="N281" s="33">
        <v>0</v>
      </c>
      <c r="O281" s="33">
        <v>0</v>
      </c>
      <c r="P281" s="33">
        <v>1</v>
      </c>
      <c r="Q281" s="21">
        <f t="shared" si="14"/>
        <v>58</v>
      </c>
      <c r="R281">
        <f t="shared" si="15"/>
        <v>53.825084569698909</v>
      </c>
      <c r="S281">
        <f t="shared" si="16"/>
        <v>139.83262508053122</v>
      </c>
      <c r="T281">
        <v>43</v>
      </c>
    </row>
    <row r="282" spans="1:20">
      <c r="A282" s="32">
        <v>41369</v>
      </c>
      <c r="B282" s="42">
        <v>43</v>
      </c>
      <c r="C282" s="33">
        <v>1</v>
      </c>
      <c r="D282" s="33">
        <v>0</v>
      </c>
      <c r="E282" s="33">
        <v>0</v>
      </c>
      <c r="F282" s="33">
        <v>0</v>
      </c>
      <c r="G282" s="33">
        <v>0</v>
      </c>
      <c r="H282" s="33">
        <v>1</v>
      </c>
      <c r="I282" s="33">
        <v>0</v>
      </c>
      <c r="J282" s="33">
        <v>0</v>
      </c>
      <c r="K282" s="33">
        <v>0</v>
      </c>
      <c r="L282" s="33">
        <v>0</v>
      </c>
      <c r="M282" s="33">
        <v>0</v>
      </c>
      <c r="N282" s="33">
        <v>1</v>
      </c>
      <c r="O282" s="33">
        <v>0</v>
      </c>
      <c r="P282" s="33">
        <v>1</v>
      </c>
      <c r="Q282" s="21">
        <f t="shared" si="14"/>
        <v>51</v>
      </c>
      <c r="R282">
        <f t="shared" si="15"/>
        <v>46.662773602381534</v>
      </c>
      <c r="S282">
        <f t="shared" si="16"/>
        <v>13.415910462303003</v>
      </c>
      <c r="T282">
        <v>36</v>
      </c>
    </row>
    <row r="283" spans="1:20">
      <c r="A283" s="32">
        <v>41370</v>
      </c>
      <c r="B283" s="42">
        <v>60</v>
      </c>
      <c r="C283" s="33">
        <v>1</v>
      </c>
      <c r="D283" s="33">
        <v>0</v>
      </c>
      <c r="E283" s="33">
        <v>0</v>
      </c>
      <c r="F283" s="33">
        <v>3</v>
      </c>
      <c r="G283" s="33">
        <v>2</v>
      </c>
      <c r="H283" s="33">
        <v>12</v>
      </c>
      <c r="I283" s="33">
        <v>0</v>
      </c>
      <c r="J283" s="33">
        <v>0</v>
      </c>
      <c r="K283" s="33">
        <v>0</v>
      </c>
      <c r="L283" s="33">
        <v>0</v>
      </c>
      <c r="M283" s="33">
        <v>0</v>
      </c>
      <c r="N283" s="33">
        <v>0</v>
      </c>
      <c r="O283" s="33">
        <v>1</v>
      </c>
      <c r="P283" s="33">
        <v>1</v>
      </c>
      <c r="Q283" s="21">
        <f t="shared" si="14"/>
        <v>54</v>
      </c>
      <c r="R283">
        <f t="shared" si="15"/>
        <v>61.776597957981735</v>
      </c>
      <c r="S283">
        <f t="shared" si="16"/>
        <v>3.1563003043048723</v>
      </c>
      <c r="T283">
        <v>39</v>
      </c>
    </row>
    <row r="284" spans="1:20">
      <c r="A284" s="32">
        <v>41371</v>
      </c>
      <c r="B284" s="42">
        <v>55</v>
      </c>
      <c r="C284" s="33">
        <v>1</v>
      </c>
      <c r="D284" s="33">
        <v>0</v>
      </c>
      <c r="E284" s="33">
        <v>0</v>
      </c>
      <c r="F284" s="33">
        <v>2</v>
      </c>
      <c r="G284" s="33">
        <v>1</v>
      </c>
      <c r="H284" s="33">
        <v>6</v>
      </c>
      <c r="I284" s="33">
        <v>0</v>
      </c>
      <c r="J284" s="33">
        <v>0</v>
      </c>
      <c r="K284" s="33">
        <v>0</v>
      </c>
      <c r="L284" s="33">
        <v>0</v>
      </c>
      <c r="M284" s="33">
        <v>0</v>
      </c>
      <c r="N284" s="33">
        <v>0</v>
      </c>
      <c r="O284" s="33">
        <v>0</v>
      </c>
      <c r="P284" s="33">
        <v>1</v>
      </c>
      <c r="Q284" s="21">
        <f t="shared" si="14"/>
        <v>48</v>
      </c>
      <c r="R284">
        <f t="shared" si="15"/>
        <v>51.023850037749902</v>
      </c>
      <c r="S284">
        <f t="shared" si="16"/>
        <v>15.809768522301454</v>
      </c>
      <c r="T284">
        <v>33</v>
      </c>
    </row>
    <row r="285" spans="1:20">
      <c r="A285" s="32">
        <v>41372</v>
      </c>
      <c r="B285" s="42">
        <v>41</v>
      </c>
      <c r="C285" s="33">
        <v>1</v>
      </c>
      <c r="D285" s="33">
        <v>0</v>
      </c>
      <c r="E285" s="33">
        <v>0</v>
      </c>
      <c r="F285" s="33">
        <v>0</v>
      </c>
      <c r="G285" s="33">
        <v>0</v>
      </c>
      <c r="H285" s="33">
        <v>1</v>
      </c>
      <c r="I285" s="33">
        <v>0</v>
      </c>
      <c r="J285" s="33">
        <v>1</v>
      </c>
      <c r="K285" s="33">
        <v>0</v>
      </c>
      <c r="L285" s="33">
        <v>0</v>
      </c>
      <c r="M285" s="33">
        <v>0</v>
      </c>
      <c r="N285" s="33">
        <v>0</v>
      </c>
      <c r="O285" s="33">
        <v>0</v>
      </c>
      <c r="P285" s="33">
        <v>1</v>
      </c>
      <c r="Q285" s="21">
        <f t="shared" si="14"/>
        <v>48</v>
      </c>
      <c r="R285">
        <f t="shared" si="15"/>
        <v>45.265782525031213</v>
      </c>
      <c r="S285">
        <f t="shared" si="16"/>
        <v>18.19690055086167</v>
      </c>
      <c r="T285">
        <v>33</v>
      </c>
    </row>
    <row r="286" spans="1:20">
      <c r="A286" s="32">
        <v>41373</v>
      </c>
      <c r="B286" s="42">
        <v>36</v>
      </c>
      <c r="C286" s="33">
        <v>1</v>
      </c>
      <c r="D286" s="33">
        <v>0</v>
      </c>
      <c r="E286" s="33">
        <v>0</v>
      </c>
      <c r="F286" s="33">
        <v>0</v>
      </c>
      <c r="G286" s="33">
        <v>0</v>
      </c>
      <c r="H286" s="33">
        <v>1</v>
      </c>
      <c r="I286" s="33">
        <v>0</v>
      </c>
      <c r="J286" s="33">
        <v>0</v>
      </c>
      <c r="K286" s="33">
        <v>1</v>
      </c>
      <c r="L286" s="33">
        <v>0</v>
      </c>
      <c r="M286" s="33">
        <v>0</v>
      </c>
      <c r="N286" s="33">
        <v>0</v>
      </c>
      <c r="O286" s="33">
        <v>0</v>
      </c>
      <c r="P286" s="33">
        <v>1</v>
      </c>
      <c r="Q286" s="21">
        <f t="shared" si="14"/>
        <v>47</v>
      </c>
      <c r="R286">
        <f t="shared" si="15"/>
        <v>44.699250895570202</v>
      </c>
      <c r="S286">
        <f t="shared" si="16"/>
        <v>75.67696614407896</v>
      </c>
      <c r="T286">
        <v>32</v>
      </c>
    </row>
    <row r="287" spans="1:20">
      <c r="A287" s="32">
        <v>41374</v>
      </c>
      <c r="B287" s="42">
        <v>41</v>
      </c>
      <c r="C287" s="33">
        <v>1</v>
      </c>
      <c r="D287" s="33">
        <v>0</v>
      </c>
      <c r="E287" s="33">
        <v>0</v>
      </c>
      <c r="F287" s="33">
        <v>0</v>
      </c>
      <c r="G287" s="33">
        <v>0</v>
      </c>
      <c r="H287" s="33">
        <v>1</v>
      </c>
      <c r="I287" s="33">
        <v>0</v>
      </c>
      <c r="J287" s="33">
        <v>0</v>
      </c>
      <c r="K287" s="33">
        <v>0</v>
      </c>
      <c r="L287" s="33">
        <v>1</v>
      </c>
      <c r="M287" s="33">
        <v>0</v>
      </c>
      <c r="N287" s="33">
        <v>0</v>
      </c>
      <c r="O287" s="33">
        <v>0</v>
      </c>
      <c r="P287" s="33">
        <v>1</v>
      </c>
      <c r="Q287" s="21">
        <f t="shared" si="14"/>
        <v>35</v>
      </c>
      <c r="R287">
        <f t="shared" si="15"/>
        <v>37.398835379649697</v>
      </c>
      <c r="S287">
        <f t="shared" si="16"/>
        <v>12.968386622862745</v>
      </c>
      <c r="T287">
        <v>20</v>
      </c>
    </row>
    <row r="288" spans="1:20">
      <c r="A288" s="32">
        <v>41375</v>
      </c>
      <c r="B288" s="42">
        <v>27</v>
      </c>
      <c r="C288" s="33">
        <v>1</v>
      </c>
      <c r="D288" s="33">
        <v>0</v>
      </c>
      <c r="E288" s="33">
        <v>0</v>
      </c>
      <c r="F288" s="33">
        <v>0</v>
      </c>
      <c r="G288" s="33">
        <v>0</v>
      </c>
      <c r="H288" s="33">
        <v>1</v>
      </c>
      <c r="I288" s="33">
        <v>0</v>
      </c>
      <c r="J288" s="33">
        <v>0</v>
      </c>
      <c r="K288" s="33">
        <v>0</v>
      </c>
      <c r="L288" s="33">
        <v>0</v>
      </c>
      <c r="M288" s="33">
        <v>1</v>
      </c>
      <c r="N288" s="33">
        <v>0</v>
      </c>
      <c r="O288" s="33">
        <v>0</v>
      </c>
      <c r="P288" s="33">
        <v>1</v>
      </c>
      <c r="Q288" s="21">
        <f t="shared" si="14"/>
        <v>40</v>
      </c>
      <c r="R288">
        <f t="shared" si="15"/>
        <v>38.908958247475127</v>
      </c>
      <c r="S288">
        <f t="shared" si="16"/>
        <v>141.82328654010584</v>
      </c>
      <c r="T288">
        <v>25</v>
      </c>
    </row>
    <row r="289" spans="1:20">
      <c r="A289" s="32">
        <v>41376</v>
      </c>
      <c r="B289" s="42">
        <v>43</v>
      </c>
      <c r="C289" s="33">
        <v>1</v>
      </c>
      <c r="D289" s="33">
        <v>0</v>
      </c>
      <c r="E289" s="33">
        <v>0</v>
      </c>
      <c r="F289" s="33">
        <v>0</v>
      </c>
      <c r="G289" s="33">
        <v>0</v>
      </c>
      <c r="H289" s="33">
        <v>1</v>
      </c>
      <c r="I289" s="33">
        <v>0</v>
      </c>
      <c r="J289" s="33">
        <v>0</v>
      </c>
      <c r="K289" s="33">
        <v>0</v>
      </c>
      <c r="L289" s="33">
        <v>0</v>
      </c>
      <c r="M289" s="33">
        <v>0</v>
      </c>
      <c r="N289" s="33">
        <v>1</v>
      </c>
      <c r="O289" s="33">
        <v>0</v>
      </c>
      <c r="P289" s="33">
        <v>1</v>
      </c>
      <c r="Q289" s="21">
        <f t="shared" si="14"/>
        <v>49</v>
      </c>
      <c r="R289">
        <f t="shared" si="15"/>
        <v>45.512522063694398</v>
      </c>
      <c r="S289">
        <f t="shared" si="16"/>
        <v>6.3127671205511557</v>
      </c>
      <c r="T289">
        <v>34</v>
      </c>
    </row>
    <row r="290" spans="1:20">
      <c r="A290" s="32">
        <v>41377</v>
      </c>
      <c r="B290" s="42">
        <v>43</v>
      </c>
      <c r="C290" s="33">
        <v>1</v>
      </c>
      <c r="D290" s="33">
        <v>0</v>
      </c>
      <c r="E290" s="33">
        <v>0</v>
      </c>
      <c r="F290" s="33">
        <v>2</v>
      </c>
      <c r="G290" s="33">
        <v>2</v>
      </c>
      <c r="H290" s="33">
        <v>9</v>
      </c>
      <c r="I290" s="33">
        <v>0</v>
      </c>
      <c r="J290" s="33">
        <v>0</v>
      </c>
      <c r="K290" s="33">
        <v>0</v>
      </c>
      <c r="L290" s="33">
        <v>0</v>
      </c>
      <c r="M290" s="33">
        <v>0</v>
      </c>
      <c r="N290" s="33">
        <v>0</v>
      </c>
      <c r="O290" s="33">
        <v>1</v>
      </c>
      <c r="P290" s="33">
        <v>1</v>
      </c>
      <c r="Q290" s="21">
        <f t="shared" si="14"/>
        <v>58</v>
      </c>
      <c r="R290">
        <f t="shared" si="15"/>
        <v>61.021328366636077</v>
      </c>
      <c r="S290">
        <f t="shared" si="16"/>
        <v>324.7682760981221</v>
      </c>
      <c r="T290">
        <v>43</v>
      </c>
    </row>
    <row r="291" spans="1:20">
      <c r="A291" s="32">
        <v>41378</v>
      </c>
      <c r="B291" s="42">
        <v>49</v>
      </c>
      <c r="C291" s="33">
        <v>1</v>
      </c>
      <c r="D291" s="33">
        <v>0</v>
      </c>
      <c r="E291" s="33">
        <v>0</v>
      </c>
      <c r="F291" s="33">
        <v>2</v>
      </c>
      <c r="G291" s="33">
        <v>1</v>
      </c>
      <c r="H291" s="33">
        <v>6</v>
      </c>
      <c r="I291" s="33">
        <v>0</v>
      </c>
      <c r="J291" s="33">
        <v>0</v>
      </c>
      <c r="K291" s="33">
        <v>0</v>
      </c>
      <c r="L291" s="33">
        <v>0</v>
      </c>
      <c r="M291" s="33">
        <v>0</v>
      </c>
      <c r="N291" s="33">
        <v>0</v>
      </c>
      <c r="O291" s="33">
        <v>0</v>
      </c>
      <c r="P291" s="33">
        <v>1</v>
      </c>
      <c r="Q291" s="21">
        <f t="shared" si="14"/>
        <v>55</v>
      </c>
      <c r="R291">
        <f t="shared" si="15"/>
        <v>55.04973042315487</v>
      </c>
      <c r="S291">
        <f t="shared" si="16"/>
        <v>36.599238192845597</v>
      </c>
      <c r="T291">
        <v>40</v>
      </c>
    </row>
    <row r="292" spans="1:20">
      <c r="A292" s="32">
        <v>41379</v>
      </c>
      <c r="B292" s="42">
        <v>44</v>
      </c>
      <c r="C292" s="33">
        <v>1</v>
      </c>
      <c r="D292" s="33">
        <v>0</v>
      </c>
      <c r="E292" s="33">
        <v>0</v>
      </c>
      <c r="F292" s="33">
        <v>0</v>
      </c>
      <c r="G292" s="33">
        <v>0</v>
      </c>
      <c r="H292" s="33">
        <v>1</v>
      </c>
      <c r="I292" s="33">
        <v>0</v>
      </c>
      <c r="J292" s="33">
        <v>1</v>
      </c>
      <c r="K292" s="33">
        <v>0</v>
      </c>
      <c r="L292" s="33">
        <v>0</v>
      </c>
      <c r="M292" s="33">
        <v>0</v>
      </c>
      <c r="N292" s="33">
        <v>0</v>
      </c>
      <c r="O292" s="33">
        <v>0</v>
      </c>
      <c r="P292" s="33">
        <v>1</v>
      </c>
      <c r="Q292" s="21">
        <f t="shared" si="14"/>
        <v>42</v>
      </c>
      <c r="R292">
        <f t="shared" si="15"/>
        <v>41.81502790896981</v>
      </c>
      <c r="S292">
        <f t="shared" si="16"/>
        <v>4.7741030385808401</v>
      </c>
      <c r="T292">
        <v>27</v>
      </c>
    </row>
    <row r="293" spans="1:20">
      <c r="A293" s="32">
        <v>41380</v>
      </c>
      <c r="B293" s="42">
        <v>29</v>
      </c>
      <c r="C293" s="33">
        <v>1</v>
      </c>
      <c r="D293" s="33">
        <v>0</v>
      </c>
      <c r="E293" s="33">
        <v>0</v>
      </c>
      <c r="F293" s="33">
        <v>0</v>
      </c>
      <c r="G293" s="33">
        <v>0</v>
      </c>
      <c r="H293" s="33">
        <v>1</v>
      </c>
      <c r="I293" s="33">
        <v>0</v>
      </c>
      <c r="J293" s="33">
        <v>0</v>
      </c>
      <c r="K293" s="33">
        <v>1</v>
      </c>
      <c r="L293" s="33">
        <v>0</v>
      </c>
      <c r="M293" s="33">
        <v>0</v>
      </c>
      <c r="N293" s="33">
        <v>0</v>
      </c>
      <c r="O293" s="33">
        <v>0</v>
      </c>
      <c r="P293" s="33">
        <v>1</v>
      </c>
      <c r="Q293" s="21">
        <f t="shared" si="14"/>
        <v>36</v>
      </c>
      <c r="R293">
        <f t="shared" si="15"/>
        <v>38.372867432790969</v>
      </c>
      <c r="S293">
        <f t="shared" si="16"/>
        <v>87.850643912673561</v>
      </c>
      <c r="T293">
        <v>21</v>
      </c>
    </row>
    <row r="294" spans="1:20">
      <c r="A294" s="32">
        <v>41381</v>
      </c>
      <c r="B294" s="42">
        <v>7</v>
      </c>
      <c r="C294" s="33">
        <v>1</v>
      </c>
      <c r="D294" s="33">
        <v>0</v>
      </c>
      <c r="E294" s="33">
        <v>0</v>
      </c>
      <c r="F294" s="33">
        <v>0</v>
      </c>
      <c r="G294" s="33">
        <v>0</v>
      </c>
      <c r="H294" s="33">
        <v>1</v>
      </c>
      <c r="I294" s="33">
        <v>0</v>
      </c>
      <c r="J294" s="33">
        <v>0</v>
      </c>
      <c r="K294" s="33">
        <v>0</v>
      </c>
      <c r="L294" s="33">
        <v>1</v>
      </c>
      <c r="M294" s="33">
        <v>0</v>
      </c>
      <c r="N294" s="33">
        <v>0</v>
      </c>
      <c r="O294" s="33">
        <v>0</v>
      </c>
      <c r="P294" s="33">
        <v>1</v>
      </c>
      <c r="Q294" s="21">
        <f t="shared" si="14"/>
        <v>36</v>
      </c>
      <c r="R294">
        <f t="shared" si="15"/>
        <v>37.973961148993268</v>
      </c>
      <c r="S294">
        <f t="shared" si="16"/>
        <v>959.38626925934443</v>
      </c>
      <c r="T294">
        <v>21</v>
      </c>
    </row>
    <row r="295" spans="1:20">
      <c r="A295" s="32">
        <v>41382</v>
      </c>
      <c r="B295" s="42">
        <v>29</v>
      </c>
      <c r="C295" s="33">
        <v>1</v>
      </c>
      <c r="D295" s="33">
        <v>0</v>
      </c>
      <c r="E295" s="33">
        <v>0</v>
      </c>
      <c r="F295" s="33">
        <v>0</v>
      </c>
      <c r="G295" s="33">
        <v>0</v>
      </c>
      <c r="H295" s="33">
        <v>1</v>
      </c>
      <c r="I295" s="33">
        <v>0</v>
      </c>
      <c r="J295" s="33">
        <v>0</v>
      </c>
      <c r="K295" s="33">
        <v>0</v>
      </c>
      <c r="L295" s="33">
        <v>0</v>
      </c>
      <c r="M295" s="33">
        <v>1</v>
      </c>
      <c r="N295" s="33">
        <v>0</v>
      </c>
      <c r="O295" s="33">
        <v>0</v>
      </c>
      <c r="P295" s="33">
        <v>1</v>
      </c>
      <c r="Q295" s="21">
        <f t="shared" si="14"/>
        <v>36</v>
      </c>
      <c r="R295">
        <f t="shared" si="15"/>
        <v>36.608455170100854</v>
      </c>
      <c r="S295">
        <f t="shared" si="16"/>
        <v>57.888590075434408</v>
      </c>
      <c r="T295">
        <v>21</v>
      </c>
    </row>
    <row r="296" spans="1:20">
      <c r="A296" s="32">
        <v>41383</v>
      </c>
      <c r="B296" s="42">
        <v>36</v>
      </c>
      <c r="C296" s="33">
        <v>1</v>
      </c>
      <c r="D296" s="33">
        <v>0</v>
      </c>
      <c r="E296" s="33">
        <v>0</v>
      </c>
      <c r="F296" s="33">
        <v>0</v>
      </c>
      <c r="G296" s="33">
        <v>0</v>
      </c>
      <c r="H296" s="33">
        <v>1</v>
      </c>
      <c r="I296" s="33">
        <v>0</v>
      </c>
      <c r="J296" s="33">
        <v>0</v>
      </c>
      <c r="K296" s="33">
        <v>0</v>
      </c>
      <c r="L296" s="33">
        <v>0</v>
      </c>
      <c r="M296" s="33">
        <v>0</v>
      </c>
      <c r="N296" s="33">
        <v>1</v>
      </c>
      <c r="O296" s="33">
        <v>0</v>
      </c>
      <c r="P296" s="33">
        <v>1</v>
      </c>
      <c r="Q296" s="21">
        <f t="shared" si="14"/>
        <v>40</v>
      </c>
      <c r="R296">
        <f t="shared" si="15"/>
        <v>40.336390139602294</v>
      </c>
      <c r="S296">
        <f t="shared" si="16"/>
        <v>18.804279442840002</v>
      </c>
      <c r="T296">
        <v>25</v>
      </c>
    </row>
    <row r="297" spans="1:20">
      <c r="A297" s="32">
        <v>41384</v>
      </c>
      <c r="B297" s="42">
        <v>46</v>
      </c>
      <c r="C297" s="33">
        <v>1</v>
      </c>
      <c r="D297" s="33">
        <v>0</v>
      </c>
      <c r="E297" s="33">
        <v>0</v>
      </c>
      <c r="F297" s="33">
        <v>2</v>
      </c>
      <c r="G297" s="33">
        <v>1</v>
      </c>
      <c r="H297" s="33">
        <v>6</v>
      </c>
      <c r="I297" s="33">
        <v>0</v>
      </c>
      <c r="J297" s="33">
        <v>0</v>
      </c>
      <c r="K297" s="33">
        <v>0</v>
      </c>
      <c r="L297" s="33">
        <v>0</v>
      </c>
      <c r="M297" s="33">
        <v>0</v>
      </c>
      <c r="N297" s="33">
        <v>0</v>
      </c>
      <c r="O297" s="33">
        <v>1</v>
      </c>
      <c r="P297" s="33">
        <v>1</v>
      </c>
      <c r="Q297" s="21">
        <f t="shared" si="14"/>
        <v>44</v>
      </c>
      <c r="R297">
        <f t="shared" si="15"/>
        <v>51.424273221457945</v>
      </c>
      <c r="S297">
        <f t="shared" si="16"/>
        <v>29.42273998102575</v>
      </c>
      <c r="T297">
        <v>29</v>
      </c>
    </row>
    <row r="298" spans="1:20">
      <c r="A298" s="32">
        <v>41385</v>
      </c>
      <c r="B298" s="42">
        <v>44</v>
      </c>
      <c r="C298" s="33">
        <v>1</v>
      </c>
      <c r="D298" s="33">
        <v>0</v>
      </c>
      <c r="E298" s="33">
        <v>0</v>
      </c>
      <c r="F298" s="33">
        <v>1</v>
      </c>
      <c r="G298" s="33">
        <v>0</v>
      </c>
      <c r="H298" s="33">
        <v>2</v>
      </c>
      <c r="I298" s="33">
        <v>0</v>
      </c>
      <c r="J298" s="33">
        <v>0</v>
      </c>
      <c r="K298" s="33">
        <v>0</v>
      </c>
      <c r="L298" s="33">
        <v>0</v>
      </c>
      <c r="M298" s="33">
        <v>0</v>
      </c>
      <c r="N298" s="33">
        <v>0</v>
      </c>
      <c r="O298" s="33">
        <v>0</v>
      </c>
      <c r="P298" s="33">
        <v>1</v>
      </c>
      <c r="Q298" s="21">
        <f t="shared" si="14"/>
        <v>43</v>
      </c>
      <c r="R298">
        <f t="shared" si="15"/>
        <v>42.0390643426243</v>
      </c>
      <c r="S298">
        <f t="shared" si="16"/>
        <v>3.8452686523674675</v>
      </c>
      <c r="T298">
        <v>28</v>
      </c>
    </row>
    <row r="299" spans="1:20">
      <c r="A299" s="32">
        <v>41386</v>
      </c>
      <c r="B299" s="42">
        <v>33</v>
      </c>
      <c r="C299" s="33">
        <v>1</v>
      </c>
      <c r="D299" s="33">
        <v>0</v>
      </c>
      <c r="E299" s="33">
        <v>0</v>
      </c>
      <c r="F299" s="33">
        <v>0</v>
      </c>
      <c r="G299" s="33">
        <v>0</v>
      </c>
      <c r="H299" s="33">
        <v>1</v>
      </c>
      <c r="I299" s="33">
        <v>0</v>
      </c>
      <c r="J299" s="33">
        <v>1</v>
      </c>
      <c r="K299" s="33">
        <v>0</v>
      </c>
      <c r="L299" s="33">
        <v>0</v>
      </c>
      <c r="M299" s="33">
        <v>0</v>
      </c>
      <c r="N299" s="33">
        <v>0</v>
      </c>
      <c r="O299" s="33">
        <v>0</v>
      </c>
      <c r="P299" s="33">
        <v>1</v>
      </c>
      <c r="Q299" s="21">
        <f t="shared" si="14"/>
        <v>47</v>
      </c>
      <c r="R299">
        <f t="shared" si="15"/>
        <v>44.690656755687648</v>
      </c>
      <c r="S299">
        <f t="shared" si="16"/>
        <v>136.67145537930526</v>
      </c>
      <c r="T299">
        <v>32</v>
      </c>
    </row>
    <row r="300" spans="1:20">
      <c r="A300" s="32">
        <v>41387</v>
      </c>
      <c r="B300" s="42">
        <v>36</v>
      </c>
      <c r="C300" s="33">
        <v>1</v>
      </c>
      <c r="D300" s="33">
        <v>0</v>
      </c>
      <c r="E300" s="33">
        <v>0</v>
      </c>
      <c r="F300" s="33">
        <v>0</v>
      </c>
      <c r="G300" s="33">
        <v>0</v>
      </c>
      <c r="H300" s="33">
        <v>1</v>
      </c>
      <c r="I300" s="33">
        <v>0</v>
      </c>
      <c r="J300" s="33">
        <v>0</v>
      </c>
      <c r="K300" s="33">
        <v>1</v>
      </c>
      <c r="L300" s="33">
        <v>0</v>
      </c>
      <c r="M300" s="33">
        <v>0</v>
      </c>
      <c r="N300" s="33">
        <v>0</v>
      </c>
      <c r="O300" s="33">
        <v>0</v>
      </c>
      <c r="P300" s="33">
        <v>1</v>
      </c>
      <c r="Q300" s="21">
        <f t="shared" si="14"/>
        <v>42</v>
      </c>
      <c r="R300">
        <f t="shared" si="15"/>
        <v>41.823622048852371</v>
      </c>
      <c r="S300">
        <f t="shared" si="16"/>
        <v>33.914573767879489</v>
      </c>
      <c r="T300">
        <v>27</v>
      </c>
    </row>
    <row r="301" spans="1:20">
      <c r="A301" s="32">
        <v>41388</v>
      </c>
      <c r="B301" s="42">
        <v>37</v>
      </c>
      <c r="C301" s="33">
        <v>1</v>
      </c>
      <c r="D301" s="33">
        <v>0</v>
      </c>
      <c r="E301" s="33">
        <v>0</v>
      </c>
      <c r="F301" s="33">
        <v>0</v>
      </c>
      <c r="G301" s="33">
        <v>0</v>
      </c>
      <c r="H301" s="33">
        <v>1</v>
      </c>
      <c r="I301" s="33">
        <v>0</v>
      </c>
      <c r="J301" s="33">
        <v>0</v>
      </c>
      <c r="K301" s="33">
        <v>0</v>
      </c>
      <c r="L301" s="33">
        <v>1</v>
      </c>
      <c r="M301" s="33">
        <v>0</v>
      </c>
      <c r="N301" s="33">
        <v>0</v>
      </c>
      <c r="O301" s="33">
        <v>0</v>
      </c>
      <c r="P301" s="33">
        <v>1</v>
      </c>
      <c r="Q301" s="21">
        <f t="shared" si="14"/>
        <v>50</v>
      </c>
      <c r="R301">
        <f t="shared" si="15"/>
        <v>46.025721919803203</v>
      </c>
      <c r="S301">
        <f t="shared" si="16"/>
        <v>81.463656173616016</v>
      </c>
      <c r="T301">
        <v>35</v>
      </c>
    </row>
    <row r="302" spans="1:20">
      <c r="A302" s="32">
        <v>41389</v>
      </c>
      <c r="B302" s="42">
        <v>47</v>
      </c>
      <c r="C302" s="33">
        <v>1</v>
      </c>
      <c r="D302" s="33">
        <v>0</v>
      </c>
      <c r="E302" s="33">
        <v>0</v>
      </c>
      <c r="F302" s="33">
        <v>0</v>
      </c>
      <c r="G302" s="33">
        <v>0</v>
      </c>
      <c r="H302" s="33">
        <v>1</v>
      </c>
      <c r="I302" s="33">
        <v>0</v>
      </c>
      <c r="J302" s="33">
        <v>0</v>
      </c>
      <c r="K302" s="33">
        <v>0</v>
      </c>
      <c r="L302" s="33">
        <v>0</v>
      </c>
      <c r="M302" s="33">
        <v>1</v>
      </c>
      <c r="N302" s="33">
        <v>0</v>
      </c>
      <c r="O302" s="33">
        <v>0</v>
      </c>
      <c r="P302" s="33">
        <v>1</v>
      </c>
      <c r="Q302" s="21">
        <f t="shared" si="14"/>
        <v>44</v>
      </c>
      <c r="R302">
        <f t="shared" si="15"/>
        <v>41.2094613248494</v>
      </c>
      <c r="S302">
        <f t="shared" si="16"/>
        <v>33.530338148414863</v>
      </c>
      <c r="T302">
        <v>29</v>
      </c>
    </row>
    <row r="303" spans="1:20">
      <c r="A303" s="32">
        <v>41390</v>
      </c>
      <c r="B303" s="42">
        <v>42</v>
      </c>
      <c r="C303" s="33">
        <v>1</v>
      </c>
      <c r="D303" s="33">
        <v>0</v>
      </c>
      <c r="E303" s="33">
        <v>0</v>
      </c>
      <c r="F303" s="33">
        <v>1</v>
      </c>
      <c r="G303" s="33">
        <v>1</v>
      </c>
      <c r="H303" s="33">
        <v>4</v>
      </c>
      <c r="I303" s="33">
        <v>0</v>
      </c>
      <c r="J303" s="33">
        <v>0</v>
      </c>
      <c r="K303" s="33">
        <v>0</v>
      </c>
      <c r="L303" s="33">
        <v>0</v>
      </c>
      <c r="M303" s="33">
        <v>0</v>
      </c>
      <c r="N303" s="33">
        <v>1</v>
      </c>
      <c r="O303" s="33">
        <v>0</v>
      </c>
      <c r="P303" s="33">
        <v>1</v>
      </c>
      <c r="Q303" s="21">
        <f t="shared" si="14"/>
        <v>47</v>
      </c>
      <c r="R303">
        <f t="shared" si="15"/>
        <v>51.225472276074861</v>
      </c>
      <c r="S303">
        <f t="shared" si="16"/>
        <v>85.109338716625871</v>
      </c>
      <c r="T303">
        <v>32</v>
      </c>
    </row>
    <row r="304" spans="1:20">
      <c r="A304" s="32">
        <v>41391</v>
      </c>
      <c r="B304" s="42">
        <v>52</v>
      </c>
      <c r="C304" s="33">
        <v>1</v>
      </c>
      <c r="D304" s="33">
        <v>0</v>
      </c>
      <c r="E304" s="33">
        <v>0</v>
      </c>
      <c r="F304" s="33">
        <v>2</v>
      </c>
      <c r="G304" s="33">
        <v>2</v>
      </c>
      <c r="H304" s="33">
        <v>9</v>
      </c>
      <c r="I304" s="33">
        <v>0</v>
      </c>
      <c r="J304" s="33">
        <v>0</v>
      </c>
      <c r="K304" s="33">
        <v>0</v>
      </c>
      <c r="L304" s="33">
        <v>0</v>
      </c>
      <c r="M304" s="33">
        <v>0</v>
      </c>
      <c r="N304" s="33">
        <v>0</v>
      </c>
      <c r="O304" s="33">
        <v>1</v>
      </c>
      <c r="P304" s="33">
        <v>1</v>
      </c>
      <c r="Q304" s="21">
        <f t="shared" si="14"/>
        <v>58</v>
      </c>
      <c r="R304">
        <f t="shared" si="15"/>
        <v>61.021328366636077</v>
      </c>
      <c r="S304">
        <f t="shared" si="16"/>
        <v>81.384365498672736</v>
      </c>
      <c r="T304">
        <v>43</v>
      </c>
    </row>
    <row r="305" spans="1:20">
      <c r="A305" s="32">
        <v>41392</v>
      </c>
      <c r="B305" s="42">
        <v>66</v>
      </c>
      <c r="C305" s="33">
        <v>1</v>
      </c>
      <c r="D305" s="33">
        <v>0</v>
      </c>
      <c r="E305" s="33">
        <v>0</v>
      </c>
      <c r="F305" s="33">
        <v>2</v>
      </c>
      <c r="G305" s="33">
        <v>1</v>
      </c>
      <c r="H305" s="33">
        <v>6</v>
      </c>
      <c r="I305" s="33">
        <v>0</v>
      </c>
      <c r="J305" s="33">
        <v>0</v>
      </c>
      <c r="K305" s="33">
        <v>0</v>
      </c>
      <c r="L305" s="33">
        <v>0</v>
      </c>
      <c r="M305" s="33">
        <v>0</v>
      </c>
      <c r="N305" s="33">
        <v>0</v>
      </c>
      <c r="O305" s="33">
        <v>0</v>
      </c>
      <c r="P305" s="33">
        <v>1</v>
      </c>
      <c r="Q305" s="21">
        <f t="shared" si="14"/>
        <v>69</v>
      </c>
      <c r="R305">
        <f t="shared" si="15"/>
        <v>63.101491193964812</v>
      </c>
      <c r="S305">
        <f t="shared" si="16"/>
        <v>8.4013532986635333</v>
      </c>
      <c r="T305">
        <v>54</v>
      </c>
    </row>
    <row r="306" spans="1:20">
      <c r="A306" s="32">
        <v>41393</v>
      </c>
      <c r="B306" s="42">
        <v>59</v>
      </c>
      <c r="C306" s="33">
        <v>1</v>
      </c>
      <c r="D306" s="33">
        <v>0</v>
      </c>
      <c r="E306" s="33">
        <v>0</v>
      </c>
      <c r="F306" s="33">
        <v>1</v>
      </c>
      <c r="G306" s="33">
        <v>0</v>
      </c>
      <c r="H306" s="33">
        <v>2</v>
      </c>
      <c r="I306" s="33">
        <v>1</v>
      </c>
      <c r="J306" s="33">
        <v>1</v>
      </c>
      <c r="K306" s="33">
        <v>0</v>
      </c>
      <c r="L306" s="33">
        <v>0</v>
      </c>
      <c r="M306" s="33">
        <v>0</v>
      </c>
      <c r="N306" s="33">
        <v>0</v>
      </c>
      <c r="O306" s="33">
        <v>0</v>
      </c>
      <c r="P306" s="33">
        <v>1</v>
      </c>
      <c r="Q306" s="21">
        <f t="shared" si="14"/>
        <v>54</v>
      </c>
      <c r="R306">
        <f t="shared" si="15"/>
        <v>52.314268965478554</v>
      </c>
      <c r="S306">
        <f t="shared" si="16"/>
        <v>44.698999465963205</v>
      </c>
      <c r="T306">
        <v>39</v>
      </c>
    </row>
    <row r="307" spans="1:20">
      <c r="A307" s="32">
        <v>41394</v>
      </c>
      <c r="B307" s="42">
        <v>56</v>
      </c>
      <c r="C307" s="33">
        <v>1</v>
      </c>
      <c r="D307" s="33">
        <v>0</v>
      </c>
      <c r="E307" s="33">
        <v>0</v>
      </c>
      <c r="F307" s="33">
        <v>2</v>
      </c>
      <c r="G307" s="33">
        <v>1</v>
      </c>
      <c r="H307" s="33">
        <v>6</v>
      </c>
      <c r="I307" s="33">
        <v>0</v>
      </c>
      <c r="J307" s="33">
        <v>0</v>
      </c>
      <c r="K307" s="33">
        <v>1</v>
      </c>
      <c r="L307" s="33">
        <v>0</v>
      </c>
      <c r="M307" s="33">
        <v>0</v>
      </c>
      <c r="N307" s="33">
        <v>0</v>
      </c>
      <c r="O307" s="33">
        <v>0</v>
      </c>
      <c r="P307" s="33">
        <v>1</v>
      </c>
      <c r="Q307" s="21">
        <f t="shared" si="14"/>
        <v>46</v>
      </c>
      <c r="R307">
        <f t="shared" si="15"/>
        <v>54.79714444867399</v>
      </c>
      <c r="S307">
        <f t="shared" si="16"/>
        <v>1.4468614773558</v>
      </c>
      <c r="T307">
        <v>31</v>
      </c>
    </row>
    <row r="308" spans="1:20">
      <c r="A308" s="32">
        <v>41395</v>
      </c>
      <c r="B308" s="42">
        <v>47</v>
      </c>
      <c r="C308" s="33">
        <v>1</v>
      </c>
      <c r="D308" s="33">
        <v>0</v>
      </c>
      <c r="E308" s="33">
        <v>0</v>
      </c>
      <c r="F308" s="33">
        <v>0</v>
      </c>
      <c r="G308" s="33">
        <v>0</v>
      </c>
      <c r="H308" s="33">
        <v>1</v>
      </c>
      <c r="I308" s="33">
        <v>0</v>
      </c>
      <c r="J308" s="33">
        <v>0</v>
      </c>
      <c r="K308" s="33">
        <v>0</v>
      </c>
      <c r="L308" s="33">
        <v>1</v>
      </c>
      <c r="M308" s="33">
        <v>0</v>
      </c>
      <c r="N308" s="33">
        <v>0</v>
      </c>
      <c r="O308" s="33">
        <v>0</v>
      </c>
      <c r="P308" s="33">
        <v>0</v>
      </c>
      <c r="Q308" s="21">
        <f t="shared" si="14"/>
        <v>45</v>
      </c>
      <c r="R308">
        <f t="shared" si="15"/>
        <v>35.016874972380123</v>
      </c>
      <c r="S308">
        <f t="shared" si="16"/>
        <v>143.59528542756988</v>
      </c>
      <c r="T308">
        <v>30</v>
      </c>
    </row>
    <row r="309" spans="1:20">
      <c r="A309" s="32">
        <v>41396</v>
      </c>
      <c r="B309" s="42">
        <v>27</v>
      </c>
      <c r="C309" s="33">
        <v>1</v>
      </c>
      <c r="D309" s="33">
        <v>0</v>
      </c>
      <c r="E309" s="33">
        <v>0</v>
      </c>
      <c r="F309" s="33">
        <v>0</v>
      </c>
      <c r="G309" s="33">
        <v>0</v>
      </c>
      <c r="H309" s="33">
        <v>1</v>
      </c>
      <c r="I309" s="33">
        <v>0</v>
      </c>
      <c r="J309" s="33">
        <v>0</v>
      </c>
      <c r="K309" s="33">
        <v>0</v>
      </c>
      <c r="L309" s="33">
        <v>0</v>
      </c>
      <c r="M309" s="33">
        <v>1</v>
      </c>
      <c r="N309" s="33">
        <v>0</v>
      </c>
      <c r="O309" s="33">
        <v>0</v>
      </c>
      <c r="P309" s="33">
        <v>0</v>
      </c>
      <c r="Q309" s="21">
        <f t="shared" si="14"/>
        <v>42</v>
      </c>
      <c r="R309">
        <f t="shared" si="15"/>
        <v>31.92599168545701</v>
      </c>
      <c r="S309">
        <f t="shared" si="16"/>
        <v>24.265394085191595</v>
      </c>
      <c r="T309">
        <v>27</v>
      </c>
    </row>
    <row r="310" spans="1:20">
      <c r="A310" s="32">
        <v>41397</v>
      </c>
      <c r="B310" s="42">
        <v>46</v>
      </c>
      <c r="C310" s="33">
        <v>1</v>
      </c>
      <c r="D310" s="33">
        <v>0</v>
      </c>
      <c r="E310" s="33">
        <v>0</v>
      </c>
      <c r="F310" s="33">
        <v>1</v>
      </c>
      <c r="G310" s="33">
        <v>1</v>
      </c>
      <c r="H310" s="33">
        <v>4</v>
      </c>
      <c r="I310" s="33">
        <v>1</v>
      </c>
      <c r="J310" s="33">
        <v>0</v>
      </c>
      <c r="K310" s="33">
        <v>0</v>
      </c>
      <c r="L310" s="33">
        <v>0</v>
      </c>
      <c r="M310" s="33">
        <v>0</v>
      </c>
      <c r="N310" s="33">
        <v>1</v>
      </c>
      <c r="O310" s="33">
        <v>0</v>
      </c>
      <c r="P310" s="33">
        <v>0</v>
      </c>
      <c r="Q310" s="21">
        <f t="shared" si="14"/>
        <v>42</v>
      </c>
      <c r="R310">
        <f t="shared" si="15"/>
        <v>39.250494678998137</v>
      </c>
      <c r="S310">
        <f t="shared" si="16"/>
        <v>45.555822078232453</v>
      </c>
      <c r="T310">
        <v>27</v>
      </c>
    </row>
    <row r="311" spans="1:20">
      <c r="A311" s="32">
        <v>41398</v>
      </c>
      <c r="B311" s="42">
        <v>27</v>
      </c>
      <c r="C311" s="33">
        <v>1</v>
      </c>
      <c r="D311" s="33">
        <v>0</v>
      </c>
      <c r="E311" s="33">
        <v>0</v>
      </c>
      <c r="F311" s="33">
        <v>2</v>
      </c>
      <c r="G311" s="33">
        <v>1</v>
      </c>
      <c r="H311" s="33">
        <v>6</v>
      </c>
      <c r="I311" s="33">
        <v>1</v>
      </c>
      <c r="J311" s="33">
        <v>0</v>
      </c>
      <c r="K311" s="33">
        <v>0</v>
      </c>
      <c r="L311" s="33">
        <v>0</v>
      </c>
      <c r="M311" s="33">
        <v>0</v>
      </c>
      <c r="N311" s="33">
        <v>0</v>
      </c>
      <c r="O311" s="33">
        <v>1</v>
      </c>
      <c r="P311" s="33">
        <v>0</v>
      </c>
      <c r="Q311" s="21">
        <f t="shared" si="14"/>
        <v>31</v>
      </c>
      <c r="R311">
        <f t="shared" si="15"/>
        <v>34.848289469632675</v>
      </c>
      <c r="S311">
        <f t="shared" si="16"/>
        <v>61.595647599147142</v>
      </c>
      <c r="T311">
        <v>16</v>
      </c>
    </row>
    <row r="312" spans="1:20">
      <c r="A312" s="32">
        <v>41399</v>
      </c>
      <c r="B312" s="42">
        <v>17</v>
      </c>
      <c r="C312" s="33">
        <v>1</v>
      </c>
      <c r="D312" s="33">
        <v>0</v>
      </c>
      <c r="E312" s="33">
        <v>0</v>
      </c>
      <c r="F312" s="33">
        <v>1</v>
      </c>
      <c r="G312" s="33">
        <v>0</v>
      </c>
      <c r="H312" s="33">
        <v>2</v>
      </c>
      <c r="I312" s="33">
        <v>1</v>
      </c>
      <c r="J312" s="33">
        <v>0</v>
      </c>
      <c r="K312" s="33">
        <v>0</v>
      </c>
      <c r="L312" s="33">
        <v>0</v>
      </c>
      <c r="M312" s="33">
        <v>0</v>
      </c>
      <c r="N312" s="33">
        <v>0</v>
      </c>
      <c r="O312" s="33">
        <v>0</v>
      </c>
      <c r="P312" s="33">
        <v>0</v>
      </c>
      <c r="Q312" s="21">
        <f t="shared" si="14"/>
        <v>27</v>
      </c>
      <c r="R312">
        <f t="shared" si="15"/>
        <v>23.737703282768329</v>
      </c>
      <c r="S312">
        <f t="shared" si="16"/>
        <v>45.396645526627125</v>
      </c>
      <c r="T312">
        <v>12</v>
      </c>
    </row>
    <row r="313" spans="1:20">
      <c r="A313" s="32">
        <v>41400</v>
      </c>
      <c r="B313" s="42">
        <v>24</v>
      </c>
      <c r="C313" s="33">
        <v>1</v>
      </c>
      <c r="D313" s="33">
        <v>0</v>
      </c>
      <c r="E313" s="33">
        <v>0</v>
      </c>
      <c r="F313" s="33">
        <v>0</v>
      </c>
      <c r="G313" s="33">
        <v>0</v>
      </c>
      <c r="H313" s="33">
        <v>1</v>
      </c>
      <c r="I313" s="33">
        <v>1</v>
      </c>
      <c r="J313" s="33">
        <v>1</v>
      </c>
      <c r="K313" s="33">
        <v>0</v>
      </c>
      <c r="L313" s="33">
        <v>0</v>
      </c>
      <c r="M313" s="33">
        <v>0</v>
      </c>
      <c r="N313" s="33">
        <v>0</v>
      </c>
      <c r="O313" s="33">
        <v>0</v>
      </c>
      <c r="P313" s="33">
        <v>0</v>
      </c>
      <c r="Q313" s="21">
        <f t="shared" si="14"/>
        <v>36</v>
      </c>
      <c r="R313">
        <f t="shared" si="15"/>
        <v>29.264924542549515</v>
      </c>
      <c r="S313">
        <f t="shared" si="16"/>
        <v>27.719430438740222</v>
      </c>
      <c r="T313">
        <v>21</v>
      </c>
    </row>
    <row r="314" spans="1:20">
      <c r="A314" s="32">
        <v>41401</v>
      </c>
      <c r="B314" s="42">
        <v>30</v>
      </c>
      <c r="C314" s="33">
        <v>1</v>
      </c>
      <c r="D314" s="33">
        <v>0</v>
      </c>
      <c r="E314" s="33">
        <v>0</v>
      </c>
      <c r="F314" s="33">
        <v>0</v>
      </c>
      <c r="G314" s="33">
        <v>0</v>
      </c>
      <c r="H314" s="33">
        <v>1</v>
      </c>
      <c r="I314" s="33">
        <v>0</v>
      </c>
      <c r="J314" s="33">
        <v>0</v>
      </c>
      <c r="K314" s="33">
        <v>1</v>
      </c>
      <c r="L314" s="33">
        <v>0</v>
      </c>
      <c r="M314" s="33">
        <v>0</v>
      </c>
      <c r="N314" s="33">
        <v>0</v>
      </c>
      <c r="O314" s="33">
        <v>0</v>
      </c>
      <c r="P314" s="33">
        <v>0</v>
      </c>
      <c r="Q314" s="21">
        <f t="shared" si="14"/>
        <v>37</v>
      </c>
      <c r="R314">
        <f t="shared" si="15"/>
        <v>30.814775101429284</v>
      </c>
      <c r="S314">
        <f t="shared" si="16"/>
        <v>0.66385846590909947</v>
      </c>
      <c r="T314">
        <v>22</v>
      </c>
    </row>
    <row r="315" spans="1:20">
      <c r="A315" s="32">
        <v>41402</v>
      </c>
      <c r="B315" s="42">
        <v>24</v>
      </c>
      <c r="C315" s="33">
        <v>1</v>
      </c>
      <c r="D315" s="33">
        <v>0</v>
      </c>
      <c r="E315" s="33">
        <v>0</v>
      </c>
      <c r="F315" s="33">
        <v>0</v>
      </c>
      <c r="G315" s="33">
        <v>0</v>
      </c>
      <c r="H315" s="33">
        <v>1</v>
      </c>
      <c r="I315" s="33">
        <v>0</v>
      </c>
      <c r="J315" s="33">
        <v>0</v>
      </c>
      <c r="K315" s="33">
        <v>0</v>
      </c>
      <c r="L315" s="33">
        <v>1</v>
      </c>
      <c r="M315" s="33">
        <v>0</v>
      </c>
      <c r="N315" s="33">
        <v>0</v>
      </c>
      <c r="O315" s="33">
        <v>0</v>
      </c>
      <c r="P315" s="33">
        <v>0</v>
      </c>
      <c r="Q315" s="21">
        <f t="shared" si="14"/>
        <v>34</v>
      </c>
      <c r="R315">
        <f t="shared" si="15"/>
        <v>28.690491509600882</v>
      </c>
      <c r="S315">
        <f t="shared" si="16"/>
        <v>22.000710601637962</v>
      </c>
      <c r="T315">
        <v>19</v>
      </c>
    </row>
    <row r="316" spans="1:20">
      <c r="A316" s="32">
        <v>41403</v>
      </c>
      <c r="B316" s="42">
        <v>17</v>
      </c>
      <c r="C316" s="33">
        <v>1</v>
      </c>
      <c r="D316" s="33">
        <v>0</v>
      </c>
      <c r="E316" s="33">
        <v>0</v>
      </c>
      <c r="F316" s="33">
        <v>0</v>
      </c>
      <c r="G316" s="33">
        <v>0</v>
      </c>
      <c r="H316" s="33">
        <v>1</v>
      </c>
      <c r="I316" s="33">
        <v>0</v>
      </c>
      <c r="J316" s="33">
        <v>0</v>
      </c>
      <c r="K316" s="33">
        <v>0</v>
      </c>
      <c r="L316" s="33">
        <v>0</v>
      </c>
      <c r="M316" s="33">
        <v>1</v>
      </c>
      <c r="N316" s="33">
        <v>0</v>
      </c>
      <c r="O316" s="33">
        <v>0</v>
      </c>
      <c r="P316" s="33">
        <v>0</v>
      </c>
      <c r="Q316" s="21">
        <f t="shared" si="14"/>
        <v>31</v>
      </c>
      <c r="R316">
        <f t="shared" si="15"/>
        <v>25.599608222677773</v>
      </c>
      <c r="S316">
        <f t="shared" si="16"/>
        <v>73.95326158354716</v>
      </c>
      <c r="T316">
        <v>16</v>
      </c>
    </row>
    <row r="317" spans="1:20">
      <c r="A317" s="32">
        <v>41404</v>
      </c>
      <c r="B317" s="42">
        <v>26</v>
      </c>
      <c r="C317" s="33">
        <v>1</v>
      </c>
      <c r="D317" s="33">
        <v>0</v>
      </c>
      <c r="E317" s="33">
        <v>0</v>
      </c>
      <c r="F317" s="33">
        <v>0</v>
      </c>
      <c r="G317" s="33">
        <v>0</v>
      </c>
      <c r="H317" s="33">
        <v>1</v>
      </c>
      <c r="I317" s="33">
        <v>0</v>
      </c>
      <c r="J317" s="33">
        <v>0</v>
      </c>
      <c r="K317" s="33">
        <v>0</v>
      </c>
      <c r="L317" s="33">
        <v>0</v>
      </c>
      <c r="M317" s="33">
        <v>0</v>
      </c>
      <c r="N317" s="33">
        <v>1</v>
      </c>
      <c r="O317" s="33">
        <v>0</v>
      </c>
      <c r="P317" s="33">
        <v>0</v>
      </c>
      <c r="Q317" s="21">
        <f t="shared" si="14"/>
        <v>34</v>
      </c>
      <c r="R317">
        <f t="shared" si="15"/>
        <v>28.752417422835642</v>
      </c>
      <c r="S317">
        <f t="shared" si="16"/>
        <v>7.575801669529195</v>
      </c>
      <c r="T317">
        <v>19</v>
      </c>
    </row>
    <row r="318" spans="1:20">
      <c r="A318" s="32">
        <v>41405</v>
      </c>
      <c r="B318" s="42">
        <v>44</v>
      </c>
      <c r="C318" s="33">
        <v>1</v>
      </c>
      <c r="D318" s="33">
        <v>0</v>
      </c>
      <c r="E318" s="33">
        <v>0</v>
      </c>
      <c r="F318" s="33">
        <v>1</v>
      </c>
      <c r="G318" s="33">
        <v>1</v>
      </c>
      <c r="H318" s="33">
        <v>4</v>
      </c>
      <c r="I318" s="33">
        <v>0</v>
      </c>
      <c r="J318" s="33">
        <v>0</v>
      </c>
      <c r="K318" s="33">
        <v>0</v>
      </c>
      <c r="L318" s="33">
        <v>0</v>
      </c>
      <c r="M318" s="33">
        <v>0</v>
      </c>
      <c r="N318" s="33">
        <v>0</v>
      </c>
      <c r="O318" s="33">
        <v>1</v>
      </c>
      <c r="P318" s="33">
        <v>0</v>
      </c>
      <c r="Q318" s="21">
        <f t="shared" si="14"/>
        <v>47</v>
      </c>
      <c r="R318">
        <f t="shared" si="15"/>
        <v>41.206614857403643</v>
      </c>
      <c r="S318">
        <f t="shared" si="16"/>
        <v>7.8030005548780679</v>
      </c>
      <c r="T318">
        <v>32</v>
      </c>
    </row>
    <row r="319" spans="1:20">
      <c r="A319" s="32">
        <v>41406</v>
      </c>
      <c r="B319" s="42">
        <v>38</v>
      </c>
      <c r="C319" s="33">
        <v>1</v>
      </c>
      <c r="D319" s="33">
        <v>0</v>
      </c>
      <c r="E319" s="33">
        <v>0</v>
      </c>
      <c r="F319" s="33">
        <v>0</v>
      </c>
      <c r="G319" s="33">
        <v>0</v>
      </c>
      <c r="H319" s="33">
        <v>1</v>
      </c>
      <c r="I319" s="33">
        <v>0</v>
      </c>
      <c r="J319" s="33">
        <v>0</v>
      </c>
      <c r="K319" s="33">
        <v>0</v>
      </c>
      <c r="L319" s="33">
        <v>0</v>
      </c>
      <c r="M319" s="33">
        <v>0</v>
      </c>
      <c r="N319" s="33">
        <v>0</v>
      </c>
      <c r="O319" s="33">
        <v>0</v>
      </c>
      <c r="P319" s="33">
        <v>0</v>
      </c>
      <c r="Q319" s="21">
        <f t="shared" si="14"/>
        <v>41</v>
      </c>
      <c r="R319">
        <f t="shared" si="15"/>
        <v>28.191732229192336</v>
      </c>
      <c r="S319">
        <f t="shared" si="16"/>
        <v>96.202116663864331</v>
      </c>
      <c r="T319">
        <v>26</v>
      </c>
    </row>
    <row r="320" spans="1:20">
      <c r="A320" s="32">
        <v>41407</v>
      </c>
      <c r="B320" s="42">
        <v>32</v>
      </c>
      <c r="C320" s="33">
        <v>1</v>
      </c>
      <c r="D320" s="33">
        <v>0</v>
      </c>
      <c r="E320" s="33">
        <v>0</v>
      </c>
      <c r="F320" s="33">
        <v>0</v>
      </c>
      <c r="G320" s="33">
        <v>0</v>
      </c>
      <c r="H320" s="33">
        <v>1</v>
      </c>
      <c r="I320" s="33">
        <v>0</v>
      </c>
      <c r="J320" s="33">
        <v>1</v>
      </c>
      <c r="K320" s="33">
        <v>0</v>
      </c>
      <c r="L320" s="33">
        <v>0</v>
      </c>
      <c r="M320" s="33">
        <v>0</v>
      </c>
      <c r="N320" s="33">
        <v>0</v>
      </c>
      <c r="O320" s="33">
        <v>0</v>
      </c>
      <c r="P320" s="33">
        <v>0</v>
      </c>
      <c r="Q320" s="21">
        <f t="shared" si="14"/>
        <v>37</v>
      </c>
      <c r="R320">
        <f t="shared" si="15"/>
        <v>30.80618096154673</v>
      </c>
      <c r="S320">
        <f t="shared" si="16"/>
        <v>1.425203896573491</v>
      </c>
      <c r="T320">
        <v>22</v>
      </c>
    </row>
    <row r="321" spans="1:20">
      <c r="A321" s="32">
        <v>41408</v>
      </c>
      <c r="B321" s="42">
        <v>22</v>
      </c>
      <c r="C321" s="33">
        <v>1</v>
      </c>
      <c r="D321" s="33">
        <v>0</v>
      </c>
      <c r="E321" s="33">
        <v>0</v>
      </c>
      <c r="F321" s="33">
        <v>0</v>
      </c>
      <c r="G321" s="33">
        <v>0</v>
      </c>
      <c r="H321" s="33">
        <v>1</v>
      </c>
      <c r="I321" s="33">
        <v>0</v>
      </c>
      <c r="J321" s="33">
        <v>0</v>
      </c>
      <c r="K321" s="33">
        <v>1</v>
      </c>
      <c r="L321" s="33">
        <v>0</v>
      </c>
      <c r="M321" s="33">
        <v>0</v>
      </c>
      <c r="N321" s="33">
        <v>0</v>
      </c>
      <c r="O321" s="33">
        <v>0</v>
      </c>
      <c r="P321" s="33">
        <v>0</v>
      </c>
      <c r="Q321" s="21">
        <f t="shared" si="14"/>
        <v>36</v>
      </c>
      <c r="R321">
        <f t="shared" si="15"/>
        <v>30.239649332085715</v>
      </c>
      <c r="S321">
        <f t="shared" si="16"/>
        <v>67.891821115740569</v>
      </c>
      <c r="T321">
        <v>21</v>
      </c>
    </row>
    <row r="322" spans="1:20">
      <c r="A322" s="32">
        <v>41409</v>
      </c>
      <c r="B322" s="42">
        <v>24</v>
      </c>
      <c r="C322" s="33">
        <v>1</v>
      </c>
      <c r="D322" s="33">
        <v>0</v>
      </c>
      <c r="E322" s="33">
        <v>0</v>
      </c>
      <c r="F322" s="33">
        <v>0</v>
      </c>
      <c r="G322" s="33">
        <v>0</v>
      </c>
      <c r="H322" s="33">
        <v>1</v>
      </c>
      <c r="I322" s="33">
        <v>0</v>
      </c>
      <c r="J322" s="33">
        <v>0</v>
      </c>
      <c r="K322" s="33">
        <v>0</v>
      </c>
      <c r="L322" s="33">
        <v>1</v>
      </c>
      <c r="M322" s="33">
        <v>0</v>
      </c>
      <c r="N322" s="33">
        <v>0</v>
      </c>
      <c r="O322" s="33">
        <v>0</v>
      </c>
      <c r="P322" s="33">
        <v>0</v>
      </c>
      <c r="Q322" s="21">
        <f t="shared" si="14"/>
        <v>26</v>
      </c>
      <c r="R322">
        <f t="shared" si="15"/>
        <v>24.089485354852346</v>
      </c>
      <c r="S322">
        <f t="shared" si="16"/>
        <v>8.007628733050361E-3</v>
      </c>
      <c r="T322">
        <v>11</v>
      </c>
    </row>
    <row r="323" spans="1:20">
      <c r="A323" s="32">
        <v>41410</v>
      </c>
      <c r="B323" s="42">
        <v>29</v>
      </c>
      <c r="C323" s="33">
        <v>1</v>
      </c>
      <c r="D323" s="33">
        <v>0</v>
      </c>
      <c r="E323" s="33">
        <v>0</v>
      </c>
      <c r="F323" s="33">
        <v>0</v>
      </c>
      <c r="G323" s="33">
        <v>0</v>
      </c>
      <c r="H323" s="33">
        <v>1</v>
      </c>
      <c r="I323" s="33">
        <v>0</v>
      </c>
      <c r="J323" s="33">
        <v>0</v>
      </c>
      <c r="K323" s="33">
        <v>0</v>
      </c>
      <c r="L323" s="33">
        <v>0</v>
      </c>
      <c r="M323" s="33">
        <v>1</v>
      </c>
      <c r="N323" s="33">
        <v>0</v>
      </c>
      <c r="O323" s="33">
        <v>0</v>
      </c>
      <c r="P323" s="33">
        <v>0</v>
      </c>
      <c r="Q323" s="21">
        <f t="shared" si="14"/>
        <v>29</v>
      </c>
      <c r="R323">
        <f t="shared" si="15"/>
        <v>24.44935668399064</v>
      </c>
      <c r="S323">
        <f t="shared" si="16"/>
        <v>20.708354589540665</v>
      </c>
      <c r="T323">
        <v>14</v>
      </c>
    </row>
    <row r="324" spans="1:20">
      <c r="A324" s="32">
        <v>41411</v>
      </c>
      <c r="B324" s="42">
        <v>38</v>
      </c>
      <c r="C324" s="33">
        <v>1</v>
      </c>
      <c r="D324" s="33">
        <v>0</v>
      </c>
      <c r="E324" s="33">
        <v>0</v>
      </c>
      <c r="F324" s="33">
        <v>1</v>
      </c>
      <c r="G324" s="33">
        <v>0</v>
      </c>
      <c r="H324" s="33">
        <v>2</v>
      </c>
      <c r="I324" s="33">
        <v>0</v>
      </c>
      <c r="J324" s="33">
        <v>0</v>
      </c>
      <c r="K324" s="33">
        <v>0</v>
      </c>
      <c r="L324" s="33">
        <v>0</v>
      </c>
      <c r="M324" s="33">
        <v>0</v>
      </c>
      <c r="N324" s="33">
        <v>1</v>
      </c>
      <c r="O324" s="33">
        <v>0</v>
      </c>
      <c r="P324" s="33">
        <v>0</v>
      </c>
      <c r="Q324" s="21">
        <f t="shared" si="14"/>
        <v>34</v>
      </c>
      <c r="R324">
        <f t="shared" si="15"/>
        <v>33.316279896875216</v>
      </c>
      <c r="S324">
        <f t="shared" si="16"/>
        <v>21.937234004415242</v>
      </c>
      <c r="T324">
        <v>19</v>
      </c>
    </row>
    <row r="325" spans="1:20">
      <c r="A325" s="32">
        <v>41412</v>
      </c>
      <c r="B325" s="42">
        <v>47</v>
      </c>
      <c r="C325" s="33">
        <v>1</v>
      </c>
      <c r="D325" s="33">
        <v>0</v>
      </c>
      <c r="E325" s="33">
        <v>0</v>
      </c>
      <c r="F325" s="33">
        <v>1</v>
      </c>
      <c r="G325" s="33">
        <v>1</v>
      </c>
      <c r="H325" s="33">
        <v>4</v>
      </c>
      <c r="I325" s="33">
        <v>0</v>
      </c>
      <c r="J325" s="33">
        <v>0</v>
      </c>
      <c r="K325" s="33">
        <v>0</v>
      </c>
      <c r="L325" s="33">
        <v>0</v>
      </c>
      <c r="M325" s="33">
        <v>0</v>
      </c>
      <c r="N325" s="33">
        <v>0</v>
      </c>
      <c r="O325" s="33">
        <v>1</v>
      </c>
      <c r="P325" s="33">
        <v>0</v>
      </c>
      <c r="Q325" s="21">
        <f t="shared" ref="Q325:Q369" si="17">T325+15</f>
        <v>48</v>
      </c>
      <c r="R325">
        <f t="shared" ref="R325:R369" si="18">SUMPRODUCT($C$2:$Q$2,C325:Q325)</f>
        <v>41.781740626747208</v>
      </c>
      <c r="S325">
        <f t="shared" ref="S325:S369" si="19">(R325-B325)^2</f>
        <v>27.230230886540621</v>
      </c>
      <c r="T325">
        <v>33</v>
      </c>
    </row>
    <row r="326" spans="1:20">
      <c r="A326" s="32">
        <v>41413</v>
      </c>
      <c r="B326" s="42">
        <v>52</v>
      </c>
      <c r="C326" s="33">
        <v>1</v>
      </c>
      <c r="D326" s="33">
        <v>0</v>
      </c>
      <c r="E326" s="33">
        <v>0</v>
      </c>
      <c r="F326" s="33">
        <v>1</v>
      </c>
      <c r="G326" s="33">
        <v>0</v>
      </c>
      <c r="H326" s="33">
        <v>2</v>
      </c>
      <c r="I326" s="33">
        <v>0</v>
      </c>
      <c r="J326" s="33">
        <v>0</v>
      </c>
      <c r="K326" s="33">
        <v>0</v>
      </c>
      <c r="L326" s="33">
        <v>0</v>
      </c>
      <c r="M326" s="33">
        <v>0</v>
      </c>
      <c r="N326" s="33">
        <v>0</v>
      </c>
      <c r="O326" s="33">
        <v>0</v>
      </c>
      <c r="P326" s="33">
        <v>0</v>
      </c>
      <c r="Q326" s="21">
        <f t="shared" si="17"/>
        <v>40</v>
      </c>
      <c r="R326">
        <f t="shared" si="18"/>
        <v>32.180468933888349</v>
      </c>
      <c r="S326">
        <f t="shared" si="19"/>
        <v>392.81381168056481</v>
      </c>
      <c r="T326">
        <v>25</v>
      </c>
    </row>
    <row r="327" spans="1:20">
      <c r="A327" s="32">
        <v>41414</v>
      </c>
      <c r="B327" s="42">
        <v>37</v>
      </c>
      <c r="C327" s="33">
        <v>1</v>
      </c>
      <c r="D327" s="33">
        <v>0</v>
      </c>
      <c r="E327" s="33">
        <v>0</v>
      </c>
      <c r="F327" s="33">
        <v>0</v>
      </c>
      <c r="G327" s="33">
        <v>0</v>
      </c>
      <c r="H327" s="33">
        <v>1</v>
      </c>
      <c r="I327" s="33">
        <v>0</v>
      </c>
      <c r="J327" s="33">
        <v>1</v>
      </c>
      <c r="K327" s="33">
        <v>0</v>
      </c>
      <c r="L327" s="33">
        <v>0</v>
      </c>
      <c r="M327" s="33">
        <v>0</v>
      </c>
      <c r="N327" s="33">
        <v>0</v>
      </c>
      <c r="O327" s="33">
        <v>0</v>
      </c>
      <c r="P327" s="33">
        <v>0</v>
      </c>
      <c r="Q327" s="21">
        <f t="shared" si="17"/>
        <v>30</v>
      </c>
      <c r="R327">
        <f t="shared" si="18"/>
        <v>26.780300576141762</v>
      </c>
      <c r="S327">
        <f t="shared" si="19"/>
        <v>104.44225631400839</v>
      </c>
      <c r="T327">
        <v>15</v>
      </c>
    </row>
    <row r="328" spans="1:20">
      <c r="A328" s="32">
        <v>41415</v>
      </c>
      <c r="B328" s="42">
        <v>23</v>
      </c>
      <c r="C328" s="33">
        <v>1</v>
      </c>
      <c r="D328" s="33">
        <v>0</v>
      </c>
      <c r="E328" s="33">
        <v>0</v>
      </c>
      <c r="F328" s="33">
        <v>0</v>
      </c>
      <c r="G328" s="33">
        <v>0</v>
      </c>
      <c r="H328" s="33">
        <v>1</v>
      </c>
      <c r="I328" s="33">
        <v>0</v>
      </c>
      <c r="J328" s="33">
        <v>0</v>
      </c>
      <c r="K328" s="33">
        <v>1</v>
      </c>
      <c r="L328" s="33">
        <v>0</v>
      </c>
      <c r="M328" s="33">
        <v>0</v>
      </c>
      <c r="N328" s="33">
        <v>0</v>
      </c>
      <c r="O328" s="33">
        <v>0</v>
      </c>
      <c r="P328" s="33">
        <v>0</v>
      </c>
      <c r="Q328" s="21">
        <f t="shared" si="17"/>
        <v>36</v>
      </c>
      <c r="R328">
        <f t="shared" si="18"/>
        <v>30.239649332085715</v>
      </c>
      <c r="S328">
        <f t="shared" si="19"/>
        <v>52.412522451569146</v>
      </c>
      <c r="T328">
        <v>21</v>
      </c>
    </row>
    <row r="329" spans="1:20">
      <c r="A329" s="32">
        <v>41416</v>
      </c>
      <c r="B329" s="42">
        <v>22</v>
      </c>
      <c r="C329" s="33">
        <v>1</v>
      </c>
      <c r="D329" s="33">
        <v>0</v>
      </c>
      <c r="E329" s="33">
        <v>0</v>
      </c>
      <c r="F329" s="33">
        <v>0</v>
      </c>
      <c r="G329" s="33">
        <v>0</v>
      </c>
      <c r="H329" s="33">
        <v>1</v>
      </c>
      <c r="I329" s="33">
        <v>0</v>
      </c>
      <c r="J329" s="33">
        <v>0</v>
      </c>
      <c r="K329" s="33">
        <v>0</v>
      </c>
      <c r="L329" s="33">
        <v>1</v>
      </c>
      <c r="M329" s="33">
        <v>0</v>
      </c>
      <c r="N329" s="33">
        <v>0</v>
      </c>
      <c r="O329" s="33">
        <v>0</v>
      </c>
      <c r="P329" s="33">
        <v>0</v>
      </c>
      <c r="Q329" s="21">
        <f t="shared" si="17"/>
        <v>34</v>
      </c>
      <c r="R329">
        <f t="shared" si="18"/>
        <v>28.690491509600882</v>
      </c>
      <c r="S329">
        <f t="shared" si="19"/>
        <v>44.762676640041491</v>
      </c>
      <c r="T329">
        <v>19</v>
      </c>
    </row>
    <row r="330" spans="1:20">
      <c r="A330" s="32">
        <v>41417</v>
      </c>
      <c r="B330" s="42">
        <v>26</v>
      </c>
      <c r="C330" s="33">
        <v>1</v>
      </c>
      <c r="D330" s="33">
        <v>0</v>
      </c>
      <c r="E330" s="33">
        <v>0</v>
      </c>
      <c r="F330" s="33">
        <v>0</v>
      </c>
      <c r="G330" s="33">
        <v>0</v>
      </c>
      <c r="H330" s="33">
        <v>1</v>
      </c>
      <c r="I330" s="33">
        <v>0</v>
      </c>
      <c r="J330" s="33">
        <v>0</v>
      </c>
      <c r="K330" s="33">
        <v>0</v>
      </c>
      <c r="L330" s="33">
        <v>0</v>
      </c>
      <c r="M330" s="33">
        <v>1</v>
      </c>
      <c r="N330" s="33">
        <v>0</v>
      </c>
      <c r="O330" s="33">
        <v>0</v>
      </c>
      <c r="P330" s="33">
        <v>0</v>
      </c>
      <c r="Q330" s="21">
        <f t="shared" si="17"/>
        <v>38</v>
      </c>
      <c r="R330">
        <f t="shared" si="18"/>
        <v>29.625488608082744</v>
      </c>
      <c r="S330">
        <f t="shared" si="19"/>
        <v>13.144167647337753</v>
      </c>
      <c r="T330">
        <v>23</v>
      </c>
    </row>
    <row r="331" spans="1:20">
      <c r="A331" s="32">
        <v>41418</v>
      </c>
      <c r="B331" s="42">
        <v>30</v>
      </c>
      <c r="C331" s="33">
        <v>1</v>
      </c>
      <c r="D331" s="33">
        <v>0</v>
      </c>
      <c r="E331" s="33">
        <v>0</v>
      </c>
      <c r="F331" s="33">
        <v>1</v>
      </c>
      <c r="G331" s="33">
        <v>1</v>
      </c>
      <c r="H331" s="33">
        <v>4</v>
      </c>
      <c r="I331" s="33">
        <v>0</v>
      </c>
      <c r="J331" s="33">
        <v>0</v>
      </c>
      <c r="K331" s="33">
        <v>0</v>
      </c>
      <c r="L331" s="33">
        <v>0</v>
      </c>
      <c r="M331" s="33">
        <v>0</v>
      </c>
      <c r="N331" s="33">
        <v>1</v>
      </c>
      <c r="O331" s="33">
        <v>0</v>
      </c>
      <c r="P331" s="33">
        <v>0</v>
      </c>
      <c r="Q331" s="21">
        <f t="shared" si="17"/>
        <v>47</v>
      </c>
      <c r="R331">
        <f t="shared" si="18"/>
        <v>43.092254175369611</v>
      </c>
      <c r="S331">
        <f t="shared" si="19"/>
        <v>171.407119392483</v>
      </c>
      <c r="T331">
        <v>32</v>
      </c>
    </row>
    <row r="332" spans="1:20">
      <c r="A332" s="32">
        <v>41419</v>
      </c>
      <c r="B332" s="42">
        <v>52</v>
      </c>
      <c r="C332" s="33">
        <v>1</v>
      </c>
      <c r="D332" s="33">
        <v>0</v>
      </c>
      <c r="E332" s="33">
        <v>0</v>
      </c>
      <c r="F332" s="33">
        <v>2</v>
      </c>
      <c r="G332" s="33">
        <v>1</v>
      </c>
      <c r="H332" s="33">
        <v>6</v>
      </c>
      <c r="I332" s="33">
        <v>0</v>
      </c>
      <c r="J332" s="33">
        <v>0</v>
      </c>
      <c r="K332" s="33">
        <v>0</v>
      </c>
      <c r="L332" s="33">
        <v>0</v>
      </c>
      <c r="M332" s="33">
        <v>0</v>
      </c>
      <c r="N332" s="33">
        <v>0</v>
      </c>
      <c r="O332" s="33">
        <v>1</v>
      </c>
      <c r="P332" s="33">
        <v>0</v>
      </c>
      <c r="Q332" s="21">
        <f t="shared" si="17"/>
        <v>54</v>
      </c>
      <c r="R332">
        <f t="shared" si="18"/>
        <v>49.042312814188364</v>
      </c>
      <c r="S332">
        <f t="shared" si="19"/>
        <v>8.7479134891143566</v>
      </c>
      <c r="T332">
        <v>39</v>
      </c>
    </row>
    <row r="333" spans="1:20">
      <c r="A333" s="32">
        <v>41420</v>
      </c>
      <c r="B333" s="42">
        <v>42</v>
      </c>
      <c r="C333" s="33">
        <v>1</v>
      </c>
      <c r="D333" s="33">
        <v>0</v>
      </c>
      <c r="E333" s="33">
        <v>0</v>
      </c>
      <c r="F333" s="33">
        <v>1</v>
      </c>
      <c r="G333" s="33">
        <v>1</v>
      </c>
      <c r="H333" s="33">
        <v>4</v>
      </c>
      <c r="I333" s="33">
        <v>0</v>
      </c>
      <c r="J333" s="33">
        <v>0</v>
      </c>
      <c r="K333" s="33">
        <v>0</v>
      </c>
      <c r="L333" s="33">
        <v>0</v>
      </c>
      <c r="M333" s="33">
        <v>0</v>
      </c>
      <c r="N333" s="33">
        <v>0</v>
      </c>
      <c r="O333" s="33">
        <v>0</v>
      </c>
      <c r="P333" s="33">
        <v>0</v>
      </c>
      <c r="Q333" s="21">
        <f t="shared" si="17"/>
        <v>47</v>
      </c>
      <c r="R333">
        <f t="shared" si="18"/>
        <v>38.505688596321335</v>
      </c>
      <c r="S333">
        <f t="shared" si="19"/>
        <v>12.210212185878765</v>
      </c>
      <c r="T333">
        <v>32</v>
      </c>
    </row>
    <row r="334" spans="1:20">
      <c r="A334" s="32">
        <v>41421</v>
      </c>
      <c r="B334" s="42">
        <v>47</v>
      </c>
      <c r="C334" s="33">
        <v>1</v>
      </c>
      <c r="D334" s="33">
        <v>0</v>
      </c>
      <c r="E334" s="33">
        <v>0</v>
      </c>
      <c r="F334" s="33">
        <v>0</v>
      </c>
      <c r="G334" s="33">
        <v>0</v>
      </c>
      <c r="H334" s="33">
        <v>1</v>
      </c>
      <c r="I334" s="33">
        <v>0</v>
      </c>
      <c r="J334" s="33">
        <v>1</v>
      </c>
      <c r="K334" s="33">
        <v>0</v>
      </c>
      <c r="L334" s="33">
        <v>0</v>
      </c>
      <c r="M334" s="33">
        <v>0</v>
      </c>
      <c r="N334" s="33">
        <v>0</v>
      </c>
      <c r="O334" s="33">
        <v>0</v>
      </c>
      <c r="P334" s="33">
        <v>0</v>
      </c>
      <c r="Q334" s="21">
        <f t="shared" si="17"/>
        <v>45</v>
      </c>
      <c r="R334">
        <f t="shared" si="18"/>
        <v>35.407187116295262</v>
      </c>
      <c r="S334">
        <f t="shared" si="19"/>
        <v>134.39331055659056</v>
      </c>
      <c r="T334">
        <v>30</v>
      </c>
    </row>
    <row r="335" spans="1:20">
      <c r="A335" s="32">
        <v>41422</v>
      </c>
      <c r="B335" s="42">
        <v>32</v>
      </c>
      <c r="C335" s="33">
        <v>1</v>
      </c>
      <c r="D335" s="33">
        <v>0</v>
      </c>
      <c r="E335" s="33">
        <v>0</v>
      </c>
      <c r="F335" s="33">
        <v>0</v>
      </c>
      <c r="G335" s="33">
        <v>0</v>
      </c>
      <c r="H335" s="33">
        <v>1</v>
      </c>
      <c r="I335" s="33">
        <v>0</v>
      </c>
      <c r="J335" s="33">
        <v>0</v>
      </c>
      <c r="K335" s="33">
        <v>1</v>
      </c>
      <c r="L335" s="33">
        <v>0</v>
      </c>
      <c r="M335" s="33">
        <v>0</v>
      </c>
      <c r="N335" s="33">
        <v>0</v>
      </c>
      <c r="O335" s="33">
        <v>0</v>
      </c>
      <c r="P335" s="33">
        <v>0</v>
      </c>
      <c r="Q335" s="21">
        <f t="shared" si="17"/>
        <v>48</v>
      </c>
      <c r="R335">
        <f t="shared" si="18"/>
        <v>37.141158564208524</v>
      </c>
      <c r="S335">
        <f t="shared" si="19"/>
        <v>26.431511382334655</v>
      </c>
      <c r="T335">
        <v>33</v>
      </c>
    </row>
    <row r="336" spans="1:20">
      <c r="A336" s="32">
        <v>41423</v>
      </c>
      <c r="B336" s="42">
        <v>40</v>
      </c>
      <c r="C336" s="33">
        <v>1</v>
      </c>
      <c r="D336" s="33">
        <v>0</v>
      </c>
      <c r="E336" s="33">
        <v>0</v>
      </c>
      <c r="F336" s="33">
        <v>1</v>
      </c>
      <c r="G336" s="33">
        <v>1</v>
      </c>
      <c r="H336" s="33">
        <v>4</v>
      </c>
      <c r="I336" s="33">
        <v>0</v>
      </c>
      <c r="J336" s="33">
        <v>0</v>
      </c>
      <c r="K336" s="33">
        <v>0</v>
      </c>
      <c r="L336" s="33">
        <v>1</v>
      </c>
      <c r="M336" s="33">
        <v>0</v>
      </c>
      <c r="N336" s="33">
        <v>0</v>
      </c>
      <c r="O336" s="33">
        <v>0</v>
      </c>
      <c r="P336" s="33">
        <v>0</v>
      </c>
      <c r="Q336" s="21">
        <f t="shared" si="17"/>
        <v>42</v>
      </c>
      <c r="R336">
        <f t="shared" si="18"/>
        <v>40.154699415417014</v>
      </c>
      <c r="S336">
        <f t="shared" si="19"/>
        <v>2.3931909130365744E-2</v>
      </c>
      <c r="T336">
        <v>27</v>
      </c>
    </row>
    <row r="337" spans="1:20">
      <c r="A337" s="32">
        <v>41424</v>
      </c>
      <c r="B337" s="42">
        <v>42</v>
      </c>
      <c r="C337" s="33">
        <v>1</v>
      </c>
      <c r="D337" s="33">
        <v>0</v>
      </c>
      <c r="E337" s="33">
        <v>0</v>
      </c>
      <c r="F337" s="33">
        <v>1</v>
      </c>
      <c r="G337" s="33">
        <v>0</v>
      </c>
      <c r="H337" s="33">
        <v>2</v>
      </c>
      <c r="I337" s="33">
        <v>0</v>
      </c>
      <c r="J337" s="33">
        <v>0</v>
      </c>
      <c r="K337" s="33">
        <v>0</v>
      </c>
      <c r="L337" s="33">
        <v>0</v>
      </c>
      <c r="M337" s="33">
        <v>1</v>
      </c>
      <c r="N337" s="33">
        <v>0</v>
      </c>
      <c r="O337" s="33">
        <v>0</v>
      </c>
      <c r="P337" s="33">
        <v>0</v>
      </c>
      <c r="Q337" s="21">
        <f t="shared" si="17"/>
        <v>50</v>
      </c>
      <c r="R337">
        <f t="shared" si="18"/>
        <v>41.09086031424512</v>
      </c>
      <c r="S337">
        <f t="shared" si="19"/>
        <v>0.82653496821448225</v>
      </c>
      <c r="T337">
        <v>35</v>
      </c>
    </row>
    <row r="338" spans="1:20">
      <c r="A338" s="32">
        <v>41425</v>
      </c>
      <c r="B338" s="42">
        <v>54</v>
      </c>
      <c r="C338" s="33">
        <v>1</v>
      </c>
      <c r="D338" s="33">
        <v>0</v>
      </c>
      <c r="E338" s="33">
        <v>0</v>
      </c>
      <c r="F338" s="33">
        <v>1</v>
      </c>
      <c r="G338" s="33">
        <v>1</v>
      </c>
      <c r="H338" s="33">
        <v>4</v>
      </c>
      <c r="I338" s="33">
        <v>0</v>
      </c>
      <c r="J338" s="33">
        <v>0</v>
      </c>
      <c r="K338" s="33">
        <v>0</v>
      </c>
      <c r="L338" s="33">
        <v>0</v>
      </c>
      <c r="M338" s="33">
        <v>0</v>
      </c>
      <c r="N338" s="33">
        <v>1</v>
      </c>
      <c r="O338" s="33">
        <v>0</v>
      </c>
      <c r="P338" s="33">
        <v>0</v>
      </c>
      <c r="Q338" s="21">
        <f t="shared" si="17"/>
        <v>45</v>
      </c>
      <c r="R338">
        <f t="shared" si="18"/>
        <v>41.942002636682474</v>
      </c>
      <c r="S338">
        <f t="shared" si="19"/>
        <v>145.39530041377239</v>
      </c>
      <c r="T338">
        <v>30</v>
      </c>
    </row>
    <row r="339" spans="1:20">
      <c r="A339" s="32">
        <v>41426</v>
      </c>
      <c r="B339" s="42">
        <v>57</v>
      </c>
      <c r="C339" s="33">
        <v>1</v>
      </c>
      <c r="D339" s="33">
        <v>0</v>
      </c>
      <c r="E339" s="33">
        <v>0</v>
      </c>
      <c r="F339" s="33">
        <v>2</v>
      </c>
      <c r="G339" s="33">
        <v>1</v>
      </c>
      <c r="H339" s="33">
        <v>6</v>
      </c>
      <c r="I339" s="33">
        <v>0</v>
      </c>
      <c r="J339" s="33">
        <v>0</v>
      </c>
      <c r="K339" s="33">
        <v>0</v>
      </c>
      <c r="L339" s="33">
        <v>0</v>
      </c>
      <c r="M339" s="33">
        <v>0</v>
      </c>
      <c r="N339" s="33">
        <v>0</v>
      </c>
      <c r="O339" s="33">
        <v>1</v>
      </c>
      <c r="P339" s="33">
        <v>0</v>
      </c>
      <c r="Q339" s="21">
        <f t="shared" si="17"/>
        <v>51</v>
      </c>
      <c r="R339">
        <f t="shared" si="18"/>
        <v>47.316935506157662</v>
      </c>
      <c r="S339">
        <f t="shared" si="19"/>
        <v>93.761737991910167</v>
      </c>
      <c r="T339">
        <v>36</v>
      </c>
    </row>
    <row r="340" spans="1:20">
      <c r="A340" s="32">
        <v>41427</v>
      </c>
      <c r="B340" s="42">
        <v>42</v>
      </c>
      <c r="C340" s="33">
        <v>1</v>
      </c>
      <c r="D340" s="33">
        <v>0</v>
      </c>
      <c r="E340" s="33">
        <v>0</v>
      </c>
      <c r="F340" s="33">
        <v>1</v>
      </c>
      <c r="G340" s="33">
        <v>1</v>
      </c>
      <c r="H340" s="33">
        <v>4</v>
      </c>
      <c r="I340" s="33">
        <v>0</v>
      </c>
      <c r="J340" s="33">
        <v>0</v>
      </c>
      <c r="K340" s="33">
        <v>0</v>
      </c>
      <c r="L340" s="33">
        <v>0</v>
      </c>
      <c r="M340" s="33">
        <v>0</v>
      </c>
      <c r="N340" s="33">
        <v>0</v>
      </c>
      <c r="O340" s="33">
        <v>0</v>
      </c>
      <c r="P340" s="33">
        <v>0</v>
      </c>
      <c r="Q340" s="21">
        <f t="shared" si="17"/>
        <v>43</v>
      </c>
      <c r="R340">
        <f t="shared" si="18"/>
        <v>36.205185518947069</v>
      </c>
      <c r="S340">
        <f t="shared" si="19"/>
        <v>33.579874869820756</v>
      </c>
      <c r="T340">
        <v>28</v>
      </c>
    </row>
    <row r="341" spans="1:20">
      <c r="A341" s="32">
        <v>41428</v>
      </c>
      <c r="B341" s="42">
        <v>31</v>
      </c>
      <c r="C341" s="33">
        <v>1</v>
      </c>
      <c r="D341" s="33">
        <v>0</v>
      </c>
      <c r="E341" s="33">
        <v>0</v>
      </c>
      <c r="F341" s="33">
        <v>0</v>
      </c>
      <c r="G341" s="33">
        <v>0</v>
      </c>
      <c r="H341" s="33">
        <v>1</v>
      </c>
      <c r="I341" s="33">
        <v>0</v>
      </c>
      <c r="J341" s="33">
        <v>1</v>
      </c>
      <c r="K341" s="33">
        <v>0</v>
      </c>
      <c r="L341" s="33">
        <v>0</v>
      </c>
      <c r="M341" s="33">
        <v>0</v>
      </c>
      <c r="N341" s="33">
        <v>0</v>
      </c>
      <c r="O341" s="33">
        <v>0</v>
      </c>
      <c r="P341" s="33">
        <v>0</v>
      </c>
      <c r="Q341" s="21">
        <f t="shared" si="17"/>
        <v>37</v>
      </c>
      <c r="R341">
        <f t="shared" si="18"/>
        <v>30.80618096154673</v>
      </c>
      <c r="S341">
        <f t="shared" si="19"/>
        <v>3.7565819666950273E-2</v>
      </c>
      <c r="T341">
        <v>22</v>
      </c>
    </row>
    <row r="342" spans="1:20">
      <c r="A342" s="32">
        <v>41429</v>
      </c>
      <c r="B342" s="42">
        <v>18</v>
      </c>
      <c r="C342" s="33">
        <v>1</v>
      </c>
      <c r="D342" s="33">
        <v>0</v>
      </c>
      <c r="E342" s="33">
        <v>0</v>
      </c>
      <c r="F342" s="33">
        <v>0</v>
      </c>
      <c r="G342" s="33">
        <v>0</v>
      </c>
      <c r="H342" s="33">
        <v>1</v>
      </c>
      <c r="I342" s="33">
        <v>0</v>
      </c>
      <c r="J342" s="33">
        <v>0</v>
      </c>
      <c r="K342" s="33">
        <v>1</v>
      </c>
      <c r="L342" s="33">
        <v>0</v>
      </c>
      <c r="M342" s="33">
        <v>0</v>
      </c>
      <c r="N342" s="33">
        <v>0</v>
      </c>
      <c r="O342" s="33">
        <v>0</v>
      </c>
      <c r="P342" s="33">
        <v>0</v>
      </c>
      <c r="Q342" s="21">
        <f t="shared" si="17"/>
        <v>38</v>
      </c>
      <c r="R342">
        <f t="shared" si="18"/>
        <v>31.389900870772852</v>
      </c>
      <c r="S342">
        <f t="shared" si="19"/>
        <v>179.28944532912357</v>
      </c>
      <c r="T342">
        <v>23</v>
      </c>
    </row>
    <row r="343" spans="1:20">
      <c r="A343" s="32">
        <v>41430</v>
      </c>
      <c r="B343" s="42">
        <v>18</v>
      </c>
      <c r="C343" s="33">
        <v>1</v>
      </c>
      <c r="D343" s="33">
        <v>0</v>
      </c>
      <c r="E343" s="33">
        <v>0</v>
      </c>
      <c r="F343" s="33">
        <v>0</v>
      </c>
      <c r="G343" s="33">
        <v>0</v>
      </c>
      <c r="H343" s="33">
        <v>1</v>
      </c>
      <c r="I343" s="33">
        <v>0</v>
      </c>
      <c r="J343" s="33">
        <v>0</v>
      </c>
      <c r="K343" s="33">
        <v>0</v>
      </c>
      <c r="L343" s="33">
        <v>1</v>
      </c>
      <c r="M343" s="33">
        <v>0</v>
      </c>
      <c r="N343" s="33">
        <v>0</v>
      </c>
      <c r="O343" s="33">
        <v>0</v>
      </c>
      <c r="P343" s="33">
        <v>0</v>
      </c>
      <c r="Q343" s="21">
        <f t="shared" si="17"/>
        <v>28</v>
      </c>
      <c r="R343">
        <f t="shared" si="18"/>
        <v>25.239736893539483</v>
      </c>
      <c r="S343">
        <f t="shared" si="19"/>
        <v>52.413790287676726</v>
      </c>
      <c r="T343">
        <v>13</v>
      </c>
    </row>
    <row r="344" spans="1:20">
      <c r="A344" s="32">
        <v>41431</v>
      </c>
      <c r="B344" s="42">
        <v>29</v>
      </c>
      <c r="C344" s="33">
        <v>1</v>
      </c>
      <c r="D344" s="33">
        <v>0</v>
      </c>
      <c r="E344" s="33">
        <v>0</v>
      </c>
      <c r="F344" s="33">
        <v>0</v>
      </c>
      <c r="G344" s="33">
        <v>0</v>
      </c>
      <c r="H344" s="33">
        <v>1</v>
      </c>
      <c r="I344" s="33">
        <v>0</v>
      </c>
      <c r="J344" s="33">
        <v>0</v>
      </c>
      <c r="K344" s="33">
        <v>0</v>
      </c>
      <c r="L344" s="33">
        <v>0</v>
      </c>
      <c r="M344" s="33">
        <v>1</v>
      </c>
      <c r="N344" s="33">
        <v>0</v>
      </c>
      <c r="O344" s="33">
        <v>0</v>
      </c>
      <c r="P344" s="33">
        <v>0</v>
      </c>
      <c r="Q344" s="21">
        <f t="shared" si="17"/>
        <v>28</v>
      </c>
      <c r="R344">
        <f t="shared" si="18"/>
        <v>23.874230914647075</v>
      </c>
      <c r="S344">
        <f t="shared" si="19"/>
        <v>26.27350871635976</v>
      </c>
      <c r="T344">
        <v>13</v>
      </c>
    </row>
    <row r="345" spans="1:20">
      <c r="A345" s="32">
        <v>41432</v>
      </c>
      <c r="B345" s="42">
        <v>21</v>
      </c>
      <c r="C345" s="33">
        <v>1</v>
      </c>
      <c r="D345" s="33">
        <v>0</v>
      </c>
      <c r="E345" s="33">
        <v>0</v>
      </c>
      <c r="F345" s="33">
        <v>0</v>
      </c>
      <c r="G345" s="33">
        <v>0</v>
      </c>
      <c r="H345" s="33">
        <v>1</v>
      </c>
      <c r="I345" s="33">
        <v>0</v>
      </c>
      <c r="J345" s="33">
        <v>0</v>
      </c>
      <c r="K345" s="33">
        <v>0</v>
      </c>
      <c r="L345" s="33">
        <v>0</v>
      </c>
      <c r="M345" s="33">
        <v>0</v>
      </c>
      <c r="N345" s="33">
        <v>1</v>
      </c>
      <c r="O345" s="33">
        <v>0</v>
      </c>
      <c r="P345" s="33">
        <v>0</v>
      </c>
      <c r="Q345" s="21">
        <f t="shared" si="17"/>
        <v>27</v>
      </c>
      <c r="R345">
        <f t="shared" si="18"/>
        <v>24.726537037430674</v>
      </c>
      <c r="S345">
        <f t="shared" si="19"/>
        <v>13.887078291342585</v>
      </c>
      <c r="T345">
        <v>12</v>
      </c>
    </row>
    <row r="346" spans="1:20">
      <c r="A346" s="32">
        <v>41433</v>
      </c>
      <c r="B346" s="42">
        <v>40</v>
      </c>
      <c r="C346" s="33">
        <v>1</v>
      </c>
      <c r="D346" s="33">
        <v>0</v>
      </c>
      <c r="E346" s="33">
        <v>0</v>
      </c>
      <c r="F346" s="33">
        <v>1</v>
      </c>
      <c r="G346" s="33">
        <v>0</v>
      </c>
      <c r="H346" s="33">
        <v>2</v>
      </c>
      <c r="I346" s="33">
        <v>0</v>
      </c>
      <c r="J346" s="33">
        <v>0</v>
      </c>
      <c r="K346" s="33">
        <v>0</v>
      </c>
      <c r="L346" s="33">
        <v>0</v>
      </c>
      <c r="M346" s="33">
        <v>0</v>
      </c>
      <c r="N346" s="33">
        <v>0</v>
      </c>
      <c r="O346" s="33">
        <v>1</v>
      </c>
      <c r="P346" s="33">
        <v>0</v>
      </c>
      <c r="Q346" s="21">
        <f t="shared" si="17"/>
        <v>53</v>
      </c>
      <c r="R346">
        <f t="shared" si="18"/>
        <v>42.358030196437021</v>
      </c>
      <c r="S346">
        <f t="shared" si="19"/>
        <v>5.5603064073088149</v>
      </c>
      <c r="T346">
        <v>38</v>
      </c>
    </row>
    <row r="347" spans="1:20">
      <c r="A347" s="32">
        <v>41434</v>
      </c>
      <c r="B347" s="42">
        <v>32</v>
      </c>
      <c r="C347" s="33">
        <v>1</v>
      </c>
      <c r="D347" s="33">
        <v>0</v>
      </c>
      <c r="E347" s="33">
        <v>0</v>
      </c>
      <c r="F347" s="33">
        <v>0</v>
      </c>
      <c r="G347" s="33">
        <v>0</v>
      </c>
      <c r="H347" s="33">
        <v>1</v>
      </c>
      <c r="I347" s="33">
        <v>0</v>
      </c>
      <c r="J347" s="33">
        <v>0</v>
      </c>
      <c r="K347" s="33">
        <v>0</v>
      </c>
      <c r="L347" s="33">
        <v>0</v>
      </c>
      <c r="M347" s="33">
        <v>0</v>
      </c>
      <c r="N347" s="33">
        <v>0</v>
      </c>
      <c r="O347" s="33">
        <v>0</v>
      </c>
      <c r="P347" s="33">
        <v>0</v>
      </c>
      <c r="Q347" s="21">
        <f t="shared" si="17"/>
        <v>32</v>
      </c>
      <c r="R347">
        <f t="shared" si="18"/>
        <v>23.015600305100232</v>
      </c>
      <c r="S347">
        <f t="shared" si="19"/>
        <v>80.719437877715038</v>
      </c>
      <c r="T347">
        <v>17</v>
      </c>
    </row>
    <row r="348" spans="1:20">
      <c r="A348" s="32">
        <v>41435</v>
      </c>
      <c r="B348" s="42">
        <v>28</v>
      </c>
      <c r="C348" s="33">
        <v>1</v>
      </c>
      <c r="D348" s="33">
        <v>0</v>
      </c>
      <c r="E348" s="33">
        <v>0</v>
      </c>
      <c r="F348" s="33">
        <v>0</v>
      </c>
      <c r="G348" s="33">
        <v>0</v>
      </c>
      <c r="H348" s="33">
        <v>1</v>
      </c>
      <c r="I348" s="33">
        <v>0</v>
      </c>
      <c r="J348" s="33">
        <v>1</v>
      </c>
      <c r="K348" s="33">
        <v>0</v>
      </c>
      <c r="L348" s="33">
        <v>0</v>
      </c>
      <c r="M348" s="33">
        <v>0</v>
      </c>
      <c r="N348" s="33">
        <v>0</v>
      </c>
      <c r="O348" s="33">
        <v>0</v>
      </c>
      <c r="P348" s="33">
        <v>0</v>
      </c>
      <c r="Q348" s="21">
        <f t="shared" si="17"/>
        <v>37</v>
      </c>
      <c r="R348">
        <f t="shared" si="18"/>
        <v>30.80618096154673</v>
      </c>
      <c r="S348">
        <f t="shared" si="19"/>
        <v>7.8746515889473283</v>
      </c>
      <c r="T348">
        <v>22</v>
      </c>
    </row>
    <row r="349" spans="1:20">
      <c r="A349" s="32">
        <v>41436</v>
      </c>
      <c r="B349" s="42">
        <v>16</v>
      </c>
      <c r="C349" s="33">
        <v>1</v>
      </c>
      <c r="D349" s="33">
        <v>0</v>
      </c>
      <c r="E349" s="33">
        <v>0</v>
      </c>
      <c r="F349" s="33">
        <v>0</v>
      </c>
      <c r="G349" s="33">
        <v>0</v>
      </c>
      <c r="H349" s="33">
        <v>1</v>
      </c>
      <c r="I349" s="33">
        <v>0</v>
      </c>
      <c r="J349" s="33">
        <v>0</v>
      </c>
      <c r="K349" s="33">
        <v>1</v>
      </c>
      <c r="L349" s="33">
        <v>0</v>
      </c>
      <c r="M349" s="33">
        <v>0</v>
      </c>
      <c r="N349" s="33">
        <v>0</v>
      </c>
      <c r="O349" s="33">
        <v>0</v>
      </c>
      <c r="P349" s="33">
        <v>0</v>
      </c>
      <c r="Q349" s="21">
        <f t="shared" si="17"/>
        <v>27</v>
      </c>
      <c r="R349">
        <f t="shared" si="18"/>
        <v>25.063517407993615</v>
      </c>
      <c r="S349">
        <f t="shared" si="19"/>
        <v>82.147347805003292</v>
      </c>
      <c r="T349">
        <v>12</v>
      </c>
    </row>
    <row r="350" spans="1:20">
      <c r="A350" s="32">
        <v>41437</v>
      </c>
      <c r="B350" s="42">
        <v>20</v>
      </c>
      <c r="C350" s="33">
        <v>1</v>
      </c>
      <c r="D350" s="33">
        <v>0</v>
      </c>
      <c r="E350" s="33">
        <v>0</v>
      </c>
      <c r="F350" s="33">
        <v>0</v>
      </c>
      <c r="G350" s="33">
        <v>0</v>
      </c>
      <c r="H350" s="33">
        <v>1</v>
      </c>
      <c r="I350" s="33">
        <v>0</v>
      </c>
      <c r="J350" s="33">
        <v>0</v>
      </c>
      <c r="K350" s="33">
        <v>0</v>
      </c>
      <c r="L350" s="33">
        <v>1</v>
      </c>
      <c r="M350" s="33">
        <v>0</v>
      </c>
      <c r="N350" s="33">
        <v>0</v>
      </c>
      <c r="O350" s="33">
        <v>0</v>
      </c>
      <c r="P350" s="33">
        <v>0</v>
      </c>
      <c r="Q350" s="21">
        <f t="shared" si="17"/>
        <v>37</v>
      </c>
      <c r="R350">
        <f t="shared" si="18"/>
        <v>30.415868817631583</v>
      </c>
      <c r="S350">
        <f t="shared" si="19"/>
        <v>108.49032322610996</v>
      </c>
      <c r="T350">
        <v>22</v>
      </c>
    </row>
    <row r="351" spans="1:20">
      <c r="A351" s="32">
        <v>41438</v>
      </c>
      <c r="B351" s="42">
        <v>29</v>
      </c>
      <c r="C351" s="33">
        <v>1</v>
      </c>
      <c r="D351" s="33">
        <v>0</v>
      </c>
      <c r="E351" s="33">
        <v>0</v>
      </c>
      <c r="F351" s="33">
        <v>0</v>
      </c>
      <c r="G351" s="33">
        <v>0</v>
      </c>
      <c r="H351" s="33">
        <v>1</v>
      </c>
      <c r="I351" s="33">
        <v>0</v>
      </c>
      <c r="J351" s="33">
        <v>0</v>
      </c>
      <c r="K351" s="33">
        <v>0</v>
      </c>
      <c r="L351" s="33">
        <v>0</v>
      </c>
      <c r="M351" s="33">
        <v>1</v>
      </c>
      <c r="N351" s="33">
        <v>0</v>
      </c>
      <c r="O351" s="33">
        <v>0</v>
      </c>
      <c r="P351" s="33">
        <v>0</v>
      </c>
      <c r="Q351" s="21">
        <f t="shared" si="17"/>
        <v>35</v>
      </c>
      <c r="R351">
        <f t="shared" si="18"/>
        <v>27.900111300052043</v>
      </c>
      <c r="S351">
        <f t="shared" si="19"/>
        <v>1.2097551522732077</v>
      </c>
      <c r="T351">
        <v>20</v>
      </c>
    </row>
    <row r="352" spans="1:20">
      <c r="A352" s="32">
        <v>41439</v>
      </c>
      <c r="B352" s="42">
        <v>28</v>
      </c>
      <c r="C352" s="33">
        <v>1</v>
      </c>
      <c r="D352" s="33">
        <v>0</v>
      </c>
      <c r="E352" s="33">
        <v>0</v>
      </c>
      <c r="F352" s="33">
        <v>0</v>
      </c>
      <c r="G352" s="33">
        <v>0</v>
      </c>
      <c r="H352" s="33">
        <v>1</v>
      </c>
      <c r="I352" s="33">
        <v>0</v>
      </c>
      <c r="J352" s="33">
        <v>0</v>
      </c>
      <c r="K352" s="33">
        <v>0</v>
      </c>
      <c r="L352" s="33">
        <v>0</v>
      </c>
      <c r="M352" s="33">
        <v>0</v>
      </c>
      <c r="N352" s="33">
        <v>1</v>
      </c>
      <c r="O352" s="33">
        <v>0</v>
      </c>
      <c r="P352" s="33">
        <v>0</v>
      </c>
      <c r="Q352" s="21">
        <f t="shared" si="17"/>
        <v>35</v>
      </c>
      <c r="R352">
        <f t="shared" si="18"/>
        <v>29.32754319217921</v>
      </c>
      <c r="S352">
        <f t="shared" si="19"/>
        <v>1.7623709271013663</v>
      </c>
      <c r="T352">
        <v>20</v>
      </c>
    </row>
    <row r="353" spans="1:20">
      <c r="A353" s="32">
        <v>41440</v>
      </c>
      <c r="B353" s="42">
        <v>53</v>
      </c>
      <c r="C353" s="33">
        <v>1</v>
      </c>
      <c r="D353" s="33">
        <v>0</v>
      </c>
      <c r="E353" s="33">
        <v>0</v>
      </c>
      <c r="F353" s="33">
        <v>1</v>
      </c>
      <c r="G353" s="33">
        <v>1</v>
      </c>
      <c r="H353" s="33">
        <v>4</v>
      </c>
      <c r="I353" s="33">
        <v>0</v>
      </c>
      <c r="J353" s="33">
        <v>0</v>
      </c>
      <c r="K353" s="33">
        <v>0</v>
      </c>
      <c r="L353" s="33">
        <v>0</v>
      </c>
      <c r="M353" s="33">
        <v>0</v>
      </c>
      <c r="N353" s="33">
        <v>0</v>
      </c>
      <c r="O353" s="33">
        <v>1</v>
      </c>
      <c r="P353" s="33">
        <v>0</v>
      </c>
      <c r="Q353" s="21">
        <f t="shared" si="17"/>
        <v>57</v>
      </c>
      <c r="R353">
        <f t="shared" si="18"/>
        <v>46.957872550839312</v>
      </c>
      <c r="S353">
        <f t="shared" si="19"/>
        <v>36.507304111901043</v>
      </c>
      <c r="T353">
        <v>42</v>
      </c>
    </row>
    <row r="354" spans="1:20">
      <c r="A354" s="32">
        <v>41441</v>
      </c>
      <c r="B354" s="42">
        <v>43</v>
      </c>
      <c r="C354" s="33">
        <v>1</v>
      </c>
      <c r="D354" s="33">
        <v>0</v>
      </c>
      <c r="E354" s="33">
        <v>0</v>
      </c>
      <c r="F354" s="33">
        <v>0</v>
      </c>
      <c r="G354" s="33">
        <v>0</v>
      </c>
      <c r="H354" s="33">
        <v>1</v>
      </c>
      <c r="I354" s="33">
        <v>0</v>
      </c>
      <c r="J354" s="33">
        <v>0</v>
      </c>
      <c r="K354" s="33">
        <v>0</v>
      </c>
      <c r="L354" s="33">
        <v>0</v>
      </c>
      <c r="M354" s="33">
        <v>0</v>
      </c>
      <c r="N354" s="33">
        <v>0</v>
      </c>
      <c r="O354" s="33">
        <v>0</v>
      </c>
      <c r="P354" s="33">
        <v>0</v>
      </c>
      <c r="Q354" s="21">
        <f t="shared" si="17"/>
        <v>37</v>
      </c>
      <c r="R354">
        <f t="shared" si="18"/>
        <v>25.891229151818067</v>
      </c>
      <c r="S354">
        <f t="shared" si="19"/>
        <v>292.71003993559998</v>
      </c>
      <c r="T354">
        <v>22</v>
      </c>
    </row>
    <row r="355" spans="1:20">
      <c r="A355" s="32">
        <v>41442</v>
      </c>
      <c r="B355" s="42">
        <v>36</v>
      </c>
      <c r="C355" s="33">
        <v>1</v>
      </c>
      <c r="D355" s="33">
        <v>0</v>
      </c>
      <c r="E355" s="33">
        <v>0</v>
      </c>
      <c r="F355" s="33">
        <v>0</v>
      </c>
      <c r="G355" s="33">
        <v>0</v>
      </c>
      <c r="H355" s="33">
        <v>1</v>
      </c>
      <c r="I355" s="33">
        <v>0</v>
      </c>
      <c r="J355" s="33">
        <v>1</v>
      </c>
      <c r="K355" s="33">
        <v>0</v>
      </c>
      <c r="L355" s="33">
        <v>0</v>
      </c>
      <c r="M355" s="33">
        <v>0</v>
      </c>
      <c r="N355" s="33">
        <v>0</v>
      </c>
      <c r="O355" s="33">
        <v>0</v>
      </c>
      <c r="P355" s="33">
        <v>0</v>
      </c>
      <c r="Q355" s="21">
        <f t="shared" si="17"/>
        <v>38</v>
      </c>
      <c r="R355">
        <f t="shared" si="18"/>
        <v>31.381306730890298</v>
      </c>
      <c r="S355">
        <f t="shared" si="19"/>
        <v>21.332327514119267</v>
      </c>
      <c r="T355">
        <v>23</v>
      </c>
    </row>
    <row r="356" spans="1:20">
      <c r="A356" s="32">
        <v>41443</v>
      </c>
      <c r="B356" s="42">
        <v>24</v>
      </c>
      <c r="C356" s="33">
        <v>1</v>
      </c>
      <c r="D356" s="33">
        <v>0</v>
      </c>
      <c r="E356" s="33">
        <v>0</v>
      </c>
      <c r="F356" s="33">
        <v>0</v>
      </c>
      <c r="G356" s="33">
        <v>0</v>
      </c>
      <c r="H356" s="33">
        <v>1</v>
      </c>
      <c r="I356" s="33">
        <v>0</v>
      </c>
      <c r="J356" s="33">
        <v>0</v>
      </c>
      <c r="K356" s="33">
        <v>1</v>
      </c>
      <c r="L356" s="33">
        <v>0</v>
      </c>
      <c r="M356" s="33">
        <v>0</v>
      </c>
      <c r="N356" s="33">
        <v>0</v>
      </c>
      <c r="O356" s="33">
        <v>0</v>
      </c>
      <c r="P356" s="33">
        <v>0</v>
      </c>
      <c r="Q356" s="21">
        <f t="shared" si="17"/>
        <v>34</v>
      </c>
      <c r="R356">
        <f t="shared" si="18"/>
        <v>29.089397793398582</v>
      </c>
      <c r="S356">
        <f t="shared" si="19"/>
        <v>25.901969899450361</v>
      </c>
      <c r="T356">
        <v>19</v>
      </c>
    </row>
    <row r="357" spans="1:20">
      <c r="A357" s="32">
        <v>41444</v>
      </c>
      <c r="B357" s="42">
        <v>20</v>
      </c>
      <c r="C357" s="33">
        <v>1</v>
      </c>
      <c r="D357" s="33">
        <v>0</v>
      </c>
      <c r="E357" s="33">
        <v>0</v>
      </c>
      <c r="F357" s="33">
        <v>0</v>
      </c>
      <c r="G357" s="33">
        <v>0</v>
      </c>
      <c r="H357" s="33">
        <v>1</v>
      </c>
      <c r="I357" s="33">
        <v>0</v>
      </c>
      <c r="J357" s="33">
        <v>0</v>
      </c>
      <c r="K357" s="33">
        <v>0</v>
      </c>
      <c r="L357" s="33">
        <v>1</v>
      </c>
      <c r="M357" s="33">
        <v>0</v>
      </c>
      <c r="N357" s="33">
        <v>0</v>
      </c>
      <c r="O357" s="33">
        <v>0</v>
      </c>
      <c r="P357" s="33">
        <v>0</v>
      </c>
      <c r="Q357" s="21">
        <f t="shared" si="17"/>
        <v>36</v>
      </c>
      <c r="R357">
        <f t="shared" si="18"/>
        <v>29.840743048288015</v>
      </c>
      <c r="S357">
        <f t="shared" si="19"/>
        <v>96.84022374242889</v>
      </c>
      <c r="T357">
        <v>21</v>
      </c>
    </row>
    <row r="358" spans="1:20">
      <c r="A358" s="32">
        <v>41445</v>
      </c>
      <c r="B358" s="42">
        <v>29</v>
      </c>
      <c r="C358" s="33">
        <v>1</v>
      </c>
      <c r="D358" s="33">
        <v>0</v>
      </c>
      <c r="E358" s="33">
        <v>0</v>
      </c>
      <c r="F358" s="33">
        <v>0</v>
      </c>
      <c r="G358" s="33">
        <v>0</v>
      </c>
      <c r="H358" s="33">
        <v>1</v>
      </c>
      <c r="I358" s="33">
        <v>0</v>
      </c>
      <c r="J358" s="33">
        <v>0</v>
      </c>
      <c r="K358" s="33">
        <v>0</v>
      </c>
      <c r="L358" s="33">
        <v>0</v>
      </c>
      <c r="M358" s="33">
        <v>1</v>
      </c>
      <c r="N358" s="33">
        <v>0</v>
      </c>
      <c r="O358" s="33">
        <v>0</v>
      </c>
      <c r="P358" s="33">
        <v>0</v>
      </c>
      <c r="Q358" s="21">
        <f t="shared" si="17"/>
        <v>35</v>
      </c>
      <c r="R358">
        <f t="shared" si="18"/>
        <v>27.900111300052043</v>
      </c>
      <c r="S358">
        <f t="shared" si="19"/>
        <v>1.2097551522732077</v>
      </c>
      <c r="T358">
        <v>20</v>
      </c>
    </row>
    <row r="359" spans="1:20">
      <c r="A359" s="32">
        <v>41446</v>
      </c>
      <c r="B359" s="42">
        <v>35</v>
      </c>
      <c r="C359" s="33">
        <v>1</v>
      </c>
      <c r="D359" s="33">
        <v>0</v>
      </c>
      <c r="E359" s="33">
        <v>0</v>
      </c>
      <c r="F359" s="33">
        <v>1</v>
      </c>
      <c r="G359" s="33">
        <v>1</v>
      </c>
      <c r="H359" s="33">
        <v>4</v>
      </c>
      <c r="I359" s="33">
        <v>0</v>
      </c>
      <c r="J359" s="33">
        <v>0</v>
      </c>
      <c r="K359" s="33">
        <v>0</v>
      </c>
      <c r="L359" s="33">
        <v>0</v>
      </c>
      <c r="M359" s="33">
        <v>0</v>
      </c>
      <c r="N359" s="33">
        <v>1</v>
      </c>
      <c r="O359" s="33">
        <v>0</v>
      </c>
      <c r="P359" s="33">
        <v>0</v>
      </c>
      <c r="Q359" s="21">
        <f t="shared" si="17"/>
        <v>47</v>
      </c>
      <c r="R359">
        <f t="shared" si="18"/>
        <v>43.092254175369611</v>
      </c>
      <c r="S359">
        <f t="shared" si="19"/>
        <v>65.484577638786902</v>
      </c>
      <c r="T359">
        <v>32</v>
      </c>
    </row>
    <row r="360" spans="1:20">
      <c r="A360" s="32">
        <v>41447</v>
      </c>
      <c r="B360" s="42">
        <v>55</v>
      </c>
      <c r="C360" s="33">
        <v>1</v>
      </c>
      <c r="D360" s="33">
        <v>0</v>
      </c>
      <c r="E360" s="33">
        <v>0</v>
      </c>
      <c r="F360" s="33">
        <v>1</v>
      </c>
      <c r="G360" s="33">
        <v>1</v>
      </c>
      <c r="H360" s="33">
        <v>4</v>
      </c>
      <c r="I360" s="33">
        <v>0</v>
      </c>
      <c r="J360" s="33">
        <v>0</v>
      </c>
      <c r="K360" s="33">
        <v>0</v>
      </c>
      <c r="L360" s="33">
        <v>0</v>
      </c>
      <c r="M360" s="33">
        <v>0</v>
      </c>
      <c r="N360" s="33">
        <v>0</v>
      </c>
      <c r="O360" s="33">
        <v>1</v>
      </c>
      <c r="P360" s="33">
        <v>0</v>
      </c>
      <c r="Q360" s="21">
        <f t="shared" si="17"/>
        <v>53</v>
      </c>
      <c r="R360">
        <f t="shared" si="18"/>
        <v>44.657369473465046</v>
      </c>
      <c r="S360">
        <f t="shared" si="19"/>
        <v>106.9700062084127</v>
      </c>
      <c r="T360">
        <v>38</v>
      </c>
    </row>
    <row r="361" spans="1:20">
      <c r="A361" s="32">
        <v>41448</v>
      </c>
      <c r="B361" s="42">
        <v>56</v>
      </c>
      <c r="C361" s="33">
        <v>1</v>
      </c>
      <c r="D361" s="33">
        <v>0</v>
      </c>
      <c r="E361" s="33">
        <v>0</v>
      </c>
      <c r="F361" s="33">
        <v>1</v>
      </c>
      <c r="G361" s="33">
        <v>1</v>
      </c>
      <c r="H361" s="33">
        <v>4</v>
      </c>
      <c r="I361" s="33">
        <v>0</v>
      </c>
      <c r="J361" s="33">
        <v>0</v>
      </c>
      <c r="K361" s="33">
        <v>0</v>
      </c>
      <c r="L361" s="33">
        <v>0</v>
      </c>
      <c r="M361" s="33">
        <v>0</v>
      </c>
      <c r="N361" s="33">
        <v>0</v>
      </c>
      <c r="O361" s="33">
        <v>0</v>
      </c>
      <c r="P361" s="33">
        <v>0</v>
      </c>
      <c r="Q361" s="21">
        <f t="shared" si="17"/>
        <v>49</v>
      </c>
      <c r="R361">
        <f t="shared" si="18"/>
        <v>39.655940135008471</v>
      </c>
      <c r="S361">
        <f t="shared" si="19"/>
        <v>267.12829287042689</v>
      </c>
      <c r="T361">
        <v>34</v>
      </c>
    </row>
    <row r="362" spans="1:20">
      <c r="A362" s="32">
        <v>41449</v>
      </c>
      <c r="B362" s="42">
        <v>44</v>
      </c>
      <c r="C362" s="33">
        <v>1</v>
      </c>
      <c r="D362" s="33">
        <v>0</v>
      </c>
      <c r="E362" s="33">
        <v>0</v>
      </c>
      <c r="F362" s="33">
        <v>0</v>
      </c>
      <c r="G362" s="33">
        <v>0</v>
      </c>
      <c r="H362" s="33">
        <v>1</v>
      </c>
      <c r="I362" s="33">
        <v>0</v>
      </c>
      <c r="J362" s="33">
        <v>1</v>
      </c>
      <c r="K362" s="33">
        <v>0</v>
      </c>
      <c r="L362" s="33">
        <v>0</v>
      </c>
      <c r="M362" s="33">
        <v>0</v>
      </c>
      <c r="N362" s="33">
        <v>0</v>
      </c>
      <c r="O362" s="33">
        <v>0</v>
      </c>
      <c r="P362" s="33">
        <v>0</v>
      </c>
      <c r="Q362" s="21">
        <f t="shared" si="17"/>
        <v>46</v>
      </c>
      <c r="R362">
        <f t="shared" si="18"/>
        <v>35.982312885638834</v>
      </c>
      <c r="S362">
        <f t="shared" si="19"/>
        <v>64.283306663793084</v>
      </c>
      <c r="T362">
        <v>31</v>
      </c>
    </row>
    <row r="363" spans="1:20">
      <c r="A363" s="32">
        <v>41450</v>
      </c>
      <c r="B363" s="42">
        <v>48</v>
      </c>
      <c r="C363" s="33">
        <v>1</v>
      </c>
      <c r="D363" s="33">
        <v>0</v>
      </c>
      <c r="E363" s="33">
        <v>0</v>
      </c>
      <c r="F363" s="33">
        <v>0</v>
      </c>
      <c r="G363" s="33">
        <v>0</v>
      </c>
      <c r="H363" s="33">
        <v>1</v>
      </c>
      <c r="I363" s="33">
        <v>0</v>
      </c>
      <c r="J363" s="33">
        <v>0</v>
      </c>
      <c r="K363" s="33">
        <v>1</v>
      </c>
      <c r="L363" s="33">
        <v>0</v>
      </c>
      <c r="M363" s="33">
        <v>0</v>
      </c>
      <c r="N363" s="33">
        <v>0</v>
      </c>
      <c r="O363" s="33">
        <v>0</v>
      </c>
      <c r="P363" s="33">
        <v>0</v>
      </c>
      <c r="Q363" s="21">
        <f t="shared" si="17"/>
        <v>48</v>
      </c>
      <c r="R363">
        <f t="shared" si="18"/>
        <v>37.141158564208524</v>
      </c>
      <c r="S363">
        <f t="shared" si="19"/>
        <v>117.91443732766187</v>
      </c>
      <c r="T363">
        <v>33</v>
      </c>
    </row>
    <row r="364" spans="1:20">
      <c r="A364" s="32">
        <v>41451</v>
      </c>
      <c r="B364" s="42">
        <v>40</v>
      </c>
      <c r="C364" s="33">
        <v>1</v>
      </c>
      <c r="D364" s="33">
        <v>0</v>
      </c>
      <c r="E364" s="33">
        <v>0</v>
      </c>
      <c r="F364" s="33">
        <v>0</v>
      </c>
      <c r="G364" s="33">
        <v>0</v>
      </c>
      <c r="H364" s="33">
        <v>1</v>
      </c>
      <c r="I364" s="33">
        <v>0</v>
      </c>
      <c r="J364" s="33">
        <v>0</v>
      </c>
      <c r="K364" s="33">
        <v>0</v>
      </c>
      <c r="L364" s="33">
        <v>1</v>
      </c>
      <c r="M364" s="33">
        <v>0</v>
      </c>
      <c r="N364" s="33">
        <v>0</v>
      </c>
      <c r="O364" s="33">
        <v>0</v>
      </c>
      <c r="P364" s="33">
        <v>0</v>
      </c>
      <c r="Q364" s="21">
        <f t="shared" si="17"/>
        <v>46</v>
      </c>
      <c r="R364">
        <f t="shared" si="18"/>
        <v>35.592000741723687</v>
      </c>
      <c r="S364">
        <f t="shared" si="19"/>
        <v>19.430457460964522</v>
      </c>
      <c r="T364">
        <v>31</v>
      </c>
    </row>
    <row r="365" spans="1:20">
      <c r="A365" s="32">
        <v>41452</v>
      </c>
      <c r="B365" s="42">
        <v>53</v>
      </c>
      <c r="C365" s="33">
        <v>1</v>
      </c>
      <c r="D365" s="33">
        <v>0</v>
      </c>
      <c r="E365" s="33">
        <v>0</v>
      </c>
      <c r="F365" s="33">
        <v>1</v>
      </c>
      <c r="G365" s="33">
        <v>1</v>
      </c>
      <c r="H365" s="33">
        <v>4</v>
      </c>
      <c r="I365" s="33">
        <v>0</v>
      </c>
      <c r="J365" s="33">
        <v>0</v>
      </c>
      <c r="K365" s="33">
        <v>0</v>
      </c>
      <c r="L365" s="33">
        <v>0</v>
      </c>
      <c r="M365" s="33">
        <v>1</v>
      </c>
      <c r="N365" s="33">
        <v>0</v>
      </c>
      <c r="O365" s="33">
        <v>0</v>
      </c>
      <c r="P365" s="33">
        <v>0</v>
      </c>
      <c r="Q365" s="21">
        <f t="shared" si="17"/>
        <v>57</v>
      </c>
      <c r="R365">
        <f t="shared" si="18"/>
        <v>47.41607997667812</v>
      </c>
      <c r="S365">
        <f t="shared" si="19"/>
        <v>31.180162826855028</v>
      </c>
      <c r="T365">
        <v>42</v>
      </c>
    </row>
    <row r="366" spans="1:20">
      <c r="A366" s="32">
        <v>41453</v>
      </c>
      <c r="B366" s="42">
        <v>61</v>
      </c>
      <c r="C366" s="33">
        <v>1</v>
      </c>
      <c r="D366" s="33">
        <v>0</v>
      </c>
      <c r="E366" s="33">
        <v>0</v>
      </c>
      <c r="F366" s="33">
        <v>1</v>
      </c>
      <c r="G366" s="33">
        <v>1</v>
      </c>
      <c r="H366" s="33">
        <v>4</v>
      </c>
      <c r="I366" s="33">
        <v>0</v>
      </c>
      <c r="J366" s="33">
        <v>0</v>
      </c>
      <c r="K366" s="33">
        <v>0</v>
      </c>
      <c r="L366" s="33">
        <v>0</v>
      </c>
      <c r="M366" s="33">
        <v>0</v>
      </c>
      <c r="N366" s="33">
        <v>1</v>
      </c>
      <c r="O366" s="33">
        <v>0</v>
      </c>
      <c r="P366" s="33">
        <v>0</v>
      </c>
      <c r="Q366" s="21">
        <f t="shared" si="17"/>
        <v>67</v>
      </c>
      <c r="R366">
        <f t="shared" si="18"/>
        <v>54.594769562240955</v>
      </c>
      <c r="S366">
        <f t="shared" si="19"/>
        <v>41.026976960794919</v>
      </c>
      <c r="T366">
        <v>52</v>
      </c>
    </row>
    <row r="367" spans="1:20">
      <c r="A367" s="32">
        <v>41454</v>
      </c>
      <c r="B367" s="42">
        <v>84</v>
      </c>
      <c r="C367" s="33">
        <v>1</v>
      </c>
      <c r="D367" s="33">
        <v>0</v>
      </c>
      <c r="E367" s="33">
        <v>0</v>
      </c>
      <c r="F367" s="33">
        <v>2</v>
      </c>
      <c r="G367" s="33">
        <v>2</v>
      </c>
      <c r="H367" s="33">
        <v>9</v>
      </c>
      <c r="I367" s="33">
        <v>0</v>
      </c>
      <c r="J367" s="33">
        <v>0</v>
      </c>
      <c r="K367" s="33">
        <v>0</v>
      </c>
      <c r="L367" s="33">
        <v>0</v>
      </c>
      <c r="M367" s="33">
        <v>0</v>
      </c>
      <c r="N367" s="33">
        <v>0</v>
      </c>
      <c r="O367" s="33">
        <v>1</v>
      </c>
      <c r="P367" s="33">
        <v>0</v>
      </c>
      <c r="Q367" s="21">
        <f t="shared" si="17"/>
        <v>70</v>
      </c>
      <c r="R367">
        <f t="shared" si="18"/>
        <v>59.789619498053632</v>
      </c>
      <c r="S367">
        <f t="shared" si="19"/>
        <v>586.14252404902481</v>
      </c>
      <c r="T367">
        <v>55</v>
      </c>
    </row>
    <row r="368" spans="1:20">
      <c r="A368" s="32">
        <v>41455</v>
      </c>
      <c r="B368" s="42">
        <v>77</v>
      </c>
      <c r="C368" s="33">
        <v>1</v>
      </c>
      <c r="D368" s="33">
        <v>0</v>
      </c>
      <c r="E368" s="33">
        <v>0</v>
      </c>
      <c r="F368" s="33">
        <v>1</v>
      </c>
      <c r="G368" s="33">
        <v>1</v>
      </c>
      <c r="H368" s="33">
        <v>4</v>
      </c>
      <c r="I368" s="33">
        <v>0</v>
      </c>
      <c r="J368" s="33">
        <v>0</v>
      </c>
      <c r="K368" s="33">
        <v>0</v>
      </c>
      <c r="L368" s="33">
        <v>0</v>
      </c>
      <c r="M368" s="33">
        <v>0</v>
      </c>
      <c r="N368" s="33">
        <v>0</v>
      </c>
      <c r="O368" s="33">
        <v>0</v>
      </c>
      <c r="P368" s="33">
        <v>0</v>
      </c>
      <c r="Q368" s="21">
        <f t="shared" si="17"/>
        <v>60</v>
      </c>
      <c r="R368">
        <f t="shared" si="18"/>
        <v>45.982323597787712</v>
      </c>
      <c r="S368">
        <f t="shared" si="19"/>
        <v>962.09624939235698</v>
      </c>
      <c r="T368">
        <v>45</v>
      </c>
    </row>
    <row r="369" spans="1:20" ht="21" thickBot="1">
      <c r="A369" s="34">
        <v>41456</v>
      </c>
      <c r="B369" s="46">
        <v>37</v>
      </c>
      <c r="C369" s="35">
        <v>1</v>
      </c>
      <c r="D369" s="35">
        <v>0</v>
      </c>
      <c r="E369" s="35">
        <v>0</v>
      </c>
      <c r="F369" s="35">
        <v>1</v>
      </c>
      <c r="G369" s="35">
        <v>1</v>
      </c>
      <c r="H369" s="35">
        <v>4</v>
      </c>
      <c r="I369" s="35">
        <v>0</v>
      </c>
      <c r="J369" s="35">
        <v>1</v>
      </c>
      <c r="K369" s="35">
        <v>0</v>
      </c>
      <c r="L369" s="35">
        <v>0</v>
      </c>
      <c r="M369" s="35">
        <v>0</v>
      </c>
      <c r="N369" s="35">
        <v>0</v>
      </c>
      <c r="O369" s="35">
        <v>0</v>
      </c>
      <c r="P369" s="35">
        <v>0</v>
      </c>
      <c r="Q369" s="21">
        <f t="shared" si="17"/>
        <v>46</v>
      </c>
      <c r="R369">
        <f t="shared" si="18"/>
        <v>42.845514636706433</v>
      </c>
      <c r="S369">
        <f t="shared" si="19"/>
        <v>34.170041367949139</v>
      </c>
      <c r="T369">
        <v>31</v>
      </c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80CE-6730-174E-8E8D-A0FF57895401}">
  <dimension ref="A2:AN369"/>
  <sheetViews>
    <sheetView topLeftCell="W1" zoomScale="111" workbookViewId="0">
      <selection activeCell="Y17" sqref="Y17"/>
    </sheetView>
  </sheetViews>
  <sheetFormatPr baseColWidth="10" defaultRowHeight="20"/>
  <cols>
    <col min="1" max="1" width="11.42578125" style="53" bestFit="1" customWidth="1"/>
    <col min="20" max="20" width="11.42578125" style="53" bestFit="1" customWidth="1"/>
    <col min="21" max="21" width="15" customWidth="1"/>
  </cols>
  <sheetData>
    <row r="2" spans="1:31">
      <c r="C2">
        <v>5.3656205887659176</v>
      </c>
      <c r="D2">
        <v>0</v>
      </c>
      <c r="E2">
        <v>0</v>
      </c>
      <c r="F2">
        <v>5.3179073766994058</v>
      </c>
      <c r="G2">
        <v>3.8074290823476789</v>
      </c>
      <c r="H2">
        <v>-0.75404490265982793</v>
      </c>
      <c r="I2">
        <v>-0.9661306496536447</v>
      </c>
      <c r="J2">
        <v>4.914951809728664</v>
      </c>
      <c r="K2">
        <v>4.9235459496112179</v>
      </c>
      <c r="L2">
        <v>4.5246396658135168</v>
      </c>
      <c r="M2">
        <v>3.1591336869211086</v>
      </c>
      <c r="N2">
        <v>4.5865655790482771</v>
      </c>
      <c r="O2">
        <v>2.7009262610823073</v>
      </c>
      <c r="P2">
        <v>8.1332181007052498</v>
      </c>
      <c r="Q2">
        <v>0.57512576934356696</v>
      </c>
    </row>
    <row r="3" spans="1:31" ht="28" thickBot="1">
      <c r="A3" s="53" t="s">
        <v>0</v>
      </c>
      <c r="B3" s="68" t="s">
        <v>1</v>
      </c>
      <c r="C3" t="s">
        <v>60</v>
      </c>
      <c r="D3" t="s">
        <v>2</v>
      </c>
      <c r="E3" t="s">
        <v>3</v>
      </c>
      <c r="F3" t="s">
        <v>4</v>
      </c>
      <c r="G3" t="s">
        <v>5</v>
      </c>
      <c r="H3" t="s">
        <v>35</v>
      </c>
      <c r="I3" t="s">
        <v>42</v>
      </c>
      <c r="J3" t="s">
        <v>43</v>
      </c>
      <c r="K3" t="s">
        <v>44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t="s">
        <v>59</v>
      </c>
      <c r="R3" t="s">
        <v>50</v>
      </c>
      <c r="T3" s="67" t="s">
        <v>0</v>
      </c>
      <c r="U3" s="66" t="s">
        <v>8</v>
      </c>
      <c r="V3" s="66" t="s">
        <v>58</v>
      </c>
      <c r="X3">
        <f>SUM(W4:W369)</f>
        <v>32611.068012793636</v>
      </c>
    </row>
    <row r="4" spans="1:31">
      <c r="A4" s="53">
        <v>41091</v>
      </c>
      <c r="B4">
        <v>45</v>
      </c>
      <c r="C4">
        <v>1</v>
      </c>
      <c r="D4">
        <v>0</v>
      </c>
      <c r="E4">
        <v>0</v>
      </c>
      <c r="F4">
        <v>2</v>
      </c>
      <c r="G4">
        <v>1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f t="shared" ref="Q4:Q67" si="0">R4+10</f>
        <v>27</v>
      </c>
      <c r="R4">
        <v>17</v>
      </c>
      <c r="T4" s="53">
        <v>41091</v>
      </c>
      <c r="U4">
        <f t="shared" ref="U4:U67" si="1">SUMPRODUCT($C$2:$Q$2,C4:Q4)</f>
        <v>30.81299078082975</v>
      </c>
      <c r="V4">
        <v>45</v>
      </c>
      <c r="W4">
        <f t="shared" ref="W4:W67" si="2">(V4-U4)^2</f>
        <v>201.27123058482167</v>
      </c>
      <c r="X4">
        <f>COUNTA(W4:W369)</f>
        <v>366</v>
      </c>
      <c r="Z4" s="65"/>
      <c r="AA4" s="65" t="s">
        <v>28</v>
      </c>
    </row>
    <row r="5" spans="1:31" ht="21" thickBot="1">
      <c r="A5" s="53">
        <v>41092</v>
      </c>
      <c r="B5">
        <v>31</v>
      </c>
      <c r="C5">
        <v>1</v>
      </c>
      <c r="D5">
        <v>0</v>
      </c>
      <c r="E5">
        <v>0</v>
      </c>
      <c r="F5">
        <v>1</v>
      </c>
      <c r="G5">
        <v>1</v>
      </c>
      <c r="H5">
        <v>4</v>
      </c>
      <c r="I5">
        <v>0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f t="shared" si="0"/>
        <v>21</v>
      </c>
      <c r="R5">
        <v>11</v>
      </c>
      <c r="T5" s="53">
        <v>41092</v>
      </c>
      <c r="U5">
        <f t="shared" si="1"/>
        <v>28.467370403117258</v>
      </c>
      <c r="V5">
        <v>31</v>
      </c>
      <c r="W5">
        <f t="shared" si="2"/>
        <v>6.4142126750064419</v>
      </c>
      <c r="X5">
        <f>X3/X4</f>
        <v>89.101278723479879</v>
      </c>
      <c r="Z5" t="s">
        <v>22</v>
      </c>
      <c r="AA5">
        <v>5.3656205887659176</v>
      </c>
      <c r="AC5">
        <v>1</v>
      </c>
      <c r="AD5">
        <v>2</v>
      </c>
      <c r="AE5">
        <v>3</v>
      </c>
    </row>
    <row r="6" spans="1:31">
      <c r="A6" s="53">
        <v>41093</v>
      </c>
      <c r="B6">
        <v>12</v>
      </c>
      <c r="C6">
        <v>1</v>
      </c>
      <c r="D6">
        <v>0</v>
      </c>
      <c r="E6">
        <v>0</v>
      </c>
      <c r="F6">
        <v>1</v>
      </c>
      <c r="G6">
        <v>0</v>
      </c>
      <c r="H6">
        <v>2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f t="shared" si="0"/>
        <v>18</v>
      </c>
      <c r="R6">
        <v>8</v>
      </c>
      <c r="S6" s="51"/>
      <c r="T6" s="53">
        <v>41093</v>
      </c>
      <c r="U6">
        <f t="shared" si="1"/>
        <v>24.451247957941089</v>
      </c>
      <c r="V6">
        <v>12</v>
      </c>
      <c r="W6">
        <f t="shared" si="2"/>
        <v>155.03357571013214</v>
      </c>
      <c r="X6" s="70">
        <f>SQRT(X5)</f>
        <v>9.4393473674550119</v>
      </c>
      <c r="Z6" t="s">
        <v>2</v>
      </c>
      <c r="AA6">
        <v>0</v>
      </c>
    </row>
    <row r="7" spans="1:31" ht="21" thickBot="1">
      <c r="A7" s="53">
        <v>41094</v>
      </c>
      <c r="B7">
        <v>19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f t="shared" si="0"/>
        <v>21</v>
      </c>
      <c r="R7">
        <v>11</v>
      </c>
      <c r="T7" s="53">
        <v>41094</v>
      </c>
      <c r="U7">
        <f t="shared" si="1"/>
        <v>21.213856508134512</v>
      </c>
      <c r="V7">
        <v>19</v>
      </c>
      <c r="W7">
        <f t="shared" si="2"/>
        <v>4.901160638609535</v>
      </c>
      <c r="X7" s="71" t="s">
        <v>41</v>
      </c>
      <c r="Z7" t="s">
        <v>3</v>
      </c>
      <c r="AA7">
        <v>0</v>
      </c>
    </row>
    <row r="8" spans="1:31">
      <c r="A8" s="53">
        <v>41095</v>
      </c>
      <c r="B8">
        <v>16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f t="shared" si="0"/>
        <v>20</v>
      </c>
      <c r="R8">
        <v>10</v>
      </c>
      <c r="T8" s="53">
        <v>41095</v>
      </c>
      <c r="U8">
        <f t="shared" si="1"/>
        <v>19.27322475989854</v>
      </c>
      <c r="V8">
        <v>16</v>
      </c>
      <c r="W8">
        <f t="shared" si="2"/>
        <v>10.714000328812851</v>
      </c>
      <c r="Z8" t="s">
        <v>4</v>
      </c>
      <c r="AA8">
        <v>5.3179073766994058</v>
      </c>
    </row>
    <row r="9" spans="1:31">
      <c r="A9" s="53">
        <v>41096</v>
      </c>
      <c r="B9">
        <v>23</v>
      </c>
      <c r="C9">
        <v>1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f t="shared" si="0"/>
        <v>26</v>
      </c>
      <c r="R9">
        <v>16</v>
      </c>
      <c r="T9" s="53">
        <v>41096</v>
      </c>
      <c r="U9">
        <f t="shared" si="1"/>
        <v>24.151411268087106</v>
      </c>
      <c r="V9">
        <v>23</v>
      </c>
      <c r="W9">
        <f t="shared" si="2"/>
        <v>1.3257479082779571</v>
      </c>
      <c r="Z9" t="s">
        <v>5</v>
      </c>
      <c r="AA9">
        <v>3.8074290823476789</v>
      </c>
    </row>
    <row r="10" spans="1:31">
      <c r="A10" s="53">
        <v>41097</v>
      </c>
      <c r="B10">
        <v>34</v>
      </c>
      <c r="C10">
        <v>1</v>
      </c>
      <c r="D10">
        <v>0</v>
      </c>
      <c r="E10">
        <v>0</v>
      </c>
      <c r="F10">
        <v>1</v>
      </c>
      <c r="G10">
        <v>1</v>
      </c>
      <c r="H10">
        <v>4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f t="shared" si="0"/>
        <v>29</v>
      </c>
      <c r="R10">
        <v>19</v>
      </c>
      <c r="T10" s="53">
        <v>41097</v>
      </c>
      <c r="U10">
        <f t="shared" si="1"/>
        <v>30.854351009219435</v>
      </c>
      <c r="V10">
        <v>34</v>
      </c>
      <c r="W10">
        <f t="shared" si="2"/>
        <v>9.8951075731987856</v>
      </c>
      <c r="Z10" t="s">
        <v>6</v>
      </c>
      <c r="AA10">
        <v>-0.75404490265982793</v>
      </c>
    </row>
    <row r="11" spans="1:31">
      <c r="A11" s="53">
        <v>41098</v>
      </c>
      <c r="B11">
        <v>20</v>
      </c>
      <c r="C11">
        <v>1</v>
      </c>
      <c r="D11">
        <v>0</v>
      </c>
      <c r="E11">
        <v>0</v>
      </c>
      <c r="F11">
        <v>1</v>
      </c>
      <c r="G11">
        <v>1</v>
      </c>
      <c r="H11"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f t="shared" si="0"/>
        <v>30</v>
      </c>
      <c r="R11">
        <v>20</v>
      </c>
      <c r="T11" s="53">
        <v>41098</v>
      </c>
      <c r="U11">
        <f t="shared" si="1"/>
        <v>28.728550517480699</v>
      </c>
      <c r="V11">
        <v>20</v>
      </c>
      <c r="W11">
        <f t="shared" si="2"/>
        <v>76.187594136212567</v>
      </c>
      <c r="Z11" t="s">
        <v>57</v>
      </c>
      <c r="AA11">
        <v>-0.9661306496536447</v>
      </c>
    </row>
    <row r="12" spans="1:31">
      <c r="A12" s="53">
        <v>41099</v>
      </c>
      <c r="B12">
        <v>17</v>
      </c>
      <c r="C12">
        <v>1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f t="shared" si="0"/>
        <v>27</v>
      </c>
      <c r="R12">
        <v>17</v>
      </c>
      <c r="T12" s="53">
        <v>41099</v>
      </c>
      <c r="U12">
        <f t="shared" si="1"/>
        <v>25.054923268111061</v>
      </c>
      <c r="V12">
        <v>17</v>
      </c>
      <c r="W12">
        <f t="shared" si="2"/>
        <v>64.881788855156969</v>
      </c>
      <c r="Z12" t="s">
        <v>56</v>
      </c>
      <c r="AA12">
        <v>4.914951809728664</v>
      </c>
    </row>
    <row r="13" spans="1:31">
      <c r="A13" s="53">
        <v>41100</v>
      </c>
      <c r="B13">
        <v>9</v>
      </c>
      <c r="C13">
        <v>1</v>
      </c>
      <c r="D13">
        <v>0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f t="shared" si="0"/>
        <v>20</v>
      </c>
      <c r="R13">
        <v>10</v>
      </c>
      <c r="T13" s="53">
        <v>41100</v>
      </c>
      <c r="U13">
        <f t="shared" si="1"/>
        <v>21.037637022588648</v>
      </c>
      <c r="V13">
        <v>9</v>
      </c>
      <c r="W13">
        <f t="shared" si="2"/>
        <v>144.90470508759688</v>
      </c>
      <c r="Z13" t="s">
        <v>55</v>
      </c>
      <c r="AA13">
        <v>4.9235459496112179</v>
      </c>
    </row>
    <row r="14" spans="1:31">
      <c r="A14" s="53">
        <v>41101</v>
      </c>
      <c r="B14">
        <v>21</v>
      </c>
      <c r="C14">
        <v>1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f t="shared" si="0"/>
        <v>19</v>
      </c>
      <c r="R14">
        <v>9</v>
      </c>
      <c r="T14" s="53">
        <v>41101</v>
      </c>
      <c r="U14">
        <f t="shared" si="1"/>
        <v>20.063604969447379</v>
      </c>
      <c r="V14">
        <v>21</v>
      </c>
      <c r="W14">
        <f t="shared" si="2"/>
        <v>0.87683565324364399</v>
      </c>
      <c r="Z14" t="s">
        <v>54</v>
      </c>
      <c r="AA14">
        <v>4.5246396658135168</v>
      </c>
    </row>
    <row r="15" spans="1:31">
      <c r="A15" s="53">
        <v>41102</v>
      </c>
      <c r="B15">
        <v>21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f t="shared" si="0"/>
        <v>26</v>
      </c>
      <c r="R15">
        <v>16</v>
      </c>
      <c r="T15" s="53">
        <v>41102</v>
      </c>
      <c r="U15">
        <f t="shared" si="1"/>
        <v>22.723979375959939</v>
      </c>
      <c r="V15">
        <v>21</v>
      </c>
      <c r="W15">
        <f t="shared" si="2"/>
        <v>2.9721048887352195</v>
      </c>
      <c r="Z15" t="s">
        <v>53</v>
      </c>
      <c r="AA15">
        <v>3.1591336869211086</v>
      </c>
    </row>
    <row r="16" spans="1:31">
      <c r="A16" s="53">
        <v>41103</v>
      </c>
      <c r="B16">
        <v>23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f t="shared" si="0"/>
        <v>29</v>
      </c>
      <c r="R16">
        <v>19</v>
      </c>
      <c r="T16" s="53">
        <v>41103</v>
      </c>
      <c r="U16">
        <f t="shared" si="1"/>
        <v>25.876788576117807</v>
      </c>
      <c r="V16">
        <v>23</v>
      </c>
      <c r="W16">
        <f t="shared" si="2"/>
        <v>8.2759125116819199</v>
      </c>
      <c r="Z16" t="s">
        <v>52</v>
      </c>
      <c r="AA16">
        <v>4.5865655790482771</v>
      </c>
    </row>
    <row r="17" spans="1:40">
      <c r="A17" s="53">
        <v>41104</v>
      </c>
      <c r="B17">
        <v>38</v>
      </c>
      <c r="C17">
        <v>1</v>
      </c>
      <c r="D17">
        <v>0</v>
      </c>
      <c r="E17">
        <v>0</v>
      </c>
      <c r="F17">
        <v>2</v>
      </c>
      <c r="G17">
        <v>1</v>
      </c>
      <c r="H17">
        <v>6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f t="shared" si="0"/>
        <v>27</v>
      </c>
      <c r="R17">
        <v>17</v>
      </c>
      <c r="T17" s="53">
        <v>41104</v>
      </c>
      <c r="U17">
        <f t="shared" si="1"/>
        <v>33.513917041912052</v>
      </c>
      <c r="V17">
        <v>38</v>
      </c>
      <c r="W17">
        <f t="shared" si="2"/>
        <v>20.124940306847115</v>
      </c>
      <c r="Z17" t="s">
        <v>51</v>
      </c>
      <c r="AA17">
        <v>2.7009262610823073</v>
      </c>
    </row>
    <row r="18" spans="1:40">
      <c r="A18" s="53">
        <v>41105</v>
      </c>
      <c r="B18">
        <v>38</v>
      </c>
      <c r="C18">
        <v>1</v>
      </c>
      <c r="D18">
        <v>0</v>
      </c>
      <c r="E18">
        <v>0</v>
      </c>
      <c r="F18">
        <v>2</v>
      </c>
      <c r="G18">
        <v>1</v>
      </c>
      <c r="H18">
        <v>6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f t="shared" si="0"/>
        <v>33</v>
      </c>
      <c r="R18">
        <v>23</v>
      </c>
      <c r="T18" s="53">
        <v>41105</v>
      </c>
      <c r="U18">
        <f t="shared" si="1"/>
        <v>34.263745396891153</v>
      </c>
      <c r="V18">
        <v>38</v>
      </c>
      <c r="W18">
        <f t="shared" si="2"/>
        <v>13.959598459252048</v>
      </c>
      <c r="Z18" t="s">
        <v>49</v>
      </c>
      <c r="AA18">
        <v>8.1332181007052498</v>
      </c>
    </row>
    <row r="19" spans="1:40" ht="21" thickBot="1">
      <c r="A19" s="53">
        <v>41106</v>
      </c>
      <c r="B19">
        <v>25</v>
      </c>
      <c r="C19">
        <v>1</v>
      </c>
      <c r="D19">
        <v>0</v>
      </c>
      <c r="E19">
        <v>0</v>
      </c>
      <c r="F19">
        <v>1</v>
      </c>
      <c r="G19">
        <v>0</v>
      </c>
      <c r="H19">
        <v>2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f t="shared" si="0"/>
        <v>29</v>
      </c>
      <c r="R19">
        <v>19</v>
      </c>
      <c r="T19" s="53">
        <v>41106</v>
      </c>
      <c r="U19">
        <f t="shared" si="1"/>
        <v>29.802906631184129</v>
      </c>
      <c r="V19">
        <v>25</v>
      </c>
      <c r="W19">
        <f t="shared" si="2"/>
        <v>23.06791210787248</v>
      </c>
      <c r="Z19" s="58" t="s">
        <v>50</v>
      </c>
      <c r="AA19" s="58">
        <v>0.57512576934356696</v>
      </c>
    </row>
    <row r="20" spans="1:40">
      <c r="A20" s="53">
        <v>41107</v>
      </c>
      <c r="B20">
        <v>24</v>
      </c>
      <c r="C20">
        <v>1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f t="shared" si="0"/>
        <v>23</v>
      </c>
      <c r="R20">
        <v>13</v>
      </c>
      <c r="T20" s="53">
        <v>41107</v>
      </c>
      <c r="U20">
        <f t="shared" si="1"/>
        <v>22.763014330619349</v>
      </c>
      <c r="V20">
        <v>24</v>
      </c>
      <c r="W20">
        <f t="shared" si="2"/>
        <v>1.5301335462530976</v>
      </c>
    </row>
    <row r="21" spans="1:40">
      <c r="A21" s="53">
        <v>41108</v>
      </c>
      <c r="B21">
        <v>11</v>
      </c>
      <c r="C21">
        <v>1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f t="shared" si="0"/>
        <v>25</v>
      </c>
      <c r="R21">
        <v>15</v>
      </c>
      <c r="T21" s="53">
        <v>41108</v>
      </c>
      <c r="U21">
        <f t="shared" si="1"/>
        <v>23.514359585508778</v>
      </c>
      <c r="V21">
        <v>11</v>
      </c>
      <c r="W21">
        <f t="shared" si="2"/>
        <v>156.60919583541545</v>
      </c>
    </row>
    <row r="22" spans="1:40">
      <c r="A22" s="53">
        <v>41109</v>
      </c>
      <c r="B22">
        <v>19</v>
      </c>
      <c r="C22">
        <v>1</v>
      </c>
      <c r="D22">
        <v>0</v>
      </c>
      <c r="E22">
        <v>0</v>
      </c>
      <c r="F22">
        <v>0</v>
      </c>
      <c r="G22">
        <v>0</v>
      </c>
      <c r="H22">
        <v>1</v>
      </c>
      <c r="I22">
        <v>0</v>
      </c>
      <c r="J22">
        <v>0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f t="shared" si="0"/>
        <v>24</v>
      </c>
      <c r="R22">
        <v>14</v>
      </c>
      <c r="T22" s="53">
        <v>41109</v>
      </c>
      <c r="U22">
        <f t="shared" si="1"/>
        <v>21.573727837272806</v>
      </c>
      <c r="V22">
        <v>19</v>
      </c>
      <c r="W22">
        <f t="shared" si="2"/>
        <v>6.6240749803529537</v>
      </c>
    </row>
    <row r="23" spans="1:40">
      <c r="A23" s="53">
        <v>41110</v>
      </c>
      <c r="B23">
        <v>24</v>
      </c>
      <c r="C23">
        <v>1</v>
      </c>
      <c r="D23">
        <v>0</v>
      </c>
      <c r="E23">
        <v>0</v>
      </c>
      <c r="F23">
        <v>0</v>
      </c>
      <c r="G23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>
        <v>0</v>
      </c>
      <c r="P23">
        <v>0</v>
      </c>
      <c r="Q23">
        <f t="shared" si="0"/>
        <v>28</v>
      </c>
      <c r="R23">
        <v>18</v>
      </c>
      <c r="T23" s="53">
        <v>41110</v>
      </c>
      <c r="U23">
        <f t="shared" si="1"/>
        <v>25.301662806774242</v>
      </c>
      <c r="V23">
        <v>24</v>
      </c>
      <c r="W23">
        <f t="shared" si="2"/>
        <v>1.6943260625393988</v>
      </c>
    </row>
    <row r="24" spans="1:40">
      <c r="A24" s="53">
        <v>41111</v>
      </c>
      <c r="B24">
        <v>37</v>
      </c>
      <c r="C24">
        <v>1</v>
      </c>
      <c r="D24">
        <v>0</v>
      </c>
      <c r="E24">
        <v>0</v>
      </c>
      <c r="F24">
        <v>1</v>
      </c>
      <c r="G24">
        <v>1</v>
      </c>
      <c r="H24">
        <v>4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0</v>
      </c>
      <c r="Q24">
        <f t="shared" si="0"/>
        <v>32</v>
      </c>
      <c r="R24">
        <v>22</v>
      </c>
      <c r="T24" s="53">
        <v>41111</v>
      </c>
      <c r="U24">
        <f t="shared" si="1"/>
        <v>32.579728317250137</v>
      </c>
      <c r="V24">
        <v>37</v>
      </c>
      <c r="W24">
        <f t="shared" si="2"/>
        <v>19.53880174932031</v>
      </c>
    </row>
    <row r="25" spans="1:40">
      <c r="A25" s="53">
        <v>41112</v>
      </c>
      <c r="B25">
        <v>23</v>
      </c>
      <c r="C25">
        <v>1</v>
      </c>
      <c r="D25">
        <v>0</v>
      </c>
      <c r="E25">
        <v>0</v>
      </c>
      <c r="F25">
        <v>1</v>
      </c>
      <c r="G25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f t="shared" si="0"/>
        <v>33</v>
      </c>
      <c r="R25">
        <v>23</v>
      </c>
      <c r="T25" s="53">
        <v>41112</v>
      </c>
      <c r="U25">
        <f t="shared" si="1"/>
        <v>30.4539278255114</v>
      </c>
      <c r="V25">
        <v>23</v>
      </c>
      <c r="W25">
        <f t="shared" si="2"/>
        <v>55.561040027933103</v>
      </c>
      <c r="Z25" cm="1">
        <f t="array" ref="Z25:AN25">TRANSPOSE(AA5:AA19)</f>
        <v>5.3656205887659176</v>
      </c>
      <c r="AA25">
        <v>0</v>
      </c>
      <c r="AB25">
        <v>0</v>
      </c>
      <c r="AC25">
        <v>5.3179073766994058</v>
      </c>
      <c r="AD25">
        <v>3.8074290823476789</v>
      </c>
      <c r="AE25">
        <v>-0.75404490265982793</v>
      </c>
      <c r="AF25">
        <v>-0.9661306496536447</v>
      </c>
      <c r="AG25">
        <v>4.914951809728664</v>
      </c>
      <c r="AH25">
        <v>4.9235459496112179</v>
      </c>
      <c r="AI25">
        <v>4.5246396658135168</v>
      </c>
      <c r="AJ25">
        <v>3.1591336869211086</v>
      </c>
      <c r="AK25">
        <v>4.5865655790482771</v>
      </c>
      <c r="AL25">
        <v>2.7009262610823073</v>
      </c>
      <c r="AM25">
        <v>8.1332181007052498</v>
      </c>
      <c r="AN25">
        <v>0.57512576934356696</v>
      </c>
    </row>
    <row r="26" spans="1:40">
      <c r="A26" s="53">
        <v>41113</v>
      </c>
      <c r="B26">
        <v>27</v>
      </c>
      <c r="C26">
        <v>1</v>
      </c>
      <c r="D26">
        <v>0</v>
      </c>
      <c r="E26">
        <v>0</v>
      </c>
      <c r="F26">
        <v>0</v>
      </c>
      <c r="G26">
        <v>0</v>
      </c>
      <c r="H26">
        <v>1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f t="shared" si="0"/>
        <v>24</v>
      </c>
      <c r="R26">
        <v>14</v>
      </c>
      <c r="T26" s="53">
        <v>41113</v>
      </c>
      <c r="U26">
        <f t="shared" si="1"/>
        <v>23.32954596008036</v>
      </c>
      <c r="V26">
        <v>27</v>
      </c>
      <c r="W26">
        <f t="shared" si="2"/>
        <v>13.472232859162409</v>
      </c>
    </row>
    <row r="27" spans="1:40">
      <c r="A27" s="53">
        <v>41114</v>
      </c>
      <c r="B27">
        <v>31</v>
      </c>
      <c r="C27">
        <v>1</v>
      </c>
      <c r="D27">
        <v>0</v>
      </c>
      <c r="E27">
        <v>0</v>
      </c>
      <c r="F27">
        <v>1</v>
      </c>
      <c r="G27">
        <v>0</v>
      </c>
      <c r="H27">
        <v>2</v>
      </c>
      <c r="I27">
        <v>0</v>
      </c>
      <c r="J27">
        <v>0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f t="shared" si="0"/>
        <v>21</v>
      </c>
      <c r="R27">
        <v>11</v>
      </c>
      <c r="T27" s="53">
        <v>41114</v>
      </c>
      <c r="U27">
        <f t="shared" si="1"/>
        <v>26.17662526597179</v>
      </c>
      <c r="V27">
        <v>31</v>
      </c>
      <c r="W27">
        <f t="shared" si="2"/>
        <v>23.264943824861707</v>
      </c>
    </row>
    <row r="28" spans="1:40">
      <c r="A28" s="53">
        <v>41115</v>
      </c>
      <c r="B28">
        <v>17</v>
      </c>
      <c r="C28">
        <v>1</v>
      </c>
      <c r="D28">
        <v>0</v>
      </c>
      <c r="E28">
        <v>0</v>
      </c>
      <c r="F28">
        <v>0</v>
      </c>
      <c r="G28">
        <v>0</v>
      </c>
      <c r="H28">
        <v>1</v>
      </c>
      <c r="I28">
        <v>0</v>
      </c>
      <c r="J28">
        <v>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f t="shared" si="0"/>
        <v>24</v>
      </c>
      <c r="R28">
        <v>14</v>
      </c>
      <c r="T28" s="53">
        <v>41115</v>
      </c>
      <c r="U28">
        <f t="shared" si="1"/>
        <v>22.939233816165213</v>
      </c>
      <c r="V28">
        <v>17</v>
      </c>
      <c r="W28">
        <f t="shared" si="2"/>
        <v>35.274498323080401</v>
      </c>
    </row>
    <row r="29" spans="1:40">
      <c r="A29" s="53">
        <v>41116</v>
      </c>
      <c r="B29">
        <v>22</v>
      </c>
      <c r="C29">
        <v>1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0</v>
      </c>
      <c r="P29">
        <v>0</v>
      </c>
      <c r="Q29">
        <f t="shared" si="0"/>
        <v>27</v>
      </c>
      <c r="R29">
        <v>17</v>
      </c>
      <c r="T29" s="53">
        <v>41116</v>
      </c>
      <c r="U29">
        <f t="shared" si="1"/>
        <v>23.299105145303507</v>
      </c>
      <c r="V29">
        <v>22</v>
      </c>
      <c r="W29">
        <f t="shared" si="2"/>
        <v>1.6876741785540459</v>
      </c>
    </row>
    <row r="30" spans="1:40">
      <c r="A30" s="53">
        <v>41117</v>
      </c>
      <c r="B30">
        <v>25</v>
      </c>
      <c r="C30">
        <v>1</v>
      </c>
      <c r="D30">
        <v>0</v>
      </c>
      <c r="E30">
        <v>0</v>
      </c>
      <c r="F30">
        <v>1</v>
      </c>
      <c r="G30">
        <v>1</v>
      </c>
      <c r="H30">
        <v>4</v>
      </c>
      <c r="I30">
        <v>0</v>
      </c>
      <c r="J30">
        <v>0</v>
      </c>
      <c r="K30">
        <v>0</v>
      </c>
      <c r="L30">
        <v>0</v>
      </c>
      <c r="M30">
        <v>0</v>
      </c>
      <c r="N30">
        <v>1</v>
      </c>
      <c r="O30">
        <v>0</v>
      </c>
      <c r="P30">
        <v>0</v>
      </c>
      <c r="Q30">
        <f t="shared" si="0"/>
        <v>34</v>
      </c>
      <c r="R30">
        <v>24</v>
      </c>
      <c r="T30" s="53">
        <v>41117</v>
      </c>
      <c r="U30">
        <f t="shared" si="1"/>
        <v>35.615619173903241</v>
      </c>
      <c r="V30">
        <v>25</v>
      </c>
      <c r="W30">
        <f t="shared" si="2"/>
        <v>112.69137044534213</v>
      </c>
    </row>
    <row r="31" spans="1:40">
      <c r="A31" s="53">
        <v>41118</v>
      </c>
      <c r="B31">
        <v>48</v>
      </c>
      <c r="C31">
        <v>1</v>
      </c>
      <c r="D31">
        <v>0</v>
      </c>
      <c r="E31">
        <v>0</v>
      </c>
      <c r="F31">
        <v>3</v>
      </c>
      <c r="G31">
        <v>2</v>
      </c>
      <c r="H31">
        <v>12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f t="shared" si="0"/>
        <v>33</v>
      </c>
      <c r="R31">
        <v>23</v>
      </c>
      <c r="T31" s="53">
        <v>41118</v>
      </c>
      <c r="U31">
        <f t="shared" si="1"/>
        <v>41.565738701061576</v>
      </c>
      <c r="V31">
        <v>48</v>
      </c>
      <c r="W31">
        <f t="shared" si="2"/>
        <v>41.399718463016768</v>
      </c>
    </row>
    <row r="32" spans="1:40">
      <c r="A32" s="53">
        <v>41119</v>
      </c>
      <c r="B32">
        <v>43</v>
      </c>
      <c r="C32">
        <v>1</v>
      </c>
      <c r="D32">
        <v>0</v>
      </c>
      <c r="E32">
        <v>0</v>
      </c>
      <c r="F32">
        <v>2</v>
      </c>
      <c r="G32">
        <v>1</v>
      </c>
      <c r="H32">
        <v>6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f t="shared" si="0"/>
        <v>41</v>
      </c>
      <c r="R32">
        <v>31</v>
      </c>
      <c r="T32" s="53">
        <v>41119</v>
      </c>
      <c r="U32">
        <f t="shared" si="1"/>
        <v>38.864751551639685</v>
      </c>
      <c r="V32">
        <v>43</v>
      </c>
      <c r="W32">
        <f t="shared" si="2"/>
        <v>17.100279729666394</v>
      </c>
    </row>
    <row r="33" spans="1:23">
      <c r="A33" s="53">
        <v>41120</v>
      </c>
      <c r="B33">
        <v>31</v>
      </c>
      <c r="C33">
        <v>1</v>
      </c>
      <c r="D33">
        <v>0</v>
      </c>
      <c r="E33">
        <v>0</v>
      </c>
      <c r="F33">
        <v>1</v>
      </c>
      <c r="G33">
        <v>1</v>
      </c>
      <c r="H33">
        <v>4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f t="shared" si="0"/>
        <v>29</v>
      </c>
      <c r="R33">
        <v>19</v>
      </c>
      <c r="T33" s="53">
        <v>41120</v>
      </c>
      <c r="U33">
        <f t="shared" si="1"/>
        <v>33.06837655786579</v>
      </c>
      <c r="V33">
        <v>31</v>
      </c>
      <c r="W33">
        <f t="shared" si="2"/>
        <v>4.278181585128733</v>
      </c>
    </row>
    <row r="34" spans="1:23">
      <c r="A34" s="53">
        <v>41121</v>
      </c>
      <c r="B34">
        <v>42</v>
      </c>
      <c r="C34">
        <v>1</v>
      </c>
      <c r="D34">
        <v>0</v>
      </c>
      <c r="E34">
        <v>0</v>
      </c>
      <c r="F34">
        <v>1</v>
      </c>
      <c r="G34">
        <v>1</v>
      </c>
      <c r="H34">
        <v>4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f t="shared" si="0"/>
        <v>20</v>
      </c>
      <c r="R34">
        <v>10</v>
      </c>
      <c r="T34" s="53">
        <v>41121</v>
      </c>
      <c r="U34">
        <f t="shared" si="1"/>
        <v>27.900838773656247</v>
      </c>
      <c r="V34">
        <v>42</v>
      </c>
      <c r="W34">
        <f t="shared" si="2"/>
        <v>198.78634728643507</v>
      </c>
    </row>
    <row r="35" spans="1:23">
      <c r="A35" s="53">
        <v>41122</v>
      </c>
      <c r="B35">
        <v>41</v>
      </c>
      <c r="C35">
        <v>1</v>
      </c>
      <c r="D35">
        <v>0</v>
      </c>
      <c r="E35">
        <v>0</v>
      </c>
      <c r="F35">
        <v>0</v>
      </c>
      <c r="G35">
        <v>0</v>
      </c>
      <c r="H35">
        <v>1</v>
      </c>
      <c r="I35">
        <v>0</v>
      </c>
      <c r="J35">
        <v>0</v>
      </c>
      <c r="K35">
        <v>0</v>
      </c>
      <c r="L35">
        <v>1</v>
      </c>
      <c r="M35">
        <v>0</v>
      </c>
      <c r="N35">
        <v>0</v>
      </c>
      <c r="O35">
        <v>0</v>
      </c>
      <c r="P35">
        <v>0</v>
      </c>
      <c r="Q35">
        <f t="shared" si="0"/>
        <v>21</v>
      </c>
      <c r="R35">
        <v>11</v>
      </c>
      <c r="T35" s="53">
        <v>41122</v>
      </c>
      <c r="U35">
        <f t="shared" si="1"/>
        <v>21.213856508134512</v>
      </c>
      <c r="V35">
        <v>41</v>
      </c>
      <c r="W35">
        <f t="shared" si="2"/>
        <v>391.49147428069102</v>
      </c>
    </row>
    <row r="36" spans="1:23">
      <c r="A36" s="53">
        <v>41123</v>
      </c>
      <c r="B36">
        <v>30</v>
      </c>
      <c r="C36">
        <v>1</v>
      </c>
      <c r="D36">
        <v>0</v>
      </c>
      <c r="E36">
        <v>0</v>
      </c>
      <c r="F36">
        <v>0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1</v>
      </c>
      <c r="N36">
        <v>0</v>
      </c>
      <c r="O36">
        <v>0</v>
      </c>
      <c r="P36">
        <v>0</v>
      </c>
      <c r="Q36">
        <f t="shared" si="0"/>
        <v>22</v>
      </c>
      <c r="R36">
        <v>12</v>
      </c>
      <c r="T36" s="53">
        <v>41123</v>
      </c>
      <c r="U36">
        <f t="shared" si="1"/>
        <v>20.423476298585673</v>
      </c>
      <c r="V36">
        <v>30</v>
      </c>
      <c r="W36">
        <f t="shared" si="2"/>
        <v>91.709806203750375</v>
      </c>
    </row>
    <row r="37" spans="1:23">
      <c r="A37" s="53">
        <v>41124</v>
      </c>
      <c r="B37">
        <v>29</v>
      </c>
      <c r="C37">
        <v>1</v>
      </c>
      <c r="D37">
        <v>0</v>
      </c>
      <c r="E37">
        <v>0</v>
      </c>
      <c r="F37">
        <v>0</v>
      </c>
      <c r="G37">
        <v>0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  <c r="O37">
        <v>0</v>
      </c>
      <c r="P37">
        <v>0</v>
      </c>
      <c r="Q37">
        <f t="shared" si="0"/>
        <v>25</v>
      </c>
      <c r="R37">
        <v>15</v>
      </c>
      <c r="T37" s="53">
        <v>41124</v>
      </c>
      <c r="U37">
        <f t="shared" si="1"/>
        <v>23.576285498743538</v>
      </c>
      <c r="V37">
        <v>29</v>
      </c>
      <c r="W37">
        <f t="shared" si="2"/>
        <v>29.416678991139637</v>
      </c>
    </row>
    <row r="38" spans="1:23">
      <c r="A38" s="53">
        <v>41125</v>
      </c>
      <c r="B38">
        <v>31</v>
      </c>
      <c r="C38">
        <v>1</v>
      </c>
      <c r="D38">
        <v>0</v>
      </c>
      <c r="E38">
        <v>0</v>
      </c>
      <c r="F38">
        <v>1</v>
      </c>
      <c r="G38">
        <v>1</v>
      </c>
      <c r="H38">
        <v>4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0</v>
      </c>
      <c r="Q38">
        <f t="shared" si="0"/>
        <v>32</v>
      </c>
      <c r="R38">
        <v>22</v>
      </c>
      <c r="T38" s="53">
        <v>41125</v>
      </c>
      <c r="U38">
        <f t="shared" si="1"/>
        <v>32.579728317250137</v>
      </c>
      <c r="V38">
        <v>31</v>
      </c>
      <c r="W38">
        <f t="shared" si="2"/>
        <v>2.4955415563219483</v>
      </c>
    </row>
    <row r="39" spans="1:23">
      <c r="A39" s="53">
        <v>41126</v>
      </c>
      <c r="B39">
        <v>34</v>
      </c>
      <c r="C39">
        <v>1</v>
      </c>
      <c r="D39">
        <v>0</v>
      </c>
      <c r="E39">
        <v>0</v>
      </c>
      <c r="F39">
        <v>1</v>
      </c>
      <c r="G39">
        <v>1</v>
      </c>
      <c r="H39">
        <v>4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f t="shared" si="0"/>
        <v>22</v>
      </c>
      <c r="R39">
        <v>12</v>
      </c>
      <c r="T39" s="53">
        <v>41126</v>
      </c>
      <c r="U39">
        <f t="shared" si="1"/>
        <v>24.127544362732163</v>
      </c>
      <c r="V39">
        <v>34</v>
      </c>
      <c r="W39">
        <f t="shared" si="2"/>
        <v>97.465380309821498</v>
      </c>
    </row>
    <row r="40" spans="1:23">
      <c r="A40" s="53">
        <v>41127</v>
      </c>
      <c r="B40">
        <v>21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f t="shared" si="0"/>
        <v>25</v>
      </c>
      <c r="R40">
        <v>15</v>
      </c>
      <c r="T40" s="53">
        <v>41127</v>
      </c>
      <c r="U40">
        <f t="shared" si="1"/>
        <v>23.904671729423924</v>
      </c>
      <c r="V40">
        <v>21</v>
      </c>
      <c r="W40">
        <f t="shared" si="2"/>
        <v>8.4371178557145718</v>
      </c>
    </row>
    <row r="41" spans="1:23">
      <c r="A41" s="53">
        <v>41128</v>
      </c>
      <c r="B41">
        <v>21</v>
      </c>
      <c r="C41">
        <v>1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f t="shared" si="0"/>
        <v>23</v>
      </c>
      <c r="R41">
        <v>13</v>
      </c>
      <c r="T41" s="53">
        <v>41128</v>
      </c>
      <c r="U41">
        <f t="shared" si="1"/>
        <v>22.763014330619349</v>
      </c>
      <c r="V41">
        <v>21</v>
      </c>
      <c r="W41">
        <f t="shared" si="2"/>
        <v>3.1082195299691908</v>
      </c>
    </row>
    <row r="42" spans="1:23">
      <c r="A42" s="53">
        <v>41129</v>
      </c>
      <c r="B42">
        <v>22</v>
      </c>
      <c r="C42">
        <v>1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f t="shared" si="0"/>
        <v>25</v>
      </c>
      <c r="R42">
        <v>15</v>
      </c>
      <c r="T42" s="53">
        <v>41129</v>
      </c>
      <c r="U42">
        <f t="shared" si="1"/>
        <v>23.514359585508778</v>
      </c>
      <c r="V42">
        <v>22</v>
      </c>
      <c r="W42">
        <f t="shared" si="2"/>
        <v>2.2932849542223184</v>
      </c>
    </row>
    <row r="43" spans="1:23">
      <c r="A43" s="53">
        <v>41130</v>
      </c>
      <c r="B43">
        <v>12</v>
      </c>
      <c r="C43">
        <v>1</v>
      </c>
      <c r="D43">
        <v>0</v>
      </c>
      <c r="E43">
        <v>0</v>
      </c>
      <c r="F43">
        <v>0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1</v>
      </c>
      <c r="N43">
        <v>0</v>
      </c>
      <c r="O43">
        <v>0</v>
      </c>
      <c r="P43">
        <v>0</v>
      </c>
      <c r="Q43">
        <f t="shared" si="0"/>
        <v>21</v>
      </c>
      <c r="R43">
        <v>11</v>
      </c>
      <c r="T43" s="53">
        <v>41130</v>
      </c>
      <c r="U43">
        <f t="shared" si="1"/>
        <v>19.848350529242104</v>
      </c>
      <c r="V43">
        <v>12</v>
      </c>
      <c r="W43">
        <f t="shared" si="2"/>
        <v>61.596606029854819</v>
      </c>
    </row>
    <row r="44" spans="1:23">
      <c r="A44" s="53">
        <v>41131</v>
      </c>
      <c r="B44">
        <v>25</v>
      </c>
      <c r="C44">
        <v>1</v>
      </c>
      <c r="D44">
        <v>0</v>
      </c>
      <c r="E44">
        <v>0</v>
      </c>
      <c r="F44">
        <v>0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0</v>
      </c>
      <c r="P44">
        <v>0</v>
      </c>
      <c r="Q44">
        <f t="shared" si="0"/>
        <v>26</v>
      </c>
      <c r="R44">
        <v>16</v>
      </c>
      <c r="T44" s="53">
        <v>41131</v>
      </c>
      <c r="U44">
        <f t="shared" si="1"/>
        <v>24.151411268087106</v>
      </c>
      <c r="V44">
        <v>25</v>
      </c>
      <c r="W44">
        <f t="shared" si="2"/>
        <v>0.72010283592953384</v>
      </c>
    </row>
    <row r="45" spans="1:23">
      <c r="A45" s="53">
        <v>41132</v>
      </c>
      <c r="B45">
        <v>29</v>
      </c>
      <c r="C45">
        <v>1</v>
      </c>
      <c r="D45">
        <v>0</v>
      </c>
      <c r="E45">
        <v>0</v>
      </c>
      <c r="F45">
        <v>1</v>
      </c>
      <c r="G45">
        <v>1</v>
      </c>
      <c r="H45">
        <v>4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f t="shared" si="0"/>
        <v>23</v>
      </c>
      <c r="R45">
        <v>13</v>
      </c>
      <c r="T45" s="53">
        <v>41132</v>
      </c>
      <c r="U45">
        <f t="shared" si="1"/>
        <v>27.403596393158036</v>
      </c>
      <c r="V45">
        <v>29</v>
      </c>
      <c r="W45">
        <f t="shared" si="2"/>
        <v>2.5485044759380315</v>
      </c>
    </row>
    <row r="46" spans="1:23">
      <c r="A46" s="53">
        <v>41133</v>
      </c>
      <c r="B46">
        <v>14</v>
      </c>
      <c r="C46">
        <v>1</v>
      </c>
      <c r="D46">
        <v>0</v>
      </c>
      <c r="E46">
        <v>0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f t="shared" si="0"/>
        <v>10</v>
      </c>
      <c r="R46">
        <v>0</v>
      </c>
      <c r="T46" s="53">
        <v>41133</v>
      </c>
      <c r="U46">
        <f t="shared" si="1"/>
        <v>10.362833379541758</v>
      </c>
      <c r="V46">
        <v>14</v>
      </c>
      <c r="W46">
        <f t="shared" si="2"/>
        <v>13.228981024975628</v>
      </c>
    </row>
    <row r="47" spans="1:23">
      <c r="A47" s="53">
        <v>41134</v>
      </c>
      <c r="B47">
        <v>29</v>
      </c>
      <c r="C47">
        <v>1</v>
      </c>
      <c r="D47">
        <v>0</v>
      </c>
      <c r="E47">
        <v>0</v>
      </c>
      <c r="F47">
        <v>0</v>
      </c>
      <c r="G47">
        <v>0</v>
      </c>
      <c r="H47">
        <v>1</v>
      </c>
      <c r="I47">
        <v>0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f t="shared" si="0"/>
        <v>29</v>
      </c>
      <c r="R47">
        <v>19</v>
      </c>
      <c r="T47" s="53">
        <v>41134</v>
      </c>
      <c r="U47">
        <f t="shared" si="1"/>
        <v>26.205174806798194</v>
      </c>
      <c r="V47">
        <v>29</v>
      </c>
      <c r="W47">
        <f t="shared" si="2"/>
        <v>7.8110478605555125</v>
      </c>
    </row>
    <row r="48" spans="1:23">
      <c r="A48" s="53">
        <v>41135</v>
      </c>
      <c r="B48">
        <v>23</v>
      </c>
      <c r="C48">
        <v>1</v>
      </c>
      <c r="D48">
        <v>0</v>
      </c>
      <c r="E48">
        <v>0</v>
      </c>
      <c r="F48">
        <v>0</v>
      </c>
      <c r="G48">
        <v>0</v>
      </c>
      <c r="H48">
        <v>1</v>
      </c>
      <c r="I48">
        <v>0</v>
      </c>
      <c r="J48">
        <v>0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f t="shared" si="0"/>
        <v>27</v>
      </c>
      <c r="R48">
        <v>17</v>
      </c>
      <c r="T48" s="53">
        <v>41135</v>
      </c>
      <c r="U48">
        <f t="shared" si="1"/>
        <v>25.063517407993615</v>
      </c>
      <c r="V48">
        <v>23</v>
      </c>
      <c r="W48">
        <f t="shared" si="2"/>
        <v>4.2581040930926868</v>
      </c>
    </row>
    <row r="49" spans="1:23">
      <c r="A49" s="53">
        <v>41136</v>
      </c>
      <c r="B49">
        <v>19</v>
      </c>
      <c r="C49">
        <v>1</v>
      </c>
      <c r="D49">
        <v>0</v>
      </c>
      <c r="E49">
        <v>0</v>
      </c>
      <c r="F49">
        <v>0</v>
      </c>
      <c r="G49">
        <v>0</v>
      </c>
      <c r="H49">
        <v>1</v>
      </c>
      <c r="I49">
        <v>0</v>
      </c>
      <c r="J49">
        <v>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f t="shared" si="0"/>
        <v>15</v>
      </c>
      <c r="R49">
        <v>5</v>
      </c>
      <c r="T49" s="53">
        <v>41136</v>
      </c>
      <c r="U49">
        <f t="shared" si="1"/>
        <v>17.763101892073109</v>
      </c>
      <c r="V49">
        <v>19</v>
      </c>
      <c r="W49">
        <f t="shared" si="2"/>
        <v>1.5299169293931218</v>
      </c>
    </row>
    <row r="50" spans="1:23">
      <c r="A50" s="53">
        <v>41137</v>
      </c>
      <c r="B50">
        <v>16</v>
      </c>
      <c r="C50">
        <v>1</v>
      </c>
      <c r="D50">
        <v>0</v>
      </c>
      <c r="E50">
        <v>0</v>
      </c>
      <c r="F50">
        <v>0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  <c r="M50">
        <v>1</v>
      </c>
      <c r="N50">
        <v>0</v>
      </c>
      <c r="O50">
        <v>0</v>
      </c>
      <c r="P50">
        <v>0</v>
      </c>
      <c r="Q50">
        <f t="shared" si="0"/>
        <v>21</v>
      </c>
      <c r="R50">
        <v>11</v>
      </c>
      <c r="T50" s="53">
        <v>41137</v>
      </c>
      <c r="U50">
        <f t="shared" si="1"/>
        <v>19.848350529242104</v>
      </c>
      <c r="V50">
        <v>16</v>
      </c>
      <c r="W50">
        <f t="shared" si="2"/>
        <v>14.809801795917984</v>
      </c>
    </row>
    <row r="51" spans="1:23">
      <c r="A51" s="53">
        <v>41138</v>
      </c>
      <c r="B51">
        <v>29</v>
      </c>
      <c r="C51">
        <v>1</v>
      </c>
      <c r="D51">
        <v>0</v>
      </c>
      <c r="E51">
        <v>0</v>
      </c>
      <c r="F51">
        <v>0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f t="shared" si="0"/>
        <v>26</v>
      </c>
      <c r="R51">
        <v>16</v>
      </c>
      <c r="T51" s="53">
        <v>41138</v>
      </c>
      <c r="U51">
        <f t="shared" si="1"/>
        <v>24.151411268087106</v>
      </c>
      <c r="V51">
        <v>29</v>
      </c>
      <c r="W51">
        <f t="shared" si="2"/>
        <v>23.508812691232688</v>
      </c>
    </row>
    <row r="52" spans="1:23">
      <c r="A52" s="53">
        <v>41139</v>
      </c>
      <c r="B52">
        <v>22</v>
      </c>
      <c r="C52">
        <v>1</v>
      </c>
      <c r="D52">
        <v>0</v>
      </c>
      <c r="E52">
        <v>0</v>
      </c>
      <c r="F52">
        <v>1</v>
      </c>
      <c r="G52">
        <v>1</v>
      </c>
      <c r="H52">
        <v>4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0</v>
      </c>
      <c r="Q52">
        <f t="shared" si="0"/>
        <v>26</v>
      </c>
      <c r="R52">
        <v>16</v>
      </c>
      <c r="T52" s="53">
        <v>41139</v>
      </c>
      <c r="U52">
        <f t="shared" si="1"/>
        <v>29.128973701188734</v>
      </c>
      <c r="V52">
        <v>22</v>
      </c>
      <c r="W52">
        <f t="shared" si="2"/>
        <v>50.822266032240599</v>
      </c>
    </row>
    <row r="53" spans="1:23">
      <c r="A53" s="53">
        <v>41140</v>
      </c>
      <c r="B53">
        <v>23</v>
      </c>
      <c r="C53">
        <v>1</v>
      </c>
      <c r="D53">
        <v>0</v>
      </c>
      <c r="E53">
        <v>0</v>
      </c>
      <c r="F53">
        <v>1</v>
      </c>
      <c r="G53">
        <v>0</v>
      </c>
      <c r="H53">
        <v>2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f t="shared" si="0"/>
        <v>23</v>
      </c>
      <c r="R53">
        <v>13</v>
      </c>
      <c r="T53" s="53">
        <v>41140</v>
      </c>
      <c r="U53">
        <f t="shared" si="1"/>
        <v>22.403330855047706</v>
      </c>
      <c r="V53">
        <v>23</v>
      </c>
      <c r="W53">
        <f t="shared" si="2"/>
        <v>0.35601406853810169</v>
      </c>
    </row>
    <row r="54" spans="1:23">
      <c r="A54" s="53">
        <v>41141</v>
      </c>
      <c r="B54">
        <v>25</v>
      </c>
      <c r="C54">
        <v>1</v>
      </c>
      <c r="D54">
        <v>0</v>
      </c>
      <c r="E54">
        <v>0</v>
      </c>
      <c r="F54">
        <v>0</v>
      </c>
      <c r="G54">
        <v>0</v>
      </c>
      <c r="H54">
        <v>1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f t="shared" si="0"/>
        <v>23</v>
      </c>
      <c r="R54">
        <v>13</v>
      </c>
      <c r="T54" s="53">
        <v>41141</v>
      </c>
      <c r="U54">
        <f t="shared" si="1"/>
        <v>22.754420190736795</v>
      </c>
      <c r="V54">
        <v>25</v>
      </c>
      <c r="W54">
        <f t="shared" si="2"/>
        <v>5.0426286797705728</v>
      </c>
    </row>
    <row r="55" spans="1:23">
      <c r="A55" s="53">
        <v>41142</v>
      </c>
      <c r="B55">
        <v>19</v>
      </c>
      <c r="C55">
        <v>1</v>
      </c>
      <c r="D55">
        <v>0</v>
      </c>
      <c r="E55">
        <v>0</v>
      </c>
      <c r="F55">
        <v>0</v>
      </c>
      <c r="G55">
        <v>0</v>
      </c>
      <c r="H55">
        <v>1</v>
      </c>
      <c r="I55">
        <v>0</v>
      </c>
      <c r="J55">
        <v>0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f t="shared" si="0"/>
        <v>23</v>
      </c>
      <c r="R55">
        <v>13</v>
      </c>
      <c r="T55" s="53">
        <v>41142</v>
      </c>
      <c r="U55">
        <f t="shared" si="1"/>
        <v>22.763014330619349</v>
      </c>
      <c r="V55">
        <v>19</v>
      </c>
      <c r="W55">
        <f t="shared" si="2"/>
        <v>14.160276852446586</v>
      </c>
    </row>
    <row r="56" spans="1:23">
      <c r="A56" s="53">
        <v>41143</v>
      </c>
      <c r="B56">
        <v>21</v>
      </c>
      <c r="C56">
        <v>1</v>
      </c>
      <c r="D56">
        <v>0</v>
      </c>
      <c r="E56">
        <v>0</v>
      </c>
      <c r="F56">
        <v>0</v>
      </c>
      <c r="G56">
        <v>0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f t="shared" si="0"/>
        <v>18</v>
      </c>
      <c r="R56">
        <v>8</v>
      </c>
      <c r="T56" s="53">
        <v>41143</v>
      </c>
      <c r="U56">
        <f t="shared" si="1"/>
        <v>19.488479200103811</v>
      </c>
      <c r="V56">
        <v>21</v>
      </c>
      <c r="W56">
        <f t="shared" si="2"/>
        <v>2.2846951285188157</v>
      </c>
    </row>
    <row r="57" spans="1:23">
      <c r="A57" s="53">
        <v>41144</v>
      </c>
      <c r="B57">
        <v>26</v>
      </c>
      <c r="C57">
        <v>1</v>
      </c>
      <c r="D57">
        <v>0</v>
      </c>
      <c r="E57">
        <v>0</v>
      </c>
      <c r="F57">
        <v>0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  <c r="M57">
        <v>1</v>
      </c>
      <c r="N57">
        <v>0</v>
      </c>
      <c r="O57">
        <v>0</v>
      </c>
      <c r="P57">
        <v>0</v>
      </c>
      <c r="Q57">
        <f t="shared" si="0"/>
        <v>19</v>
      </c>
      <c r="R57">
        <v>9</v>
      </c>
      <c r="T57" s="53">
        <v>41144</v>
      </c>
      <c r="U57">
        <f t="shared" si="1"/>
        <v>18.698098990554971</v>
      </c>
      <c r="V57">
        <v>26</v>
      </c>
      <c r="W57">
        <f t="shared" si="2"/>
        <v>53.317758351734327</v>
      </c>
    </row>
    <row r="58" spans="1:23">
      <c r="A58" s="53">
        <v>41145</v>
      </c>
      <c r="B58">
        <v>23</v>
      </c>
      <c r="C58">
        <v>1</v>
      </c>
      <c r="D58">
        <v>0</v>
      </c>
      <c r="E58">
        <v>0</v>
      </c>
      <c r="F58">
        <v>1</v>
      </c>
      <c r="G58">
        <v>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f t="shared" si="0"/>
        <v>32</v>
      </c>
      <c r="R58">
        <v>22</v>
      </c>
      <c r="T58" s="53">
        <v>41145</v>
      </c>
      <c r="U58">
        <f t="shared" si="1"/>
        <v>32.166028358188086</v>
      </c>
      <c r="V58">
        <v>23</v>
      </c>
      <c r="W58">
        <f t="shared" si="2"/>
        <v>84.016075863108185</v>
      </c>
    </row>
    <row r="59" spans="1:23">
      <c r="A59" s="53">
        <v>41146</v>
      </c>
      <c r="B59">
        <v>31</v>
      </c>
      <c r="C59">
        <v>1</v>
      </c>
      <c r="D59">
        <v>0</v>
      </c>
      <c r="E59">
        <v>0</v>
      </c>
      <c r="F59">
        <v>2</v>
      </c>
      <c r="G59">
        <v>1</v>
      </c>
      <c r="H59">
        <v>6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0</v>
      </c>
      <c r="Q59">
        <f t="shared" si="0"/>
        <v>33</v>
      </c>
      <c r="R59">
        <v>23</v>
      </c>
      <c r="T59" s="53">
        <v>41146</v>
      </c>
      <c r="U59">
        <f t="shared" si="1"/>
        <v>36.964671657973454</v>
      </c>
      <c r="V59">
        <v>31</v>
      </c>
      <c r="W59">
        <f t="shared" si="2"/>
        <v>35.577307987431801</v>
      </c>
    </row>
    <row r="60" spans="1:23">
      <c r="A60" s="53">
        <v>41147</v>
      </c>
      <c r="B60">
        <v>37</v>
      </c>
      <c r="C60">
        <v>1</v>
      </c>
      <c r="D60">
        <v>0</v>
      </c>
      <c r="E60">
        <v>0</v>
      </c>
      <c r="F60">
        <v>1</v>
      </c>
      <c r="G60">
        <v>1</v>
      </c>
      <c r="H60">
        <v>4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f t="shared" si="0"/>
        <v>35</v>
      </c>
      <c r="R60">
        <v>25</v>
      </c>
      <c r="T60" s="53">
        <v>41147</v>
      </c>
      <c r="U60">
        <f t="shared" si="1"/>
        <v>31.604179364198533</v>
      </c>
      <c r="V60">
        <v>37</v>
      </c>
      <c r="W60">
        <f t="shared" si="2"/>
        <v>29.114880333740949</v>
      </c>
    </row>
    <row r="61" spans="1:23">
      <c r="A61" s="53">
        <v>41148</v>
      </c>
      <c r="B61">
        <v>36</v>
      </c>
      <c r="C61">
        <v>1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f t="shared" si="0"/>
        <v>34</v>
      </c>
      <c r="R61">
        <v>24</v>
      </c>
      <c r="T61" s="53">
        <v>41148</v>
      </c>
      <c r="U61">
        <f t="shared" si="1"/>
        <v>29.080803653516028</v>
      </c>
      <c r="V61">
        <v>36</v>
      </c>
      <c r="W61">
        <f t="shared" si="2"/>
        <v>47.875278081197145</v>
      </c>
    </row>
    <row r="62" spans="1:23">
      <c r="A62" s="53">
        <v>41149</v>
      </c>
      <c r="B62">
        <v>27</v>
      </c>
      <c r="C62">
        <v>1</v>
      </c>
      <c r="D62">
        <v>0</v>
      </c>
      <c r="E62">
        <v>0</v>
      </c>
      <c r="F62">
        <v>1</v>
      </c>
      <c r="G62">
        <v>1</v>
      </c>
      <c r="H62">
        <v>4</v>
      </c>
      <c r="I62">
        <v>0</v>
      </c>
      <c r="J62">
        <v>0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f t="shared" si="0"/>
        <v>31</v>
      </c>
      <c r="R62">
        <v>21</v>
      </c>
      <c r="T62" s="53">
        <v>41149</v>
      </c>
      <c r="U62">
        <f t="shared" si="1"/>
        <v>34.22722223643548</v>
      </c>
      <c r="V62">
        <v>27</v>
      </c>
      <c r="W62">
        <f t="shared" si="2"/>
        <v>52.232741254827467</v>
      </c>
    </row>
    <row r="63" spans="1:23">
      <c r="A63" s="53">
        <v>41150</v>
      </c>
      <c r="B63">
        <v>30</v>
      </c>
      <c r="C63">
        <v>1</v>
      </c>
      <c r="D63">
        <v>0</v>
      </c>
      <c r="E63">
        <v>0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f t="shared" si="0"/>
        <v>31</v>
      </c>
      <c r="R63">
        <v>21</v>
      </c>
      <c r="T63" s="53">
        <v>41150</v>
      </c>
      <c r="U63">
        <f t="shared" si="1"/>
        <v>26.965114201570181</v>
      </c>
      <c r="V63">
        <v>30</v>
      </c>
      <c r="W63">
        <f t="shared" si="2"/>
        <v>9.2105318095110018</v>
      </c>
    </row>
    <row r="64" spans="1:23">
      <c r="A64" s="53">
        <v>41151</v>
      </c>
      <c r="B64">
        <v>38</v>
      </c>
      <c r="C64">
        <v>1</v>
      </c>
      <c r="D64">
        <v>0</v>
      </c>
      <c r="E64">
        <v>0</v>
      </c>
      <c r="F64">
        <v>1</v>
      </c>
      <c r="G64">
        <v>0</v>
      </c>
      <c r="H64">
        <v>2</v>
      </c>
      <c r="I64">
        <v>0</v>
      </c>
      <c r="J64">
        <v>0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f t="shared" si="0"/>
        <v>24</v>
      </c>
      <c r="R64">
        <v>14</v>
      </c>
      <c r="T64" s="53">
        <v>41151</v>
      </c>
      <c r="U64">
        <f t="shared" si="1"/>
        <v>26.137590311312383</v>
      </c>
      <c r="V64">
        <v>38</v>
      </c>
      <c r="W64">
        <f t="shared" si="2"/>
        <v>140.71676362226984</v>
      </c>
    </row>
    <row r="65" spans="1:23">
      <c r="A65" s="53">
        <v>41152</v>
      </c>
      <c r="B65">
        <v>28</v>
      </c>
      <c r="C65">
        <v>1</v>
      </c>
      <c r="D65">
        <v>0</v>
      </c>
      <c r="E65">
        <v>0</v>
      </c>
      <c r="F65">
        <v>1</v>
      </c>
      <c r="G65">
        <v>1</v>
      </c>
      <c r="H65">
        <v>4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f t="shared" si="0"/>
        <v>16</v>
      </c>
      <c r="R65">
        <v>6</v>
      </c>
      <c r="T65" s="53">
        <v>41152</v>
      </c>
      <c r="U65">
        <f t="shared" si="1"/>
        <v>25.263355325719036</v>
      </c>
      <c r="V65">
        <v>28</v>
      </c>
      <c r="W65">
        <f t="shared" si="2"/>
        <v>7.4892240732703614</v>
      </c>
    </row>
    <row r="66" spans="1:23">
      <c r="A66" s="53">
        <v>41153</v>
      </c>
      <c r="B66">
        <v>44</v>
      </c>
      <c r="C66">
        <v>1</v>
      </c>
      <c r="D66">
        <v>0</v>
      </c>
      <c r="E66">
        <v>0</v>
      </c>
      <c r="F66">
        <v>2</v>
      </c>
      <c r="G66">
        <v>1</v>
      </c>
      <c r="H66">
        <v>6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f t="shared" si="0"/>
        <v>24</v>
      </c>
      <c r="R66">
        <v>14</v>
      </c>
      <c r="T66" s="53">
        <v>41153</v>
      </c>
      <c r="U66">
        <f t="shared" si="1"/>
        <v>31.788539733881354</v>
      </c>
      <c r="V66">
        <v>44</v>
      </c>
      <c r="W66">
        <f t="shared" si="2"/>
        <v>149.11976183099446</v>
      </c>
    </row>
    <row r="67" spans="1:23">
      <c r="A67" s="53">
        <v>41154</v>
      </c>
      <c r="B67">
        <v>40</v>
      </c>
      <c r="C67">
        <v>1</v>
      </c>
      <c r="D67">
        <v>0</v>
      </c>
      <c r="E67">
        <v>0</v>
      </c>
      <c r="F67">
        <v>1</v>
      </c>
      <c r="G67">
        <v>1</v>
      </c>
      <c r="H67">
        <v>4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f t="shared" si="0"/>
        <v>21</v>
      </c>
      <c r="R67">
        <v>11</v>
      </c>
      <c r="T67" s="53">
        <v>41154</v>
      </c>
      <c r="U67">
        <f t="shared" si="1"/>
        <v>23.552418593388595</v>
      </c>
      <c r="V67">
        <v>40</v>
      </c>
      <c r="W67">
        <f t="shared" si="2"/>
        <v>270.52293412710924</v>
      </c>
    </row>
    <row r="68" spans="1:23">
      <c r="A68" s="53">
        <v>41155</v>
      </c>
      <c r="B68">
        <v>35</v>
      </c>
      <c r="C68">
        <v>1</v>
      </c>
      <c r="D68">
        <v>0</v>
      </c>
      <c r="E68">
        <v>0</v>
      </c>
      <c r="F68">
        <v>1</v>
      </c>
      <c r="G68">
        <v>0</v>
      </c>
      <c r="H68">
        <v>2</v>
      </c>
      <c r="I68">
        <v>0</v>
      </c>
      <c r="J68">
        <v>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f t="shared" ref="Q68:Q131" si="3">R68+10</f>
        <v>19</v>
      </c>
      <c r="R68">
        <v>9</v>
      </c>
      <c r="T68" s="53">
        <v>41155</v>
      </c>
      <c r="U68">
        <f t="shared" ref="U68:U131" si="4">SUMPRODUCT($C$2:$Q$2,C68:Q68)</f>
        <v>25.017779587402103</v>
      </c>
      <c r="V68">
        <v>35</v>
      </c>
      <c r="W68">
        <f t="shared" ref="W68:W131" si="5">(V68-U68)^2</f>
        <v>99.64472436568613</v>
      </c>
    </row>
    <row r="69" spans="1:23">
      <c r="A69" s="53">
        <v>41156</v>
      </c>
      <c r="B69">
        <v>13</v>
      </c>
      <c r="C69">
        <v>1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f t="shared" si="3"/>
        <v>20</v>
      </c>
      <c r="R69">
        <v>10</v>
      </c>
      <c r="T69" s="53">
        <v>41156</v>
      </c>
      <c r="U69">
        <f t="shared" si="4"/>
        <v>21.037637022588648</v>
      </c>
      <c r="V69">
        <v>13</v>
      </c>
      <c r="W69">
        <f t="shared" si="5"/>
        <v>64.6036089068877</v>
      </c>
    </row>
    <row r="70" spans="1:23">
      <c r="A70" s="53">
        <v>41157</v>
      </c>
      <c r="B70">
        <v>15</v>
      </c>
      <c r="C70">
        <v>1</v>
      </c>
      <c r="D70">
        <v>0</v>
      </c>
      <c r="E70">
        <v>0</v>
      </c>
      <c r="F70">
        <v>0</v>
      </c>
      <c r="G70">
        <v>0</v>
      </c>
      <c r="H70">
        <v>1</v>
      </c>
      <c r="I70">
        <v>0</v>
      </c>
      <c r="J70">
        <v>0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f t="shared" si="3"/>
        <v>16</v>
      </c>
      <c r="R70">
        <v>6</v>
      </c>
      <c r="T70" s="53">
        <v>41157</v>
      </c>
      <c r="U70">
        <f t="shared" si="4"/>
        <v>18.338227661416678</v>
      </c>
      <c r="V70">
        <v>15</v>
      </c>
      <c r="W70">
        <f t="shared" si="5"/>
        <v>11.14376391944746</v>
      </c>
    </row>
    <row r="71" spans="1:23">
      <c r="A71" s="53">
        <v>41158</v>
      </c>
      <c r="B71">
        <v>19</v>
      </c>
      <c r="C71">
        <v>1</v>
      </c>
      <c r="D71">
        <v>0</v>
      </c>
      <c r="E71">
        <v>0</v>
      </c>
      <c r="F71">
        <v>0</v>
      </c>
      <c r="G71">
        <v>0</v>
      </c>
      <c r="H71">
        <v>1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0</v>
      </c>
      <c r="Q71">
        <f t="shared" si="3"/>
        <v>20</v>
      </c>
      <c r="R71">
        <v>10</v>
      </c>
      <c r="T71" s="53">
        <v>41158</v>
      </c>
      <c r="U71">
        <f t="shared" si="4"/>
        <v>19.27322475989854</v>
      </c>
      <c r="V71">
        <v>19</v>
      </c>
      <c r="W71">
        <f t="shared" si="5"/>
        <v>7.4651769421614597E-2</v>
      </c>
    </row>
    <row r="72" spans="1:23">
      <c r="A72" s="53">
        <v>41159</v>
      </c>
      <c r="B72">
        <v>23</v>
      </c>
      <c r="C72">
        <v>1</v>
      </c>
      <c r="D72">
        <v>0</v>
      </c>
      <c r="E72">
        <v>0</v>
      </c>
      <c r="F72">
        <v>0</v>
      </c>
      <c r="G72">
        <v>0</v>
      </c>
      <c r="H72">
        <v>1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0</v>
      </c>
      <c r="P72">
        <v>0</v>
      </c>
      <c r="Q72">
        <f t="shared" si="3"/>
        <v>17</v>
      </c>
      <c r="R72">
        <v>7</v>
      </c>
      <c r="T72" s="53">
        <v>41159</v>
      </c>
      <c r="U72">
        <f t="shared" si="4"/>
        <v>18.975279343995005</v>
      </c>
      <c r="V72">
        <v>23</v>
      </c>
      <c r="W72">
        <f t="shared" si="5"/>
        <v>16.198376358873276</v>
      </c>
    </row>
    <row r="73" spans="1:23">
      <c r="A73" s="53">
        <v>41160</v>
      </c>
      <c r="B73">
        <v>18</v>
      </c>
      <c r="C73">
        <v>1</v>
      </c>
      <c r="D73">
        <v>0</v>
      </c>
      <c r="E73">
        <v>0</v>
      </c>
      <c r="F73">
        <v>1</v>
      </c>
      <c r="G73">
        <v>1</v>
      </c>
      <c r="H73">
        <v>4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1</v>
      </c>
      <c r="P73">
        <v>0</v>
      </c>
      <c r="Q73">
        <f t="shared" si="3"/>
        <v>25</v>
      </c>
      <c r="R73">
        <v>15</v>
      </c>
      <c r="T73" s="53">
        <v>41160</v>
      </c>
      <c r="U73">
        <f t="shared" si="4"/>
        <v>28.553847931845169</v>
      </c>
      <c r="V73">
        <v>18</v>
      </c>
      <c r="W73">
        <f t="shared" si="5"/>
        <v>111.38370616851256</v>
      </c>
    </row>
    <row r="74" spans="1:23">
      <c r="A74" s="53">
        <v>41161</v>
      </c>
      <c r="B74">
        <v>33</v>
      </c>
      <c r="C74">
        <v>1</v>
      </c>
      <c r="D74">
        <v>0</v>
      </c>
      <c r="E74">
        <v>0</v>
      </c>
      <c r="F74">
        <v>1</v>
      </c>
      <c r="G74">
        <v>1</v>
      </c>
      <c r="H74">
        <v>4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f t="shared" si="3"/>
        <v>23</v>
      </c>
      <c r="R74">
        <v>13</v>
      </c>
      <c r="T74" s="53">
        <v>41161</v>
      </c>
      <c r="U74">
        <f t="shared" si="4"/>
        <v>24.702670132075731</v>
      </c>
      <c r="V74">
        <v>33</v>
      </c>
      <c r="W74">
        <f t="shared" si="5"/>
        <v>68.845682937148169</v>
      </c>
    </row>
    <row r="75" spans="1:23">
      <c r="A75" s="53">
        <v>41162</v>
      </c>
      <c r="B75">
        <v>28</v>
      </c>
      <c r="C75">
        <v>1</v>
      </c>
      <c r="D75">
        <v>0</v>
      </c>
      <c r="E75">
        <v>0</v>
      </c>
      <c r="F75">
        <v>0</v>
      </c>
      <c r="G75">
        <v>0</v>
      </c>
      <c r="H75">
        <v>1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f t="shared" si="3"/>
        <v>24</v>
      </c>
      <c r="R75">
        <v>14</v>
      </c>
      <c r="T75" s="53">
        <v>41162</v>
      </c>
      <c r="U75">
        <f t="shared" si="4"/>
        <v>23.32954596008036</v>
      </c>
      <c r="V75">
        <v>28</v>
      </c>
      <c r="W75">
        <f t="shared" si="5"/>
        <v>21.813140939001691</v>
      </c>
    </row>
    <row r="76" spans="1:23">
      <c r="A76" s="53">
        <v>41163</v>
      </c>
      <c r="B76">
        <v>22</v>
      </c>
      <c r="C76">
        <v>1</v>
      </c>
      <c r="D76">
        <v>0</v>
      </c>
      <c r="E76">
        <v>0</v>
      </c>
      <c r="F76">
        <v>0</v>
      </c>
      <c r="G76">
        <v>0</v>
      </c>
      <c r="H76">
        <v>1</v>
      </c>
      <c r="I76">
        <v>0</v>
      </c>
      <c r="J76">
        <v>0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f t="shared" si="3"/>
        <v>26</v>
      </c>
      <c r="R76">
        <v>16</v>
      </c>
      <c r="T76" s="53">
        <v>41163</v>
      </c>
      <c r="U76">
        <f t="shared" si="4"/>
        <v>24.488391638650047</v>
      </c>
      <c r="V76">
        <v>22</v>
      </c>
      <c r="W76">
        <f t="shared" si="5"/>
        <v>6.1920929473034647</v>
      </c>
    </row>
    <row r="77" spans="1:23">
      <c r="A77" s="53">
        <v>41164</v>
      </c>
      <c r="B77">
        <v>26</v>
      </c>
      <c r="C77">
        <v>1</v>
      </c>
      <c r="D77">
        <v>0</v>
      </c>
      <c r="E77">
        <v>0</v>
      </c>
      <c r="F77">
        <v>0</v>
      </c>
      <c r="G77">
        <v>0</v>
      </c>
      <c r="H77">
        <v>1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f t="shared" si="3"/>
        <v>20</v>
      </c>
      <c r="R77">
        <v>10</v>
      </c>
      <c r="T77" s="53">
        <v>41164</v>
      </c>
      <c r="U77">
        <f t="shared" si="4"/>
        <v>20.638730738790947</v>
      </c>
      <c r="V77">
        <v>26</v>
      </c>
      <c r="W77">
        <f t="shared" si="5"/>
        <v>28.74320809118506</v>
      </c>
    </row>
    <row r="78" spans="1:23">
      <c r="A78" s="53">
        <v>41165</v>
      </c>
      <c r="B78">
        <v>26</v>
      </c>
      <c r="C78">
        <v>1</v>
      </c>
      <c r="D78">
        <v>0</v>
      </c>
      <c r="E78">
        <v>0</v>
      </c>
      <c r="F78">
        <v>0</v>
      </c>
      <c r="G78">
        <v>0</v>
      </c>
      <c r="H78">
        <v>1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O78">
        <v>0</v>
      </c>
      <c r="P78">
        <v>0</v>
      </c>
      <c r="Q78">
        <f t="shared" si="3"/>
        <v>21</v>
      </c>
      <c r="R78">
        <v>11</v>
      </c>
      <c r="T78" s="53">
        <v>41165</v>
      </c>
      <c r="U78">
        <f t="shared" si="4"/>
        <v>19.848350529242104</v>
      </c>
      <c r="V78">
        <v>26</v>
      </c>
      <c r="W78">
        <f t="shared" si="5"/>
        <v>37.842791211075898</v>
      </c>
    </row>
    <row r="79" spans="1:23">
      <c r="A79" s="53">
        <v>41166</v>
      </c>
      <c r="B79">
        <v>25</v>
      </c>
      <c r="C79">
        <v>1</v>
      </c>
      <c r="D79">
        <v>0</v>
      </c>
      <c r="E79">
        <v>0</v>
      </c>
      <c r="F79">
        <v>0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f t="shared" si="3"/>
        <v>24</v>
      </c>
      <c r="R79">
        <v>14</v>
      </c>
      <c r="T79" s="53">
        <v>41166</v>
      </c>
      <c r="U79">
        <f t="shared" si="4"/>
        <v>23.001159729399973</v>
      </c>
      <c r="V79">
        <v>25</v>
      </c>
      <c r="W79">
        <f t="shared" si="5"/>
        <v>3.99536242737239</v>
      </c>
    </row>
    <row r="80" spans="1:23">
      <c r="A80" s="53">
        <v>41167</v>
      </c>
      <c r="B80">
        <v>36</v>
      </c>
      <c r="C80">
        <v>1</v>
      </c>
      <c r="D80">
        <v>0</v>
      </c>
      <c r="E80">
        <v>0</v>
      </c>
      <c r="F80">
        <v>2</v>
      </c>
      <c r="G80">
        <v>1</v>
      </c>
      <c r="H80">
        <v>6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1</v>
      </c>
      <c r="P80">
        <v>0</v>
      </c>
      <c r="Q80">
        <f t="shared" si="3"/>
        <v>31</v>
      </c>
      <c r="R80">
        <v>21</v>
      </c>
      <c r="T80" s="53">
        <v>41167</v>
      </c>
      <c r="U80">
        <f t="shared" si="4"/>
        <v>35.814420119286325</v>
      </c>
      <c r="V80">
        <v>36</v>
      </c>
      <c r="W80">
        <f t="shared" si="5"/>
        <v>3.4439892125701858E-2</v>
      </c>
    </row>
    <row r="81" spans="1:23">
      <c r="A81" s="53">
        <v>41168</v>
      </c>
      <c r="B81">
        <v>45</v>
      </c>
      <c r="C81">
        <v>1</v>
      </c>
      <c r="D81">
        <v>0</v>
      </c>
      <c r="E81">
        <v>0</v>
      </c>
      <c r="F81">
        <v>2</v>
      </c>
      <c r="G81">
        <v>2</v>
      </c>
      <c r="H81">
        <v>9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f t="shared" si="3"/>
        <v>29</v>
      </c>
      <c r="R81">
        <v>19</v>
      </c>
      <c r="T81" s="53">
        <v>41168</v>
      </c>
      <c r="U81">
        <f t="shared" si="4"/>
        <v>33.508536693885077</v>
      </c>
      <c r="V81">
        <v>45</v>
      </c>
      <c r="W81">
        <f t="shared" si="5"/>
        <v>132.05372891578571</v>
      </c>
    </row>
    <row r="82" spans="1:23">
      <c r="A82" s="53">
        <v>41169</v>
      </c>
      <c r="B82">
        <v>26</v>
      </c>
      <c r="C82">
        <v>1</v>
      </c>
      <c r="D82">
        <v>0</v>
      </c>
      <c r="E82">
        <v>0</v>
      </c>
      <c r="F82">
        <v>1</v>
      </c>
      <c r="G82">
        <v>0</v>
      </c>
      <c r="H82">
        <v>2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f t="shared" si="3"/>
        <v>28</v>
      </c>
      <c r="R82">
        <v>18</v>
      </c>
      <c r="T82" s="53">
        <v>41169</v>
      </c>
      <c r="U82">
        <f t="shared" si="4"/>
        <v>29.227780861840564</v>
      </c>
      <c r="V82">
        <v>26</v>
      </c>
      <c r="W82">
        <f t="shared" si="5"/>
        <v>10.418569292064216</v>
      </c>
    </row>
    <row r="83" spans="1:23">
      <c r="A83" s="53">
        <v>41170</v>
      </c>
      <c r="B83">
        <v>34</v>
      </c>
      <c r="C83">
        <v>1</v>
      </c>
      <c r="D83">
        <v>0</v>
      </c>
      <c r="E83">
        <v>0</v>
      </c>
      <c r="F83">
        <v>1</v>
      </c>
      <c r="G83">
        <v>0</v>
      </c>
      <c r="H83">
        <v>2</v>
      </c>
      <c r="I83">
        <v>0</v>
      </c>
      <c r="J83">
        <v>0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f t="shared" si="3"/>
        <v>31</v>
      </c>
      <c r="R83">
        <v>21</v>
      </c>
      <c r="T83" s="53">
        <v>41170</v>
      </c>
      <c r="U83">
        <f t="shared" si="4"/>
        <v>31.927882959407459</v>
      </c>
      <c r="V83">
        <v>34</v>
      </c>
      <c r="W83">
        <f t="shared" si="5"/>
        <v>4.2936690299139917</v>
      </c>
    </row>
    <row r="84" spans="1:23">
      <c r="A84" s="53">
        <v>41171</v>
      </c>
      <c r="B84">
        <v>24</v>
      </c>
      <c r="C84">
        <v>1</v>
      </c>
      <c r="D84">
        <v>0</v>
      </c>
      <c r="E84">
        <v>0</v>
      </c>
      <c r="F84">
        <v>1</v>
      </c>
      <c r="G84">
        <v>0</v>
      </c>
      <c r="H84">
        <v>2</v>
      </c>
      <c r="I84">
        <v>0</v>
      </c>
      <c r="J84">
        <v>0</v>
      </c>
      <c r="K84">
        <v>0</v>
      </c>
      <c r="L84">
        <v>1</v>
      </c>
      <c r="M84">
        <v>0</v>
      </c>
      <c r="N84">
        <v>0</v>
      </c>
      <c r="O84">
        <v>0</v>
      </c>
      <c r="P84">
        <v>0</v>
      </c>
      <c r="Q84">
        <f t="shared" si="3"/>
        <v>22</v>
      </c>
      <c r="R84">
        <v>12</v>
      </c>
      <c r="T84" s="53">
        <v>41171</v>
      </c>
      <c r="U84">
        <f t="shared" si="4"/>
        <v>26.352844751517658</v>
      </c>
      <c r="V84">
        <v>24</v>
      </c>
      <c r="W84">
        <f t="shared" si="5"/>
        <v>5.5358784247441903</v>
      </c>
    </row>
    <row r="85" spans="1:23">
      <c r="A85" s="53">
        <v>41172</v>
      </c>
      <c r="B85">
        <v>28</v>
      </c>
      <c r="C85">
        <v>1</v>
      </c>
      <c r="D85">
        <v>0</v>
      </c>
      <c r="E85">
        <v>0</v>
      </c>
      <c r="F85">
        <v>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  <c r="M85">
        <v>1</v>
      </c>
      <c r="N85">
        <v>0</v>
      </c>
      <c r="O85">
        <v>0</v>
      </c>
      <c r="P85">
        <v>0</v>
      </c>
      <c r="Q85">
        <f t="shared" si="3"/>
        <v>34</v>
      </c>
      <c r="R85">
        <v>24</v>
      </c>
      <c r="T85" s="53">
        <v>41172</v>
      </c>
      <c r="U85">
        <f t="shared" si="4"/>
        <v>31.888848004748052</v>
      </c>
      <c r="V85">
        <v>28</v>
      </c>
      <c r="W85">
        <f t="shared" si="5"/>
        <v>15.123138804032905</v>
      </c>
    </row>
    <row r="86" spans="1:23">
      <c r="A86" s="53">
        <v>41173</v>
      </c>
      <c r="B86">
        <v>36</v>
      </c>
      <c r="C86">
        <v>1</v>
      </c>
      <c r="D86">
        <v>0</v>
      </c>
      <c r="E86">
        <v>0</v>
      </c>
      <c r="F86">
        <v>1</v>
      </c>
      <c r="G86">
        <v>0</v>
      </c>
      <c r="H86">
        <v>2</v>
      </c>
      <c r="I86">
        <v>0</v>
      </c>
      <c r="J86">
        <v>0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f t="shared" si="3"/>
        <v>46</v>
      </c>
      <c r="R86">
        <v>36</v>
      </c>
      <c r="T86" s="53">
        <v>41173</v>
      </c>
      <c r="U86">
        <f t="shared" si="4"/>
        <v>40.217789128998021</v>
      </c>
      <c r="V86">
        <v>36</v>
      </c>
      <c r="W86">
        <f t="shared" si="5"/>
        <v>17.789745136693885</v>
      </c>
    </row>
    <row r="87" spans="1:23">
      <c r="A87" s="53">
        <v>41174</v>
      </c>
      <c r="B87">
        <v>49</v>
      </c>
      <c r="C87">
        <v>1</v>
      </c>
      <c r="D87">
        <v>0</v>
      </c>
      <c r="E87">
        <v>0</v>
      </c>
      <c r="F87">
        <v>2</v>
      </c>
      <c r="G87">
        <v>1</v>
      </c>
      <c r="H87">
        <v>6</v>
      </c>
      <c r="I87">
        <v>1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f t="shared" si="3"/>
        <v>57</v>
      </c>
      <c r="R87">
        <v>47</v>
      </c>
      <c r="T87" s="53">
        <v>41174</v>
      </c>
      <c r="U87">
        <f t="shared" si="4"/>
        <v>49.801559472565422</v>
      </c>
      <c r="V87">
        <v>49</v>
      </c>
      <c r="W87">
        <f t="shared" si="5"/>
        <v>0.6424975880593583</v>
      </c>
    </row>
    <row r="88" spans="1:23">
      <c r="A88" s="53">
        <v>41175</v>
      </c>
      <c r="B88">
        <v>51</v>
      </c>
      <c r="C88">
        <v>1</v>
      </c>
      <c r="D88">
        <v>0</v>
      </c>
      <c r="E88">
        <v>0</v>
      </c>
      <c r="F88">
        <v>1</v>
      </c>
      <c r="G88">
        <v>1</v>
      </c>
      <c r="H88">
        <v>4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f t="shared" si="3"/>
        <v>36</v>
      </c>
      <c r="R88">
        <v>26</v>
      </c>
      <c r="T88" s="53">
        <v>41175</v>
      </c>
      <c r="U88">
        <f t="shared" si="4"/>
        <v>32.179305133542101</v>
      </c>
      <c r="V88">
        <v>51</v>
      </c>
      <c r="W88">
        <f t="shared" si="5"/>
        <v>354.21855525631469</v>
      </c>
    </row>
    <row r="89" spans="1:23">
      <c r="A89" s="53">
        <v>41176</v>
      </c>
      <c r="B89">
        <v>69</v>
      </c>
      <c r="C89">
        <v>1</v>
      </c>
      <c r="D89">
        <v>0</v>
      </c>
      <c r="E89">
        <v>0</v>
      </c>
      <c r="F89">
        <v>1</v>
      </c>
      <c r="G89">
        <v>0</v>
      </c>
      <c r="H89">
        <v>2</v>
      </c>
      <c r="I89">
        <v>0</v>
      </c>
      <c r="J89">
        <v>1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f t="shared" si="3"/>
        <v>31</v>
      </c>
      <c r="R89">
        <v>21</v>
      </c>
      <c r="T89" s="53">
        <v>41176</v>
      </c>
      <c r="U89">
        <f t="shared" si="4"/>
        <v>31.919288819524905</v>
      </c>
      <c r="V89">
        <v>69</v>
      </c>
      <c r="W89">
        <f t="shared" si="5"/>
        <v>1374.9791416498106</v>
      </c>
    </row>
    <row r="90" spans="1:23">
      <c r="A90" s="53">
        <v>41177</v>
      </c>
      <c r="B90">
        <v>32</v>
      </c>
      <c r="C90">
        <v>1</v>
      </c>
      <c r="D90">
        <v>0</v>
      </c>
      <c r="E90">
        <v>0</v>
      </c>
      <c r="F90">
        <v>1</v>
      </c>
      <c r="G90">
        <v>1</v>
      </c>
      <c r="H90">
        <v>4</v>
      </c>
      <c r="I90">
        <v>0</v>
      </c>
      <c r="J90">
        <v>0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f t="shared" si="3"/>
        <v>29</v>
      </c>
      <c r="R90">
        <v>19</v>
      </c>
      <c r="T90" s="53">
        <v>41177</v>
      </c>
      <c r="U90">
        <f t="shared" si="4"/>
        <v>33.076970697748351</v>
      </c>
      <c r="V90">
        <v>32</v>
      </c>
      <c r="W90">
        <f t="shared" si="5"/>
        <v>1.1598658838085698</v>
      </c>
    </row>
    <row r="91" spans="1:23">
      <c r="A91" s="53">
        <v>41178</v>
      </c>
      <c r="B91">
        <v>45</v>
      </c>
      <c r="C91">
        <v>1</v>
      </c>
      <c r="D91">
        <v>0</v>
      </c>
      <c r="E91">
        <v>0</v>
      </c>
      <c r="F91">
        <v>0</v>
      </c>
      <c r="G91">
        <v>0</v>
      </c>
      <c r="H91">
        <v>1</v>
      </c>
      <c r="I91">
        <v>0</v>
      </c>
      <c r="J91">
        <v>0</v>
      </c>
      <c r="K91">
        <v>0</v>
      </c>
      <c r="L91">
        <v>1</v>
      </c>
      <c r="M91">
        <v>0</v>
      </c>
      <c r="N91">
        <v>0</v>
      </c>
      <c r="O91">
        <v>0</v>
      </c>
      <c r="P91">
        <v>0</v>
      </c>
      <c r="Q91">
        <f t="shared" si="3"/>
        <v>34</v>
      </c>
      <c r="R91">
        <v>24</v>
      </c>
      <c r="T91" s="53">
        <v>41178</v>
      </c>
      <c r="U91">
        <f t="shared" si="4"/>
        <v>28.690491509600882</v>
      </c>
      <c r="V91">
        <v>45</v>
      </c>
      <c r="W91">
        <f t="shared" si="5"/>
        <v>266.00006719840093</v>
      </c>
    </row>
    <row r="92" spans="1:23">
      <c r="A92" s="53">
        <v>41179</v>
      </c>
      <c r="B92">
        <v>40</v>
      </c>
      <c r="C92">
        <v>1</v>
      </c>
      <c r="D92">
        <v>0</v>
      </c>
      <c r="E92">
        <v>0</v>
      </c>
      <c r="F92">
        <v>1</v>
      </c>
      <c r="G92">
        <v>0</v>
      </c>
      <c r="H92">
        <v>2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0</v>
      </c>
      <c r="Q92">
        <f t="shared" si="3"/>
        <v>36</v>
      </c>
      <c r="R92">
        <v>26</v>
      </c>
      <c r="T92" s="53">
        <v>41179</v>
      </c>
      <c r="U92">
        <f t="shared" si="4"/>
        <v>33.039099543435185</v>
      </c>
      <c r="V92">
        <v>40</v>
      </c>
      <c r="W92">
        <f t="shared" si="5"/>
        <v>48.454135166204246</v>
      </c>
    </row>
    <row r="93" spans="1:23">
      <c r="A93" s="53">
        <v>41180</v>
      </c>
      <c r="B93">
        <v>49</v>
      </c>
      <c r="C93">
        <v>1</v>
      </c>
      <c r="D93">
        <v>0</v>
      </c>
      <c r="E93">
        <v>0</v>
      </c>
      <c r="F93">
        <v>1</v>
      </c>
      <c r="G93">
        <v>1</v>
      </c>
      <c r="H93">
        <v>4</v>
      </c>
      <c r="I93">
        <v>0</v>
      </c>
      <c r="J93">
        <v>0</v>
      </c>
      <c r="K93">
        <v>0</v>
      </c>
      <c r="L93">
        <v>0</v>
      </c>
      <c r="M93">
        <v>0</v>
      </c>
      <c r="N93">
        <v>1</v>
      </c>
      <c r="O93">
        <v>0</v>
      </c>
      <c r="P93">
        <v>0</v>
      </c>
      <c r="Q93">
        <f t="shared" si="3"/>
        <v>39</v>
      </c>
      <c r="R93">
        <v>29</v>
      </c>
      <c r="T93" s="53">
        <v>41180</v>
      </c>
      <c r="U93">
        <f t="shared" si="4"/>
        <v>38.491248020621072</v>
      </c>
      <c r="V93">
        <v>49</v>
      </c>
      <c r="W93">
        <f t="shared" si="5"/>
        <v>110.43386816410055</v>
      </c>
    </row>
    <row r="94" spans="1:23">
      <c r="A94" s="53">
        <v>41181</v>
      </c>
      <c r="B94">
        <v>53</v>
      </c>
      <c r="C94">
        <v>1</v>
      </c>
      <c r="D94">
        <v>0</v>
      </c>
      <c r="E94">
        <v>0</v>
      </c>
      <c r="F94">
        <v>3</v>
      </c>
      <c r="G94">
        <v>2</v>
      </c>
      <c r="H94">
        <v>12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</v>
      </c>
      <c r="P94">
        <v>0</v>
      </c>
      <c r="Q94">
        <f t="shared" si="3"/>
        <v>36</v>
      </c>
      <c r="R94">
        <v>26</v>
      </c>
      <c r="T94" s="53">
        <v>41181</v>
      </c>
      <c r="U94">
        <f t="shared" si="4"/>
        <v>43.291116009092278</v>
      </c>
      <c r="V94">
        <v>53</v>
      </c>
      <c r="W94">
        <f t="shared" si="5"/>
        <v>94.262428348904265</v>
      </c>
    </row>
    <row r="95" spans="1:23">
      <c r="A95" s="53">
        <v>41182</v>
      </c>
      <c r="B95">
        <v>52</v>
      </c>
      <c r="C95">
        <v>1</v>
      </c>
      <c r="D95">
        <v>0</v>
      </c>
      <c r="E95">
        <v>0</v>
      </c>
      <c r="F95">
        <v>2</v>
      </c>
      <c r="G95">
        <v>2</v>
      </c>
      <c r="H95">
        <v>9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f t="shared" si="3"/>
        <v>37</v>
      </c>
      <c r="R95">
        <v>27</v>
      </c>
      <c r="T95" s="53">
        <v>41182</v>
      </c>
      <c r="U95">
        <f t="shared" si="4"/>
        <v>38.109542848633609</v>
      </c>
      <c r="V95">
        <v>52</v>
      </c>
      <c r="W95">
        <f t="shared" si="5"/>
        <v>192.94479987394573</v>
      </c>
    </row>
    <row r="96" spans="1:23">
      <c r="A96" s="53">
        <v>41183</v>
      </c>
      <c r="B96">
        <v>56</v>
      </c>
      <c r="C96">
        <v>1</v>
      </c>
      <c r="D96">
        <v>0</v>
      </c>
      <c r="E96">
        <v>0</v>
      </c>
      <c r="F96">
        <v>1</v>
      </c>
      <c r="G96">
        <v>1</v>
      </c>
      <c r="H96">
        <v>4</v>
      </c>
      <c r="I96">
        <v>0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f t="shared" si="3"/>
        <v>30</v>
      </c>
      <c r="R96">
        <v>20</v>
      </c>
      <c r="T96" s="53">
        <v>41183</v>
      </c>
      <c r="U96">
        <f t="shared" si="4"/>
        <v>33.643502327209362</v>
      </c>
      <c r="V96">
        <v>56</v>
      </c>
      <c r="W96">
        <f t="shared" si="5"/>
        <v>499.81298819349325</v>
      </c>
    </row>
    <row r="97" spans="1:23">
      <c r="A97" s="53">
        <v>41184</v>
      </c>
      <c r="B97">
        <v>33</v>
      </c>
      <c r="C97">
        <v>1</v>
      </c>
      <c r="D97">
        <v>0</v>
      </c>
      <c r="E97">
        <v>0</v>
      </c>
      <c r="F97">
        <v>1</v>
      </c>
      <c r="G97">
        <v>0</v>
      </c>
      <c r="H97">
        <v>2</v>
      </c>
      <c r="I97">
        <v>0</v>
      </c>
      <c r="J97">
        <v>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f t="shared" si="3"/>
        <v>24</v>
      </c>
      <c r="R97">
        <v>14</v>
      </c>
      <c r="T97" s="53">
        <v>41184</v>
      </c>
      <c r="U97">
        <f t="shared" si="4"/>
        <v>27.902002574002491</v>
      </c>
      <c r="V97">
        <v>33</v>
      </c>
      <c r="W97">
        <f t="shared" si="5"/>
        <v>25.989577755477224</v>
      </c>
    </row>
    <row r="98" spans="1:23">
      <c r="A98" s="53">
        <v>41185</v>
      </c>
      <c r="B98">
        <v>22</v>
      </c>
      <c r="C98">
        <v>1</v>
      </c>
      <c r="D98">
        <v>0</v>
      </c>
      <c r="E98">
        <v>0</v>
      </c>
      <c r="F98">
        <v>0</v>
      </c>
      <c r="G98">
        <v>0</v>
      </c>
      <c r="H98">
        <v>1</v>
      </c>
      <c r="I98">
        <v>0</v>
      </c>
      <c r="J98">
        <v>0</v>
      </c>
      <c r="K98">
        <v>0</v>
      </c>
      <c r="L98">
        <v>1</v>
      </c>
      <c r="M98">
        <v>0</v>
      </c>
      <c r="N98">
        <v>0</v>
      </c>
      <c r="O98">
        <v>0</v>
      </c>
      <c r="P98">
        <v>0</v>
      </c>
      <c r="Q98">
        <f t="shared" si="3"/>
        <v>26</v>
      </c>
      <c r="R98">
        <v>16</v>
      </c>
      <c r="T98" s="53">
        <v>41185</v>
      </c>
      <c r="U98">
        <f t="shared" si="4"/>
        <v>24.089485354852346</v>
      </c>
      <c r="V98">
        <v>22</v>
      </c>
      <c r="W98">
        <f t="shared" si="5"/>
        <v>4.3659490481424363</v>
      </c>
    </row>
    <row r="99" spans="1:23">
      <c r="A99" s="53">
        <v>41186</v>
      </c>
      <c r="B99">
        <v>26</v>
      </c>
      <c r="C99">
        <v>1</v>
      </c>
      <c r="D99">
        <v>0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f t="shared" si="3"/>
        <v>25</v>
      </c>
      <c r="R99">
        <v>15</v>
      </c>
      <c r="T99" s="53">
        <v>41186</v>
      </c>
      <c r="U99">
        <f t="shared" si="4"/>
        <v>22.14885360661637</v>
      </c>
      <c r="V99">
        <v>26</v>
      </c>
      <c r="W99">
        <f t="shared" si="5"/>
        <v>14.831328543271738</v>
      </c>
    </row>
    <row r="100" spans="1:23">
      <c r="A100" s="53">
        <v>41187</v>
      </c>
      <c r="B100">
        <v>37</v>
      </c>
      <c r="C100">
        <v>1</v>
      </c>
      <c r="D100">
        <v>0</v>
      </c>
      <c r="E100">
        <v>0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1</v>
      </c>
      <c r="O100">
        <v>0</v>
      </c>
      <c r="P100">
        <v>0</v>
      </c>
      <c r="Q100">
        <f t="shared" si="3"/>
        <v>25</v>
      </c>
      <c r="R100">
        <v>15</v>
      </c>
      <c r="T100" s="53">
        <v>41187</v>
      </c>
      <c r="U100">
        <f t="shared" si="4"/>
        <v>23.576285498743538</v>
      </c>
      <c r="V100">
        <v>37</v>
      </c>
      <c r="W100">
        <f t="shared" si="5"/>
        <v>180.19611101124303</v>
      </c>
    </row>
    <row r="101" spans="1:23">
      <c r="A101" s="53">
        <v>41188</v>
      </c>
      <c r="B101">
        <v>35</v>
      </c>
      <c r="C101">
        <v>1</v>
      </c>
      <c r="D101">
        <v>0</v>
      </c>
      <c r="E101">
        <v>0</v>
      </c>
      <c r="F101">
        <v>2</v>
      </c>
      <c r="G101">
        <v>1</v>
      </c>
      <c r="H101">
        <v>6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f t="shared" si="3"/>
        <v>31</v>
      </c>
      <c r="R101">
        <v>21</v>
      </c>
      <c r="T101" s="53">
        <v>41188</v>
      </c>
      <c r="U101">
        <f t="shared" si="4"/>
        <v>35.814420119286325</v>
      </c>
      <c r="V101">
        <v>35</v>
      </c>
      <c r="W101">
        <f t="shared" si="5"/>
        <v>0.66328013069835179</v>
      </c>
    </row>
    <row r="102" spans="1:23">
      <c r="A102" s="53">
        <v>41189</v>
      </c>
      <c r="B102">
        <v>39</v>
      </c>
      <c r="C102">
        <v>1</v>
      </c>
      <c r="D102">
        <v>0</v>
      </c>
      <c r="E102">
        <v>0</v>
      </c>
      <c r="F102">
        <v>2</v>
      </c>
      <c r="G102">
        <v>2</v>
      </c>
      <c r="H102">
        <v>9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f t="shared" si="3"/>
        <v>31</v>
      </c>
      <c r="R102">
        <v>21</v>
      </c>
      <c r="T102" s="53">
        <v>41189</v>
      </c>
      <c r="U102">
        <f t="shared" si="4"/>
        <v>34.658788232572206</v>
      </c>
      <c r="V102">
        <v>39</v>
      </c>
      <c r="W102">
        <f t="shared" si="5"/>
        <v>18.846119609653549</v>
      </c>
    </row>
    <row r="103" spans="1:23">
      <c r="A103" s="53">
        <v>41190</v>
      </c>
      <c r="B103">
        <v>29</v>
      </c>
      <c r="C103">
        <v>1</v>
      </c>
      <c r="D103">
        <v>0</v>
      </c>
      <c r="E103">
        <v>0</v>
      </c>
      <c r="F103">
        <v>1</v>
      </c>
      <c r="G103">
        <v>0</v>
      </c>
      <c r="H103">
        <v>2</v>
      </c>
      <c r="I103">
        <v>1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f t="shared" si="3"/>
        <v>27</v>
      </c>
      <c r="R103">
        <v>17</v>
      </c>
      <c r="T103" s="53">
        <v>41190</v>
      </c>
      <c r="U103">
        <f t="shared" si="4"/>
        <v>28.652655092496996</v>
      </c>
      <c r="V103">
        <v>29</v>
      </c>
      <c r="W103">
        <f t="shared" si="5"/>
        <v>0.12064848476827038</v>
      </c>
    </row>
    <row r="104" spans="1:23">
      <c r="A104" s="53">
        <v>41191</v>
      </c>
      <c r="B104">
        <v>25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1</v>
      </c>
      <c r="I104">
        <v>0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f t="shared" si="3"/>
        <v>19</v>
      </c>
      <c r="R104">
        <v>9</v>
      </c>
      <c r="T104" s="53">
        <v>41191</v>
      </c>
      <c r="U104">
        <f t="shared" si="4"/>
        <v>20.462511253245079</v>
      </c>
      <c r="V104">
        <v>25</v>
      </c>
      <c r="W104">
        <f t="shared" si="5"/>
        <v>20.588804126927542</v>
      </c>
    </row>
    <row r="105" spans="1:23">
      <c r="A105" s="53">
        <v>41192</v>
      </c>
      <c r="B105">
        <v>19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1</v>
      </c>
      <c r="M105">
        <v>0</v>
      </c>
      <c r="N105">
        <v>0</v>
      </c>
      <c r="O105">
        <v>0</v>
      </c>
      <c r="P105">
        <v>0</v>
      </c>
      <c r="Q105">
        <f t="shared" si="3"/>
        <v>20</v>
      </c>
      <c r="R105">
        <v>10</v>
      </c>
      <c r="T105" s="53">
        <v>41192</v>
      </c>
      <c r="U105">
        <f t="shared" si="4"/>
        <v>20.638730738790947</v>
      </c>
      <c r="V105">
        <v>19</v>
      </c>
      <c r="W105">
        <f t="shared" si="5"/>
        <v>2.685438434258324</v>
      </c>
    </row>
    <row r="106" spans="1:23">
      <c r="A106" s="53">
        <v>41193</v>
      </c>
      <c r="B106">
        <v>16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f t="shared" si="3"/>
        <v>24</v>
      </c>
      <c r="R106">
        <v>14</v>
      </c>
      <c r="T106" s="53">
        <v>41193</v>
      </c>
      <c r="U106">
        <f t="shared" si="4"/>
        <v>21.573727837272806</v>
      </c>
      <c r="V106">
        <v>16</v>
      </c>
      <c r="W106">
        <f t="shared" si="5"/>
        <v>31.066442003989788</v>
      </c>
    </row>
    <row r="107" spans="1:23">
      <c r="A107" s="53">
        <v>41194</v>
      </c>
      <c r="B107">
        <v>28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f t="shared" si="3"/>
        <v>24</v>
      </c>
      <c r="R107">
        <v>14</v>
      </c>
      <c r="T107" s="53">
        <v>41194</v>
      </c>
      <c r="U107">
        <f t="shared" si="4"/>
        <v>23.001159729399973</v>
      </c>
      <c r="V107">
        <v>28</v>
      </c>
      <c r="W107">
        <f t="shared" si="5"/>
        <v>24.988404050972555</v>
      </c>
    </row>
    <row r="108" spans="1:23">
      <c r="A108" s="53">
        <v>41195</v>
      </c>
      <c r="B108">
        <v>40</v>
      </c>
      <c r="C108">
        <v>1</v>
      </c>
      <c r="D108">
        <v>0</v>
      </c>
      <c r="E108">
        <v>0</v>
      </c>
      <c r="F108">
        <v>1</v>
      </c>
      <c r="G108">
        <v>1</v>
      </c>
      <c r="H108">
        <v>4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1</v>
      </c>
      <c r="P108">
        <v>0</v>
      </c>
      <c r="Q108">
        <f t="shared" si="3"/>
        <v>32</v>
      </c>
      <c r="R108">
        <v>22</v>
      </c>
      <c r="T108" s="53">
        <v>41195</v>
      </c>
      <c r="U108">
        <f t="shared" si="4"/>
        <v>32.579728317250137</v>
      </c>
      <c r="V108">
        <v>40</v>
      </c>
      <c r="W108">
        <f t="shared" si="5"/>
        <v>55.060431845819487</v>
      </c>
    </row>
    <row r="109" spans="1:23">
      <c r="A109" s="53">
        <v>41196</v>
      </c>
      <c r="B109">
        <v>35</v>
      </c>
      <c r="C109">
        <v>1</v>
      </c>
      <c r="D109">
        <v>0</v>
      </c>
      <c r="E109">
        <v>0</v>
      </c>
      <c r="F109">
        <v>1</v>
      </c>
      <c r="G109">
        <v>0</v>
      </c>
      <c r="H109">
        <v>2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f t="shared" si="3"/>
        <v>34</v>
      </c>
      <c r="R109">
        <v>24</v>
      </c>
      <c r="T109" s="53">
        <v>41196</v>
      </c>
      <c r="U109">
        <f t="shared" si="4"/>
        <v>28.729714317826943</v>
      </c>
      <c r="V109">
        <v>35</v>
      </c>
      <c r="W109">
        <f t="shared" si="5"/>
        <v>39.316482536064441</v>
      </c>
    </row>
    <row r="110" spans="1:23">
      <c r="A110" s="53">
        <v>41197</v>
      </c>
      <c r="B110">
        <v>22</v>
      </c>
      <c r="C110">
        <v>1</v>
      </c>
      <c r="D110">
        <v>0</v>
      </c>
      <c r="E110">
        <v>0</v>
      </c>
      <c r="F110">
        <v>0</v>
      </c>
      <c r="G110">
        <v>0</v>
      </c>
      <c r="H110">
        <v>1</v>
      </c>
      <c r="I110">
        <v>0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f t="shared" si="3"/>
        <v>28</v>
      </c>
      <c r="R110">
        <v>18</v>
      </c>
      <c r="T110" s="53">
        <v>41197</v>
      </c>
      <c r="U110">
        <f t="shared" si="4"/>
        <v>25.630049037454629</v>
      </c>
      <c r="V110">
        <v>22</v>
      </c>
      <c r="W110">
        <f t="shared" si="5"/>
        <v>13.17725601432528</v>
      </c>
    </row>
    <row r="111" spans="1:23">
      <c r="A111" s="53">
        <v>41198</v>
      </c>
      <c r="B111">
        <v>14</v>
      </c>
      <c r="C111">
        <v>1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f t="shared" si="3"/>
        <v>23</v>
      </c>
      <c r="R111">
        <v>13</v>
      </c>
      <c r="T111" s="53">
        <v>41198</v>
      </c>
      <c r="U111">
        <f t="shared" si="4"/>
        <v>22.763014330619349</v>
      </c>
      <c r="V111">
        <v>14</v>
      </c>
      <c r="W111">
        <f t="shared" si="5"/>
        <v>76.790420158640075</v>
      </c>
    </row>
    <row r="112" spans="1:23">
      <c r="A112" s="53">
        <v>41199</v>
      </c>
      <c r="B112">
        <v>21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1</v>
      </c>
      <c r="I112">
        <v>0</v>
      </c>
      <c r="J112">
        <v>0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0</v>
      </c>
      <c r="Q112">
        <f t="shared" si="3"/>
        <v>17</v>
      </c>
      <c r="R112">
        <v>7</v>
      </c>
      <c r="T112" s="53">
        <v>41199</v>
      </c>
      <c r="U112">
        <f t="shared" si="4"/>
        <v>18.913353430760246</v>
      </c>
      <c r="V112">
        <v>21</v>
      </c>
      <c r="W112">
        <f t="shared" si="5"/>
        <v>4.3540939049200356</v>
      </c>
    </row>
    <row r="113" spans="1:23">
      <c r="A113" s="53">
        <v>41200</v>
      </c>
      <c r="B113">
        <v>16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1</v>
      </c>
      <c r="N113">
        <v>0</v>
      </c>
      <c r="O113">
        <v>0</v>
      </c>
      <c r="P113">
        <v>0</v>
      </c>
      <c r="Q113">
        <f t="shared" si="3"/>
        <v>23</v>
      </c>
      <c r="R113">
        <v>13</v>
      </c>
      <c r="T113" s="53">
        <v>41200</v>
      </c>
      <c r="U113">
        <f t="shared" si="4"/>
        <v>20.998602067929241</v>
      </c>
      <c r="V113">
        <v>16</v>
      </c>
      <c r="W113">
        <f t="shared" si="5"/>
        <v>24.986022633506483</v>
      </c>
    </row>
    <row r="114" spans="1:23">
      <c r="A114" s="53">
        <v>41201</v>
      </c>
      <c r="B114">
        <v>35</v>
      </c>
      <c r="C114">
        <v>1</v>
      </c>
      <c r="D114">
        <v>0</v>
      </c>
      <c r="E114">
        <v>0</v>
      </c>
      <c r="F114">
        <v>0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f t="shared" si="3"/>
        <v>28</v>
      </c>
      <c r="R114">
        <v>18</v>
      </c>
      <c r="T114" s="53">
        <v>41201</v>
      </c>
      <c r="U114">
        <f t="shared" si="4"/>
        <v>25.301662806774242</v>
      </c>
      <c r="V114">
        <v>35</v>
      </c>
      <c r="W114">
        <f t="shared" si="5"/>
        <v>94.057744313506063</v>
      </c>
    </row>
    <row r="115" spans="1:23">
      <c r="A115" s="53">
        <v>41202</v>
      </c>
      <c r="B115">
        <v>46</v>
      </c>
      <c r="C115">
        <v>1</v>
      </c>
      <c r="D115">
        <v>0</v>
      </c>
      <c r="E115">
        <v>0</v>
      </c>
      <c r="F115">
        <v>1</v>
      </c>
      <c r="G115">
        <v>1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1</v>
      </c>
      <c r="P115">
        <v>0</v>
      </c>
      <c r="Q115">
        <f t="shared" si="3"/>
        <v>27</v>
      </c>
      <c r="R115">
        <v>17</v>
      </c>
      <c r="T115" s="53">
        <v>41202</v>
      </c>
      <c r="U115">
        <f t="shared" si="4"/>
        <v>29.704099470532306</v>
      </c>
      <c r="V115">
        <v>46</v>
      </c>
      <c r="W115">
        <f t="shared" si="5"/>
        <v>265.55637406630547</v>
      </c>
    </row>
    <row r="116" spans="1:23">
      <c r="A116" s="53">
        <v>41203</v>
      </c>
      <c r="B116">
        <v>29</v>
      </c>
      <c r="C116">
        <v>1</v>
      </c>
      <c r="D116">
        <v>0</v>
      </c>
      <c r="E116">
        <v>0</v>
      </c>
      <c r="F116">
        <v>1</v>
      </c>
      <c r="G116">
        <v>0</v>
      </c>
      <c r="H116">
        <v>2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f t="shared" si="3"/>
        <v>31</v>
      </c>
      <c r="R116">
        <v>21</v>
      </c>
      <c r="T116" s="53">
        <v>41203</v>
      </c>
      <c r="U116">
        <f t="shared" si="4"/>
        <v>27.004337009796242</v>
      </c>
      <c r="V116">
        <v>29</v>
      </c>
      <c r="W116">
        <f t="shared" si="5"/>
        <v>3.9826707704690061</v>
      </c>
    </row>
    <row r="117" spans="1:23">
      <c r="A117" s="53">
        <v>41204</v>
      </c>
      <c r="B117">
        <v>27</v>
      </c>
      <c r="C117">
        <v>1</v>
      </c>
      <c r="D117">
        <v>0</v>
      </c>
      <c r="E117">
        <v>0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f t="shared" si="3"/>
        <v>24</v>
      </c>
      <c r="R117">
        <v>14</v>
      </c>
      <c r="T117" s="53">
        <v>41204</v>
      </c>
      <c r="U117">
        <f t="shared" si="4"/>
        <v>23.32954596008036</v>
      </c>
      <c r="V117">
        <v>27</v>
      </c>
      <c r="W117">
        <f t="shared" si="5"/>
        <v>13.472232859162409</v>
      </c>
    </row>
    <row r="118" spans="1:23">
      <c r="A118" s="53">
        <v>41205</v>
      </c>
      <c r="B118">
        <v>20</v>
      </c>
      <c r="C118">
        <v>1</v>
      </c>
      <c r="D118">
        <v>0</v>
      </c>
      <c r="E118">
        <v>0</v>
      </c>
      <c r="F118">
        <v>0</v>
      </c>
      <c r="G118">
        <v>0</v>
      </c>
      <c r="H118">
        <v>1</v>
      </c>
      <c r="I118">
        <v>0</v>
      </c>
      <c r="J118">
        <v>0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f t="shared" si="3"/>
        <v>27</v>
      </c>
      <c r="R118">
        <v>17</v>
      </c>
      <c r="T118" s="53">
        <v>41205</v>
      </c>
      <c r="U118">
        <f t="shared" si="4"/>
        <v>25.063517407993615</v>
      </c>
      <c r="V118">
        <v>20</v>
      </c>
      <c r="W118">
        <f t="shared" si="5"/>
        <v>25.639208541054376</v>
      </c>
    </row>
    <row r="119" spans="1:23">
      <c r="A119" s="53">
        <v>41206</v>
      </c>
      <c r="B119">
        <v>33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f t="shared" si="3"/>
        <v>33</v>
      </c>
      <c r="R119">
        <v>23</v>
      </c>
      <c r="T119" s="53">
        <v>41206</v>
      </c>
      <c r="U119">
        <f t="shared" si="4"/>
        <v>28.115365740257317</v>
      </c>
      <c r="V119">
        <v>33</v>
      </c>
      <c r="W119">
        <f t="shared" si="5"/>
        <v>23.859651851451947</v>
      </c>
    </row>
    <row r="120" spans="1:23">
      <c r="A120" s="53">
        <v>41207</v>
      </c>
      <c r="B120">
        <v>31</v>
      </c>
      <c r="C120">
        <v>1</v>
      </c>
      <c r="D120">
        <v>0</v>
      </c>
      <c r="E120">
        <v>0</v>
      </c>
      <c r="F120">
        <v>0</v>
      </c>
      <c r="G120">
        <v>0</v>
      </c>
      <c r="H120">
        <v>1</v>
      </c>
      <c r="I120">
        <v>0</v>
      </c>
      <c r="J120">
        <v>0</v>
      </c>
      <c r="K120">
        <v>0</v>
      </c>
      <c r="L120">
        <v>0</v>
      </c>
      <c r="M120">
        <v>1</v>
      </c>
      <c r="N120">
        <v>0</v>
      </c>
      <c r="O120">
        <v>0</v>
      </c>
      <c r="P120">
        <v>0</v>
      </c>
      <c r="Q120">
        <f t="shared" si="3"/>
        <v>34</v>
      </c>
      <c r="R120">
        <v>24</v>
      </c>
      <c r="T120" s="53">
        <v>41207</v>
      </c>
      <c r="U120">
        <f t="shared" si="4"/>
        <v>27.324985530708474</v>
      </c>
      <c r="V120">
        <v>31</v>
      </c>
      <c r="W120">
        <f t="shared" si="5"/>
        <v>13.505731349502074</v>
      </c>
    </row>
    <row r="121" spans="1:23">
      <c r="A121" s="53">
        <v>41208</v>
      </c>
      <c r="B121">
        <v>38</v>
      </c>
      <c r="C121">
        <v>1</v>
      </c>
      <c r="D121">
        <v>0</v>
      </c>
      <c r="E121">
        <v>0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f t="shared" si="3"/>
        <v>35</v>
      </c>
      <c r="R121">
        <v>25</v>
      </c>
      <c r="T121" s="53">
        <v>41208</v>
      </c>
      <c r="U121">
        <f t="shared" si="4"/>
        <v>33.891405666218787</v>
      </c>
      <c r="V121">
        <v>38</v>
      </c>
      <c r="W121">
        <f t="shared" si="5"/>
        <v>16.880547399579086</v>
      </c>
    </row>
    <row r="122" spans="1:23">
      <c r="A122" s="53">
        <v>41209</v>
      </c>
      <c r="B122">
        <v>58</v>
      </c>
      <c r="C122">
        <v>1</v>
      </c>
      <c r="D122">
        <v>0</v>
      </c>
      <c r="E122">
        <v>0</v>
      </c>
      <c r="F122">
        <v>2</v>
      </c>
      <c r="G122">
        <v>1</v>
      </c>
      <c r="H122">
        <v>6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1</v>
      </c>
      <c r="P122">
        <v>0</v>
      </c>
      <c r="Q122">
        <f t="shared" si="3"/>
        <v>45</v>
      </c>
      <c r="R122">
        <v>35</v>
      </c>
      <c r="T122" s="53">
        <v>41209</v>
      </c>
      <c r="U122">
        <f t="shared" si="4"/>
        <v>43.86618089009626</v>
      </c>
      <c r="V122">
        <v>58</v>
      </c>
      <c r="W122">
        <f t="shared" si="5"/>
        <v>199.76484263148015</v>
      </c>
    </row>
    <row r="123" spans="1:23">
      <c r="A123" s="53">
        <v>41210</v>
      </c>
      <c r="B123">
        <v>50</v>
      </c>
      <c r="C123">
        <v>1</v>
      </c>
      <c r="D123">
        <v>0</v>
      </c>
      <c r="E123">
        <v>0</v>
      </c>
      <c r="F123">
        <v>1</v>
      </c>
      <c r="G123">
        <v>1</v>
      </c>
      <c r="H123">
        <v>4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f t="shared" si="3"/>
        <v>32</v>
      </c>
      <c r="R123">
        <v>22</v>
      </c>
      <c r="T123" s="53">
        <v>41210</v>
      </c>
      <c r="U123">
        <f t="shared" si="4"/>
        <v>29.878802056167832</v>
      </c>
      <c r="V123">
        <v>50</v>
      </c>
      <c r="W123">
        <f t="shared" si="5"/>
        <v>404.86260669487586</v>
      </c>
    </row>
    <row r="124" spans="1:23">
      <c r="A124" s="53">
        <v>41211</v>
      </c>
      <c r="B124">
        <v>50</v>
      </c>
      <c r="C124">
        <v>1</v>
      </c>
      <c r="D124">
        <v>0</v>
      </c>
      <c r="E124">
        <v>0</v>
      </c>
      <c r="F124">
        <v>1</v>
      </c>
      <c r="G124">
        <v>1</v>
      </c>
      <c r="H124">
        <v>4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f t="shared" si="3"/>
        <v>37</v>
      </c>
      <c r="R124">
        <v>27</v>
      </c>
      <c r="T124" s="53">
        <v>41211</v>
      </c>
      <c r="U124">
        <f t="shared" si="4"/>
        <v>37.669382712614329</v>
      </c>
      <c r="V124">
        <v>50</v>
      </c>
      <c r="W124">
        <f t="shared" si="5"/>
        <v>152.04412268797435</v>
      </c>
    </row>
    <row r="125" spans="1:23">
      <c r="A125" s="53">
        <v>41212</v>
      </c>
      <c r="B125">
        <v>51</v>
      </c>
      <c r="C125">
        <v>1</v>
      </c>
      <c r="D125">
        <v>0</v>
      </c>
      <c r="E125">
        <v>0</v>
      </c>
      <c r="F125">
        <v>0</v>
      </c>
      <c r="G125">
        <v>0</v>
      </c>
      <c r="H125">
        <v>1</v>
      </c>
      <c r="I125">
        <v>0</v>
      </c>
      <c r="J125">
        <v>0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f t="shared" si="3"/>
        <v>31</v>
      </c>
      <c r="R125">
        <v>21</v>
      </c>
      <c r="T125" s="53">
        <v>41212</v>
      </c>
      <c r="U125">
        <f t="shared" si="4"/>
        <v>27.364020485367881</v>
      </c>
      <c r="V125">
        <v>51</v>
      </c>
      <c r="W125">
        <f t="shared" si="5"/>
        <v>558.65952761610913</v>
      </c>
    </row>
    <row r="126" spans="1:23">
      <c r="A126" s="53">
        <v>41213</v>
      </c>
      <c r="B126">
        <v>49</v>
      </c>
      <c r="C126">
        <v>1</v>
      </c>
      <c r="D126">
        <v>0</v>
      </c>
      <c r="E126">
        <v>0</v>
      </c>
      <c r="F126">
        <v>1</v>
      </c>
      <c r="G126">
        <v>1</v>
      </c>
      <c r="H126">
        <v>4</v>
      </c>
      <c r="I126">
        <v>0</v>
      </c>
      <c r="J126">
        <v>0</v>
      </c>
      <c r="K126">
        <v>0</v>
      </c>
      <c r="L126">
        <v>1</v>
      </c>
      <c r="M126">
        <v>0</v>
      </c>
      <c r="N126">
        <v>0</v>
      </c>
      <c r="O126">
        <v>0</v>
      </c>
      <c r="P126">
        <v>0</v>
      </c>
      <c r="Q126">
        <f t="shared" si="3"/>
        <v>31</v>
      </c>
      <c r="R126">
        <v>21</v>
      </c>
      <c r="T126" s="53">
        <v>41213</v>
      </c>
      <c r="U126">
        <f t="shared" si="4"/>
        <v>33.82831595263778</v>
      </c>
      <c r="V126">
        <v>49</v>
      </c>
      <c r="W126">
        <f t="shared" si="5"/>
        <v>230.17999683298527</v>
      </c>
    </row>
    <row r="127" spans="1:23">
      <c r="A127" s="53">
        <v>41214</v>
      </c>
      <c r="B127">
        <v>34</v>
      </c>
      <c r="C127">
        <v>1</v>
      </c>
      <c r="D127">
        <v>0</v>
      </c>
      <c r="E127">
        <v>0</v>
      </c>
      <c r="F127">
        <v>0</v>
      </c>
      <c r="G127">
        <v>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0</v>
      </c>
      <c r="O127">
        <v>0</v>
      </c>
      <c r="P127">
        <v>0</v>
      </c>
      <c r="Q127">
        <f t="shared" si="3"/>
        <v>32</v>
      </c>
      <c r="R127">
        <v>22</v>
      </c>
      <c r="T127" s="53">
        <v>41214</v>
      </c>
      <c r="U127">
        <f t="shared" si="4"/>
        <v>26.174733992021341</v>
      </c>
      <c r="V127">
        <v>34</v>
      </c>
      <c r="W127">
        <f t="shared" si="5"/>
        <v>61.23478809562625</v>
      </c>
    </row>
    <row r="128" spans="1:23">
      <c r="A128" s="53">
        <v>41215</v>
      </c>
      <c r="B128">
        <v>27</v>
      </c>
      <c r="C128">
        <v>1</v>
      </c>
      <c r="D128">
        <v>0</v>
      </c>
      <c r="E128">
        <v>0</v>
      </c>
      <c r="F128">
        <v>0</v>
      </c>
      <c r="G128">
        <v>0</v>
      </c>
      <c r="H128">
        <v>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f t="shared" si="3"/>
        <v>32</v>
      </c>
      <c r="R128">
        <v>22</v>
      </c>
      <c r="T128" s="53">
        <v>41215</v>
      </c>
      <c r="U128">
        <f t="shared" si="4"/>
        <v>27.602165884148508</v>
      </c>
      <c r="V128">
        <v>27</v>
      </c>
      <c r="W128">
        <f t="shared" si="5"/>
        <v>0.3626037520323549</v>
      </c>
    </row>
    <row r="129" spans="1:23">
      <c r="A129" s="53">
        <v>41216</v>
      </c>
      <c r="B129">
        <v>43</v>
      </c>
      <c r="C129">
        <v>1</v>
      </c>
      <c r="D129">
        <v>0</v>
      </c>
      <c r="E129">
        <v>0</v>
      </c>
      <c r="F129">
        <v>2</v>
      </c>
      <c r="G129">
        <v>1</v>
      </c>
      <c r="H129">
        <v>6</v>
      </c>
      <c r="I129">
        <v>1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f t="shared" si="3"/>
        <v>38</v>
      </c>
      <c r="R129">
        <v>28</v>
      </c>
      <c r="T129" s="53">
        <v>41216</v>
      </c>
      <c r="U129">
        <f t="shared" si="4"/>
        <v>38.87416985503765</v>
      </c>
      <c r="V129">
        <v>43</v>
      </c>
      <c r="W129">
        <f t="shared" si="5"/>
        <v>17.022474385080049</v>
      </c>
    </row>
    <row r="130" spans="1:23">
      <c r="A130" s="53">
        <v>41217</v>
      </c>
      <c r="B130">
        <v>35</v>
      </c>
      <c r="C130">
        <v>1</v>
      </c>
      <c r="D130">
        <v>0</v>
      </c>
      <c r="E130">
        <v>0</v>
      </c>
      <c r="F130">
        <v>1</v>
      </c>
      <c r="G130">
        <v>1</v>
      </c>
      <c r="H130">
        <v>4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f t="shared" si="3"/>
        <v>20</v>
      </c>
      <c r="R130">
        <v>10</v>
      </c>
      <c r="T130" s="53">
        <v>41217</v>
      </c>
      <c r="U130">
        <f t="shared" si="4"/>
        <v>22.97729282404503</v>
      </c>
      <c r="V130">
        <v>35</v>
      </c>
      <c r="W130">
        <f t="shared" si="5"/>
        <v>144.54548783875913</v>
      </c>
    </row>
    <row r="131" spans="1:23">
      <c r="A131" s="53">
        <v>41218</v>
      </c>
      <c r="B131">
        <v>25</v>
      </c>
      <c r="C131">
        <v>1</v>
      </c>
      <c r="D131">
        <v>0</v>
      </c>
      <c r="E131">
        <v>0</v>
      </c>
      <c r="F131">
        <v>0</v>
      </c>
      <c r="G131">
        <v>0</v>
      </c>
      <c r="H131">
        <v>1</v>
      </c>
      <c r="I131">
        <v>0</v>
      </c>
      <c r="J131">
        <v>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f t="shared" si="3"/>
        <v>24</v>
      </c>
      <c r="R131">
        <v>14</v>
      </c>
      <c r="T131" s="53">
        <v>41218</v>
      </c>
      <c r="U131">
        <f t="shared" si="4"/>
        <v>23.32954596008036</v>
      </c>
      <c r="V131">
        <v>25</v>
      </c>
      <c r="W131">
        <f t="shared" si="5"/>
        <v>2.7904166994838473</v>
      </c>
    </row>
    <row r="132" spans="1:23">
      <c r="A132" s="53">
        <v>41219</v>
      </c>
      <c r="B132">
        <v>26</v>
      </c>
      <c r="C132">
        <v>1</v>
      </c>
      <c r="D132">
        <v>0</v>
      </c>
      <c r="E132">
        <v>0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f t="shared" ref="Q132:Q195" si="6">R132+10</f>
        <v>27</v>
      </c>
      <c r="R132">
        <v>17</v>
      </c>
      <c r="T132" s="53">
        <v>41219</v>
      </c>
      <c r="U132">
        <f t="shared" ref="U132:U195" si="7">SUMPRODUCT($C$2:$Q$2,C132:Q132)</f>
        <v>25.063517407993615</v>
      </c>
      <c r="V132">
        <v>26</v>
      </c>
      <c r="W132">
        <f t="shared" ref="W132:W195" si="8">(V132-U132)^2</f>
        <v>0.87699964513099748</v>
      </c>
    </row>
    <row r="133" spans="1:23">
      <c r="A133" s="53">
        <v>41220</v>
      </c>
      <c r="B133">
        <v>21</v>
      </c>
      <c r="C133">
        <v>1</v>
      </c>
      <c r="D133">
        <v>0</v>
      </c>
      <c r="E133">
        <v>0</v>
      </c>
      <c r="F133">
        <v>0</v>
      </c>
      <c r="G133">
        <v>0</v>
      </c>
      <c r="H133">
        <v>1</v>
      </c>
      <c r="I133">
        <v>0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f t="shared" si="6"/>
        <v>21</v>
      </c>
      <c r="R133">
        <v>11</v>
      </c>
      <c r="T133" s="53">
        <v>41220</v>
      </c>
      <c r="U133">
        <f t="shared" si="7"/>
        <v>21.213856508134512</v>
      </c>
      <c r="V133">
        <v>21</v>
      </c>
      <c r="W133">
        <f t="shared" si="8"/>
        <v>4.5734606071486626E-2</v>
      </c>
    </row>
    <row r="134" spans="1:23">
      <c r="A134" s="53">
        <v>41221</v>
      </c>
      <c r="B134">
        <v>14</v>
      </c>
      <c r="C134">
        <v>1</v>
      </c>
      <c r="D134">
        <v>0</v>
      </c>
      <c r="E134">
        <v>0</v>
      </c>
      <c r="F134">
        <v>0</v>
      </c>
      <c r="G134">
        <v>0</v>
      </c>
      <c r="H134">
        <v>1</v>
      </c>
      <c r="I134">
        <v>0</v>
      </c>
      <c r="J134">
        <v>0</v>
      </c>
      <c r="K134">
        <v>0</v>
      </c>
      <c r="L134">
        <v>0</v>
      </c>
      <c r="M134">
        <v>1</v>
      </c>
      <c r="N134">
        <v>0</v>
      </c>
      <c r="O134">
        <v>0</v>
      </c>
      <c r="P134">
        <v>0</v>
      </c>
      <c r="Q134">
        <f t="shared" si="6"/>
        <v>22</v>
      </c>
      <c r="R134">
        <v>12</v>
      </c>
      <c r="T134" s="53">
        <v>41221</v>
      </c>
      <c r="U134">
        <f t="shared" si="7"/>
        <v>20.423476298585673</v>
      </c>
      <c r="V134">
        <v>14</v>
      </c>
      <c r="W134">
        <f t="shared" si="8"/>
        <v>41.261047758491891</v>
      </c>
    </row>
    <row r="135" spans="1:23">
      <c r="A135" s="53">
        <v>41222</v>
      </c>
      <c r="B135">
        <v>27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1</v>
      </c>
      <c r="O135">
        <v>0</v>
      </c>
      <c r="P135">
        <v>0</v>
      </c>
      <c r="Q135">
        <f t="shared" si="6"/>
        <v>35</v>
      </c>
      <c r="R135">
        <v>25</v>
      </c>
      <c r="T135" s="53">
        <v>41222</v>
      </c>
      <c r="U135">
        <f t="shared" si="7"/>
        <v>29.32754319217921</v>
      </c>
      <c r="V135">
        <v>27</v>
      </c>
      <c r="W135">
        <f t="shared" si="8"/>
        <v>5.4174573114597857</v>
      </c>
    </row>
    <row r="136" spans="1:23">
      <c r="A136" s="53">
        <v>41223</v>
      </c>
      <c r="B136">
        <v>37</v>
      </c>
      <c r="C136">
        <v>1</v>
      </c>
      <c r="D136">
        <v>0</v>
      </c>
      <c r="E136">
        <v>0</v>
      </c>
      <c r="F136">
        <v>1</v>
      </c>
      <c r="G136">
        <v>1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1</v>
      </c>
      <c r="P136">
        <v>0</v>
      </c>
      <c r="Q136">
        <f t="shared" si="6"/>
        <v>37</v>
      </c>
      <c r="R136">
        <v>27</v>
      </c>
      <c r="T136" s="53">
        <v>41223</v>
      </c>
      <c r="U136">
        <f t="shared" si="7"/>
        <v>35.455357163967975</v>
      </c>
      <c r="V136">
        <v>37</v>
      </c>
      <c r="W136">
        <f t="shared" si="8"/>
        <v>2.3859214909050586</v>
      </c>
    </row>
    <row r="137" spans="1:23">
      <c r="A137" s="53">
        <v>41224</v>
      </c>
      <c r="B137">
        <v>26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f t="shared" si="6"/>
        <v>31</v>
      </c>
      <c r="R137">
        <v>21</v>
      </c>
      <c r="T137" s="53">
        <v>41224</v>
      </c>
      <c r="U137">
        <f t="shared" si="7"/>
        <v>22.440474535756664</v>
      </c>
      <c r="V137">
        <v>26</v>
      </c>
      <c r="W137">
        <f t="shared" si="8"/>
        <v>12.670221530596738</v>
      </c>
    </row>
    <row r="138" spans="1:23">
      <c r="A138" s="53">
        <v>41225</v>
      </c>
      <c r="B138">
        <v>21</v>
      </c>
      <c r="C138">
        <v>1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f t="shared" si="6"/>
        <v>23</v>
      </c>
      <c r="R138">
        <v>13</v>
      </c>
      <c r="T138" s="53">
        <v>41225</v>
      </c>
      <c r="U138">
        <f t="shared" si="7"/>
        <v>22.754420190736795</v>
      </c>
      <c r="V138">
        <v>21</v>
      </c>
      <c r="W138">
        <f t="shared" si="8"/>
        <v>3.077990205664932</v>
      </c>
    </row>
    <row r="139" spans="1:23">
      <c r="A139" s="53">
        <v>41226</v>
      </c>
      <c r="B139">
        <v>22</v>
      </c>
      <c r="C139">
        <v>1</v>
      </c>
      <c r="D139">
        <v>0</v>
      </c>
      <c r="E139">
        <v>0</v>
      </c>
      <c r="F139">
        <v>0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f t="shared" si="6"/>
        <v>21</v>
      </c>
      <c r="R139">
        <v>11</v>
      </c>
      <c r="T139" s="53">
        <v>41226</v>
      </c>
      <c r="U139">
        <f t="shared" si="7"/>
        <v>21.612762791932212</v>
      </c>
      <c r="V139">
        <v>22</v>
      </c>
      <c r="W139">
        <f t="shared" si="8"/>
        <v>0.14995265531213511</v>
      </c>
    </row>
    <row r="140" spans="1:23">
      <c r="A140" s="53">
        <v>41227</v>
      </c>
      <c r="B140">
        <v>12</v>
      </c>
      <c r="C140">
        <v>1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f t="shared" si="6"/>
        <v>29</v>
      </c>
      <c r="R140">
        <v>19</v>
      </c>
      <c r="T140" s="53">
        <v>41227</v>
      </c>
      <c r="U140">
        <f t="shared" si="7"/>
        <v>25.814862662883048</v>
      </c>
      <c r="V140">
        <v>12</v>
      </c>
      <c r="W140">
        <f t="shared" si="8"/>
        <v>190.85043039432009</v>
      </c>
    </row>
    <row r="141" spans="1:23">
      <c r="A141" s="53">
        <v>41228</v>
      </c>
      <c r="B141">
        <v>33</v>
      </c>
      <c r="C141">
        <v>1</v>
      </c>
      <c r="D141">
        <v>0</v>
      </c>
      <c r="E141">
        <v>0</v>
      </c>
      <c r="F141">
        <v>0</v>
      </c>
      <c r="G141">
        <v>0</v>
      </c>
      <c r="H141">
        <v>1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f t="shared" si="6"/>
        <v>21</v>
      </c>
      <c r="R141">
        <v>11</v>
      </c>
      <c r="T141" s="53">
        <v>41228</v>
      </c>
      <c r="U141">
        <f t="shared" si="7"/>
        <v>19.848350529242104</v>
      </c>
      <c r="V141">
        <v>33</v>
      </c>
      <c r="W141">
        <f t="shared" si="8"/>
        <v>172.96588380168643</v>
      </c>
    </row>
    <row r="142" spans="1:23">
      <c r="A142" s="53">
        <v>41229</v>
      </c>
      <c r="B142">
        <v>26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1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f t="shared" si="6"/>
        <v>21</v>
      </c>
      <c r="R142">
        <v>11</v>
      </c>
      <c r="T142" s="53">
        <v>41229</v>
      </c>
      <c r="U142">
        <f t="shared" si="7"/>
        <v>21.275782421369271</v>
      </c>
      <c r="V142">
        <v>26</v>
      </c>
      <c r="W142">
        <f t="shared" si="8"/>
        <v>22.318231730243586</v>
      </c>
    </row>
    <row r="143" spans="1:23">
      <c r="A143" s="53">
        <v>41230</v>
      </c>
      <c r="B143">
        <v>38</v>
      </c>
      <c r="C143">
        <v>1</v>
      </c>
      <c r="D143">
        <v>0</v>
      </c>
      <c r="E143">
        <v>0</v>
      </c>
      <c r="F143">
        <v>1</v>
      </c>
      <c r="G143">
        <v>1</v>
      </c>
      <c r="H143">
        <v>4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</v>
      </c>
      <c r="P143">
        <v>0</v>
      </c>
      <c r="Q143">
        <f t="shared" si="6"/>
        <v>25</v>
      </c>
      <c r="R143">
        <v>15</v>
      </c>
      <c r="T143" s="53">
        <v>41230</v>
      </c>
      <c r="U143">
        <f t="shared" si="7"/>
        <v>28.553847931845169</v>
      </c>
      <c r="V143">
        <v>38</v>
      </c>
      <c r="W143">
        <f t="shared" si="8"/>
        <v>89.229788894705791</v>
      </c>
    </row>
    <row r="144" spans="1:23">
      <c r="A144" s="53">
        <v>41231</v>
      </c>
      <c r="B144">
        <v>39</v>
      </c>
      <c r="C144">
        <v>1</v>
      </c>
      <c r="D144">
        <v>0</v>
      </c>
      <c r="E144">
        <v>0</v>
      </c>
      <c r="F144">
        <v>1</v>
      </c>
      <c r="G144">
        <v>0</v>
      </c>
      <c r="H144">
        <v>2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f t="shared" si="6"/>
        <v>39</v>
      </c>
      <c r="R144">
        <v>29</v>
      </c>
      <c r="T144" s="53">
        <v>41231</v>
      </c>
      <c r="U144">
        <f t="shared" si="7"/>
        <v>31.605343164544777</v>
      </c>
      <c r="V144">
        <v>39</v>
      </c>
      <c r="W144">
        <f t="shared" si="8"/>
        <v>54.680949714144646</v>
      </c>
    </row>
    <row r="145" spans="1:23">
      <c r="A145" s="53">
        <v>41232</v>
      </c>
      <c r="B145">
        <v>25</v>
      </c>
      <c r="C145">
        <v>1</v>
      </c>
      <c r="D145">
        <v>0</v>
      </c>
      <c r="E145">
        <v>0</v>
      </c>
      <c r="F145">
        <v>0</v>
      </c>
      <c r="G145">
        <v>0</v>
      </c>
      <c r="H145">
        <v>1</v>
      </c>
      <c r="I145">
        <v>0</v>
      </c>
      <c r="J145">
        <v>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f t="shared" si="6"/>
        <v>28</v>
      </c>
      <c r="R145">
        <v>18</v>
      </c>
      <c r="T145" s="53">
        <v>41232</v>
      </c>
      <c r="U145">
        <f t="shared" si="7"/>
        <v>25.630049037454629</v>
      </c>
      <c r="V145">
        <v>25</v>
      </c>
      <c r="W145">
        <f t="shared" si="8"/>
        <v>0.39696178959750483</v>
      </c>
    </row>
    <row r="146" spans="1:23">
      <c r="A146" s="53">
        <v>41233</v>
      </c>
      <c r="B146">
        <v>28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  <c r="M146">
        <v>0</v>
      </c>
      <c r="N146">
        <v>0</v>
      </c>
      <c r="O146">
        <v>0</v>
      </c>
      <c r="P146">
        <v>0</v>
      </c>
      <c r="Q146">
        <f t="shared" si="6"/>
        <v>24</v>
      </c>
      <c r="R146">
        <v>14</v>
      </c>
      <c r="T146" s="53">
        <v>41233</v>
      </c>
      <c r="U146">
        <f t="shared" si="7"/>
        <v>23.338140099962914</v>
      </c>
      <c r="V146">
        <v>28</v>
      </c>
      <c r="W146">
        <f t="shared" si="8"/>
        <v>21.732937727573795</v>
      </c>
    </row>
    <row r="147" spans="1:23">
      <c r="A147" s="53">
        <v>41234</v>
      </c>
      <c r="B147">
        <v>38</v>
      </c>
      <c r="C147">
        <v>1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1</v>
      </c>
      <c r="M147">
        <v>0</v>
      </c>
      <c r="N147">
        <v>0</v>
      </c>
      <c r="O147">
        <v>0</v>
      </c>
      <c r="P147">
        <v>0</v>
      </c>
      <c r="Q147">
        <f t="shared" si="6"/>
        <v>22</v>
      </c>
      <c r="R147">
        <v>12</v>
      </c>
      <c r="T147" s="53">
        <v>41234</v>
      </c>
      <c r="U147">
        <f t="shared" si="7"/>
        <v>21.78898227747808</v>
      </c>
      <c r="V147">
        <v>38</v>
      </c>
      <c r="W147">
        <f t="shared" si="8"/>
        <v>262.79709559991977</v>
      </c>
    </row>
    <row r="148" spans="1:23">
      <c r="A148" s="53">
        <v>41235</v>
      </c>
      <c r="B148">
        <v>45</v>
      </c>
      <c r="C148">
        <v>1</v>
      </c>
      <c r="D148">
        <v>0</v>
      </c>
      <c r="E148">
        <v>0</v>
      </c>
      <c r="F148">
        <v>0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f t="shared" si="6"/>
        <v>31</v>
      </c>
      <c r="R148">
        <v>21</v>
      </c>
      <c r="T148" s="53">
        <v>41235</v>
      </c>
      <c r="U148">
        <f t="shared" si="7"/>
        <v>25.599608222677773</v>
      </c>
      <c r="V148">
        <v>45</v>
      </c>
      <c r="W148">
        <f t="shared" si="8"/>
        <v>376.37520111359186</v>
      </c>
    </row>
    <row r="149" spans="1:23">
      <c r="A149" s="53">
        <v>41236</v>
      </c>
      <c r="B149">
        <v>49</v>
      </c>
      <c r="C149">
        <v>1</v>
      </c>
      <c r="D149">
        <v>0</v>
      </c>
      <c r="E149">
        <v>0</v>
      </c>
      <c r="F149">
        <v>2</v>
      </c>
      <c r="G149">
        <v>1</v>
      </c>
      <c r="H149">
        <v>6</v>
      </c>
      <c r="I149">
        <v>1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f t="shared" si="6"/>
        <v>40</v>
      </c>
      <c r="R149">
        <v>30</v>
      </c>
      <c r="T149" s="53">
        <v>41236</v>
      </c>
      <c r="U149">
        <f t="shared" si="7"/>
        <v>41.910060711690747</v>
      </c>
      <c r="V149">
        <v>49</v>
      </c>
      <c r="W149">
        <f t="shared" si="8"/>
        <v>50.267239111911117</v>
      </c>
    </row>
    <row r="150" spans="1:23">
      <c r="A150" s="53">
        <v>41237</v>
      </c>
      <c r="B150">
        <v>42</v>
      </c>
      <c r="C150">
        <v>1</v>
      </c>
      <c r="D150">
        <v>0</v>
      </c>
      <c r="E150">
        <v>0</v>
      </c>
      <c r="F150">
        <v>2</v>
      </c>
      <c r="G150">
        <v>1</v>
      </c>
      <c r="H150">
        <v>6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1</v>
      </c>
      <c r="P150">
        <v>0</v>
      </c>
      <c r="Q150">
        <f t="shared" si="6"/>
        <v>41</v>
      </c>
      <c r="R150">
        <v>31</v>
      </c>
      <c r="T150" s="53">
        <v>41237</v>
      </c>
      <c r="U150">
        <f t="shared" si="7"/>
        <v>41.565677812721994</v>
      </c>
      <c r="V150">
        <v>42</v>
      </c>
      <c r="W150">
        <f t="shared" si="8"/>
        <v>0.18863576236195159</v>
      </c>
    </row>
    <row r="151" spans="1:23">
      <c r="A151" s="53">
        <v>41238</v>
      </c>
      <c r="B151">
        <v>46</v>
      </c>
      <c r="C151">
        <v>1</v>
      </c>
      <c r="D151">
        <v>0</v>
      </c>
      <c r="E151">
        <v>0</v>
      </c>
      <c r="F151">
        <v>1</v>
      </c>
      <c r="G151">
        <v>1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f t="shared" si="6"/>
        <v>42</v>
      </c>
      <c r="R151">
        <v>32</v>
      </c>
      <c r="T151" s="53">
        <v>41238</v>
      </c>
      <c r="U151">
        <f t="shared" si="7"/>
        <v>35.630059749603504</v>
      </c>
      <c r="V151">
        <v>46</v>
      </c>
      <c r="W151">
        <f t="shared" si="8"/>
        <v>107.53566079679335</v>
      </c>
    </row>
    <row r="152" spans="1:23">
      <c r="A152" s="53">
        <v>41239</v>
      </c>
      <c r="B152">
        <v>40</v>
      </c>
      <c r="C152">
        <v>1</v>
      </c>
      <c r="D152">
        <v>0</v>
      </c>
      <c r="E152">
        <v>0</v>
      </c>
      <c r="F152">
        <v>0</v>
      </c>
      <c r="G152">
        <v>0</v>
      </c>
      <c r="H152">
        <v>1</v>
      </c>
      <c r="I152">
        <v>0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f t="shared" si="6"/>
        <v>37</v>
      </c>
      <c r="R152">
        <v>27</v>
      </c>
      <c r="T152" s="53">
        <v>41239</v>
      </c>
      <c r="U152">
        <f t="shared" si="7"/>
        <v>30.80618096154673</v>
      </c>
      <c r="V152">
        <v>40</v>
      </c>
      <c r="W152">
        <f t="shared" si="8"/>
        <v>84.526308511825818</v>
      </c>
    </row>
    <row r="153" spans="1:23">
      <c r="A153" s="53">
        <v>41240</v>
      </c>
      <c r="B153">
        <v>32</v>
      </c>
      <c r="C153">
        <v>1</v>
      </c>
      <c r="D153">
        <v>0</v>
      </c>
      <c r="E153">
        <v>0</v>
      </c>
      <c r="F153">
        <v>1</v>
      </c>
      <c r="G153">
        <v>0</v>
      </c>
      <c r="H153">
        <v>2</v>
      </c>
      <c r="I153">
        <v>0</v>
      </c>
      <c r="J153">
        <v>0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f t="shared" si="6"/>
        <v>30</v>
      </c>
      <c r="R153">
        <v>20</v>
      </c>
      <c r="T153" s="53">
        <v>41240</v>
      </c>
      <c r="U153">
        <f t="shared" si="7"/>
        <v>31.352757190063894</v>
      </c>
      <c r="V153">
        <v>32</v>
      </c>
      <c r="W153">
        <f t="shared" si="8"/>
        <v>0.41892325501398631</v>
      </c>
    </row>
    <row r="154" spans="1:23">
      <c r="A154" s="53">
        <v>41241</v>
      </c>
      <c r="B154">
        <v>43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0</v>
      </c>
      <c r="L154">
        <v>1</v>
      </c>
      <c r="M154">
        <v>0</v>
      </c>
      <c r="N154">
        <v>0</v>
      </c>
      <c r="O154">
        <v>0</v>
      </c>
      <c r="P154">
        <v>0</v>
      </c>
      <c r="Q154">
        <f t="shared" si="6"/>
        <v>30</v>
      </c>
      <c r="R154">
        <v>20</v>
      </c>
      <c r="T154" s="53">
        <v>41241</v>
      </c>
      <c r="U154">
        <f t="shared" si="7"/>
        <v>26.389988432226616</v>
      </c>
      <c r="V154">
        <v>43</v>
      </c>
      <c r="W154">
        <f t="shared" si="8"/>
        <v>275.8924842815656</v>
      </c>
    </row>
    <row r="155" spans="1:23">
      <c r="A155" s="53">
        <v>41242</v>
      </c>
      <c r="B155">
        <v>44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f t="shared" si="6"/>
        <v>25</v>
      </c>
      <c r="R155">
        <v>15</v>
      </c>
      <c r="T155" s="53">
        <v>41242</v>
      </c>
      <c r="U155">
        <f t="shared" si="7"/>
        <v>22.14885360661637</v>
      </c>
      <c r="V155">
        <v>44</v>
      </c>
      <c r="W155">
        <f t="shared" si="8"/>
        <v>477.47259870508242</v>
      </c>
    </row>
    <row r="156" spans="1:23">
      <c r="A156" s="53">
        <v>41243</v>
      </c>
      <c r="B156">
        <v>49</v>
      </c>
      <c r="C156">
        <v>1</v>
      </c>
      <c r="D156">
        <v>0</v>
      </c>
      <c r="E156">
        <v>0</v>
      </c>
      <c r="F156">
        <v>1</v>
      </c>
      <c r="G156">
        <v>1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f t="shared" si="6"/>
        <v>27</v>
      </c>
      <c r="R156">
        <v>17</v>
      </c>
      <c r="T156" s="53">
        <v>41243</v>
      </c>
      <c r="U156">
        <f t="shared" si="7"/>
        <v>31.589738788498273</v>
      </c>
      <c r="V156">
        <v>49</v>
      </c>
      <c r="W156">
        <f t="shared" si="8"/>
        <v>303.11719545272155</v>
      </c>
    </row>
    <row r="157" spans="1:23">
      <c r="A157" s="53">
        <v>41244</v>
      </c>
      <c r="B157">
        <v>45</v>
      </c>
      <c r="C157">
        <v>1</v>
      </c>
      <c r="D157">
        <v>0</v>
      </c>
      <c r="E157">
        <v>0</v>
      </c>
      <c r="F157">
        <v>2</v>
      </c>
      <c r="G157">
        <v>1</v>
      </c>
      <c r="H157">
        <v>6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1</v>
      </c>
      <c r="P157">
        <v>0</v>
      </c>
      <c r="Q157">
        <f t="shared" si="6"/>
        <v>42</v>
      </c>
      <c r="R157">
        <v>32</v>
      </c>
      <c r="T157" s="53">
        <v>41244</v>
      </c>
      <c r="U157">
        <f t="shared" si="7"/>
        <v>42.140803582065558</v>
      </c>
      <c r="V157">
        <v>45</v>
      </c>
      <c r="W157">
        <f t="shared" si="8"/>
        <v>8.1750041563291411</v>
      </c>
    </row>
    <row r="158" spans="1:23">
      <c r="A158" s="53">
        <v>41245</v>
      </c>
      <c r="B158">
        <v>37</v>
      </c>
      <c r="C158">
        <v>1</v>
      </c>
      <c r="D158">
        <v>0</v>
      </c>
      <c r="E158">
        <v>0</v>
      </c>
      <c r="F158">
        <v>1</v>
      </c>
      <c r="G158">
        <v>1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f t="shared" si="6"/>
        <v>27</v>
      </c>
      <c r="R158">
        <v>17</v>
      </c>
      <c r="T158" s="53">
        <v>41245</v>
      </c>
      <c r="U158">
        <f t="shared" si="7"/>
        <v>27.003173209449997</v>
      </c>
      <c r="V158">
        <v>37</v>
      </c>
      <c r="W158">
        <f t="shared" si="8"/>
        <v>99.936545880258265</v>
      </c>
    </row>
    <row r="159" spans="1:23">
      <c r="A159" s="53">
        <v>41246</v>
      </c>
      <c r="B159">
        <v>40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1</v>
      </c>
      <c r="I159">
        <v>0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f t="shared" si="6"/>
        <v>21</v>
      </c>
      <c r="R159">
        <v>11</v>
      </c>
      <c r="T159" s="53">
        <v>41246</v>
      </c>
      <c r="U159">
        <f t="shared" si="7"/>
        <v>21.604168652049658</v>
      </c>
      <c r="V159">
        <v>40</v>
      </c>
      <c r="W159">
        <f t="shared" si="8"/>
        <v>338.40661098223251</v>
      </c>
    </row>
    <row r="160" spans="1:23">
      <c r="A160" s="53">
        <v>41247</v>
      </c>
      <c r="B160">
        <v>17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f t="shared" si="6"/>
        <v>22</v>
      </c>
      <c r="R160">
        <v>12</v>
      </c>
      <c r="T160" s="53">
        <v>41247</v>
      </c>
      <c r="U160">
        <f t="shared" si="7"/>
        <v>22.187888561275781</v>
      </c>
      <c r="V160">
        <v>17</v>
      </c>
      <c r="W160">
        <f t="shared" si="8"/>
        <v>26.914187724216088</v>
      </c>
    </row>
    <row r="161" spans="1:23">
      <c r="A161" s="53">
        <v>41248</v>
      </c>
      <c r="B161">
        <v>26</v>
      </c>
      <c r="C161">
        <v>1</v>
      </c>
      <c r="D161">
        <v>0</v>
      </c>
      <c r="E161">
        <v>0</v>
      </c>
      <c r="F161">
        <v>0</v>
      </c>
      <c r="G161">
        <v>0</v>
      </c>
      <c r="H161">
        <v>1</v>
      </c>
      <c r="I161">
        <v>0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f t="shared" si="6"/>
        <v>23</v>
      </c>
      <c r="R161">
        <v>13</v>
      </c>
      <c r="T161" s="53">
        <v>41248</v>
      </c>
      <c r="U161">
        <f t="shared" si="7"/>
        <v>22.364108046821649</v>
      </c>
      <c r="V161">
        <v>26</v>
      </c>
      <c r="W161">
        <f t="shared" si="8"/>
        <v>13.219710295187086</v>
      </c>
    </row>
    <row r="162" spans="1:23">
      <c r="A162" s="53">
        <v>41249</v>
      </c>
      <c r="B162">
        <v>16</v>
      </c>
      <c r="C162">
        <v>1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f t="shared" si="6"/>
        <v>18</v>
      </c>
      <c r="R162">
        <v>8</v>
      </c>
      <c r="T162" s="53">
        <v>41249</v>
      </c>
      <c r="U162">
        <f t="shared" si="7"/>
        <v>18.122973221211403</v>
      </c>
      <c r="V162">
        <v>16</v>
      </c>
      <c r="W162">
        <f t="shared" si="8"/>
        <v>4.507015297980721</v>
      </c>
    </row>
    <row r="163" spans="1:23">
      <c r="A163" s="53">
        <v>41250</v>
      </c>
      <c r="B163">
        <v>19</v>
      </c>
      <c r="C163">
        <v>1</v>
      </c>
      <c r="D163">
        <v>0</v>
      </c>
      <c r="E163">
        <v>0</v>
      </c>
      <c r="F163">
        <v>0</v>
      </c>
      <c r="G163">
        <v>0</v>
      </c>
      <c r="H163">
        <v>1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f t="shared" si="6"/>
        <v>24</v>
      </c>
      <c r="R163">
        <v>14</v>
      </c>
      <c r="T163" s="53">
        <v>41250</v>
      </c>
      <c r="U163">
        <f t="shared" si="7"/>
        <v>23.001159729399973</v>
      </c>
      <c r="V163">
        <v>19</v>
      </c>
      <c r="W163">
        <f t="shared" si="8"/>
        <v>16.009279180172065</v>
      </c>
    </row>
    <row r="164" spans="1:23">
      <c r="A164" s="53">
        <v>41251</v>
      </c>
      <c r="B164">
        <v>44</v>
      </c>
      <c r="C164">
        <v>1</v>
      </c>
      <c r="D164">
        <v>0</v>
      </c>
      <c r="E164">
        <v>0</v>
      </c>
      <c r="F164">
        <v>1</v>
      </c>
      <c r="G164">
        <v>1</v>
      </c>
      <c r="H164">
        <v>4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f t="shared" si="6"/>
        <v>41</v>
      </c>
      <c r="R164">
        <v>31</v>
      </c>
      <c r="T164" s="53">
        <v>41251</v>
      </c>
      <c r="U164">
        <f t="shared" si="7"/>
        <v>37.755860241342241</v>
      </c>
      <c r="V164">
        <v>44</v>
      </c>
      <c r="W164">
        <f t="shared" si="8"/>
        <v>38.98928132565058</v>
      </c>
    </row>
    <row r="165" spans="1:23">
      <c r="A165" s="53">
        <v>41252</v>
      </c>
      <c r="B165">
        <v>35</v>
      </c>
      <c r="C165">
        <v>1</v>
      </c>
      <c r="D165">
        <v>0</v>
      </c>
      <c r="E165">
        <v>0</v>
      </c>
      <c r="F165">
        <v>1</v>
      </c>
      <c r="G165">
        <v>0</v>
      </c>
      <c r="H165">
        <v>2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f t="shared" si="6"/>
        <v>32</v>
      </c>
      <c r="R165">
        <v>22</v>
      </c>
      <c r="T165" s="53">
        <v>41252</v>
      </c>
      <c r="U165">
        <f t="shared" si="7"/>
        <v>27.57946277913981</v>
      </c>
      <c r="V165">
        <v>35</v>
      </c>
      <c r="W165">
        <f t="shared" si="8"/>
        <v>55.064372646171471</v>
      </c>
    </row>
    <row r="166" spans="1:23">
      <c r="A166" s="53">
        <v>41253</v>
      </c>
      <c r="B166">
        <v>39</v>
      </c>
      <c r="C166">
        <v>1</v>
      </c>
      <c r="D166">
        <v>0</v>
      </c>
      <c r="E166">
        <v>0</v>
      </c>
      <c r="F166">
        <v>0</v>
      </c>
      <c r="G166">
        <v>0</v>
      </c>
      <c r="H166">
        <v>1</v>
      </c>
      <c r="I166">
        <v>0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f t="shared" si="6"/>
        <v>29</v>
      </c>
      <c r="R166">
        <v>19</v>
      </c>
      <c r="T166" s="53">
        <v>41253</v>
      </c>
      <c r="U166">
        <f t="shared" si="7"/>
        <v>26.205174806798194</v>
      </c>
      <c r="V166">
        <v>39</v>
      </c>
      <c r="W166">
        <f t="shared" si="8"/>
        <v>163.70755172459164</v>
      </c>
    </row>
    <row r="167" spans="1:23">
      <c r="A167" s="53">
        <v>41254</v>
      </c>
      <c r="B167">
        <v>22</v>
      </c>
      <c r="C167">
        <v>1</v>
      </c>
      <c r="D167">
        <v>0</v>
      </c>
      <c r="E167">
        <v>0</v>
      </c>
      <c r="F167">
        <v>0</v>
      </c>
      <c r="G167">
        <v>0</v>
      </c>
      <c r="H167">
        <v>1</v>
      </c>
      <c r="I167">
        <v>0</v>
      </c>
      <c r="J167">
        <v>0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f t="shared" si="6"/>
        <v>24</v>
      </c>
      <c r="R167">
        <v>14</v>
      </c>
      <c r="T167" s="53">
        <v>41254</v>
      </c>
      <c r="U167">
        <f t="shared" si="7"/>
        <v>23.338140099962914</v>
      </c>
      <c r="V167">
        <v>22</v>
      </c>
      <c r="W167">
        <f t="shared" si="8"/>
        <v>1.7906189271287565</v>
      </c>
    </row>
    <row r="168" spans="1:23">
      <c r="A168" s="53">
        <v>41255</v>
      </c>
      <c r="B168">
        <v>27</v>
      </c>
      <c r="C168">
        <v>1</v>
      </c>
      <c r="D168">
        <v>0</v>
      </c>
      <c r="E168">
        <v>0</v>
      </c>
      <c r="F168">
        <v>0</v>
      </c>
      <c r="G168">
        <v>0</v>
      </c>
      <c r="H168">
        <v>1</v>
      </c>
      <c r="I168">
        <v>0</v>
      </c>
      <c r="J168">
        <v>0</v>
      </c>
      <c r="K168">
        <v>0</v>
      </c>
      <c r="L168">
        <v>1</v>
      </c>
      <c r="M168">
        <v>0</v>
      </c>
      <c r="N168">
        <v>0</v>
      </c>
      <c r="O168">
        <v>0</v>
      </c>
      <c r="P168">
        <v>0</v>
      </c>
      <c r="Q168">
        <f t="shared" si="6"/>
        <v>25</v>
      </c>
      <c r="R168">
        <v>15</v>
      </c>
      <c r="T168" s="53">
        <v>41255</v>
      </c>
      <c r="U168">
        <f t="shared" si="7"/>
        <v>23.514359585508778</v>
      </c>
      <c r="V168">
        <v>27</v>
      </c>
      <c r="W168">
        <f t="shared" si="8"/>
        <v>12.149689099134537</v>
      </c>
    </row>
    <row r="169" spans="1:23">
      <c r="A169" s="53">
        <v>41256</v>
      </c>
      <c r="B169">
        <v>34</v>
      </c>
      <c r="C169">
        <v>1</v>
      </c>
      <c r="D169">
        <v>0</v>
      </c>
      <c r="E169">
        <v>0</v>
      </c>
      <c r="F169">
        <v>0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f t="shared" si="6"/>
        <v>27</v>
      </c>
      <c r="R169">
        <v>17</v>
      </c>
      <c r="T169" s="53">
        <v>41256</v>
      </c>
      <c r="U169">
        <f t="shared" si="7"/>
        <v>23.299105145303507</v>
      </c>
      <c r="V169">
        <v>34</v>
      </c>
      <c r="W169">
        <f t="shared" si="8"/>
        <v>114.50915069126988</v>
      </c>
    </row>
    <row r="170" spans="1:23">
      <c r="A170" s="53">
        <v>41257</v>
      </c>
      <c r="B170">
        <v>37</v>
      </c>
      <c r="C170">
        <v>1</v>
      </c>
      <c r="D170">
        <v>0</v>
      </c>
      <c r="E170">
        <v>0</v>
      </c>
      <c r="F170">
        <v>0</v>
      </c>
      <c r="G170">
        <v>0</v>
      </c>
      <c r="H170">
        <v>1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f t="shared" si="6"/>
        <v>35</v>
      </c>
      <c r="R170">
        <v>25</v>
      </c>
      <c r="T170" s="53">
        <v>41257</v>
      </c>
      <c r="U170">
        <f t="shared" si="7"/>
        <v>29.32754319217921</v>
      </c>
      <c r="V170">
        <v>37</v>
      </c>
      <c r="W170">
        <f t="shared" si="8"/>
        <v>58.866593467875589</v>
      </c>
    </row>
    <row r="171" spans="1:23">
      <c r="A171" s="53">
        <v>41258</v>
      </c>
      <c r="B171">
        <v>50</v>
      </c>
      <c r="C171">
        <v>1</v>
      </c>
      <c r="D171">
        <v>0</v>
      </c>
      <c r="E171">
        <v>0</v>
      </c>
      <c r="F171">
        <v>1</v>
      </c>
      <c r="G171">
        <v>1</v>
      </c>
      <c r="H171">
        <v>4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</v>
      </c>
      <c r="P171">
        <v>0</v>
      </c>
      <c r="Q171">
        <f t="shared" si="6"/>
        <v>45</v>
      </c>
      <c r="R171">
        <v>35</v>
      </c>
      <c r="T171" s="53">
        <v>41258</v>
      </c>
      <c r="U171">
        <f t="shared" si="7"/>
        <v>40.056363318716507</v>
      </c>
      <c r="V171">
        <v>50</v>
      </c>
      <c r="W171">
        <f t="shared" si="8"/>
        <v>98.8759104493666</v>
      </c>
    </row>
    <row r="172" spans="1:23">
      <c r="A172" s="53">
        <v>41259</v>
      </c>
      <c r="B172">
        <v>49</v>
      </c>
      <c r="C172">
        <v>1</v>
      </c>
      <c r="D172">
        <v>0</v>
      </c>
      <c r="E172">
        <v>0</v>
      </c>
      <c r="F172">
        <v>1</v>
      </c>
      <c r="G172">
        <v>0</v>
      </c>
      <c r="H172">
        <v>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f t="shared" si="6"/>
        <v>40</v>
      </c>
      <c r="R172">
        <v>30</v>
      </c>
      <c r="T172" s="53">
        <v>41259</v>
      </c>
      <c r="U172">
        <f t="shared" si="7"/>
        <v>32.180468933888349</v>
      </c>
      <c r="V172">
        <v>49</v>
      </c>
      <c r="W172">
        <f t="shared" si="8"/>
        <v>282.89662528389493</v>
      </c>
    </row>
    <row r="173" spans="1:23">
      <c r="A173" s="53">
        <v>41260</v>
      </c>
      <c r="B173">
        <v>43</v>
      </c>
      <c r="C173">
        <v>1</v>
      </c>
      <c r="D173">
        <v>0</v>
      </c>
      <c r="E173">
        <v>0</v>
      </c>
      <c r="F173">
        <v>0</v>
      </c>
      <c r="G173">
        <v>0</v>
      </c>
      <c r="H173">
        <v>1</v>
      </c>
      <c r="I173">
        <v>0</v>
      </c>
      <c r="J173">
        <v>1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f t="shared" si="6"/>
        <v>40</v>
      </c>
      <c r="R173">
        <v>30</v>
      </c>
      <c r="T173" s="53">
        <v>41260</v>
      </c>
      <c r="U173">
        <f t="shared" si="7"/>
        <v>32.531558269577431</v>
      </c>
      <c r="V173">
        <v>43</v>
      </c>
      <c r="W173">
        <f t="shared" si="8"/>
        <v>109.58827226325268</v>
      </c>
    </row>
    <row r="174" spans="1:23">
      <c r="A174" s="53">
        <v>41261</v>
      </c>
      <c r="B174">
        <v>41</v>
      </c>
      <c r="C174">
        <v>1</v>
      </c>
      <c r="D174">
        <v>0</v>
      </c>
      <c r="E174">
        <v>0</v>
      </c>
      <c r="F174">
        <v>0</v>
      </c>
      <c r="G174">
        <v>0</v>
      </c>
      <c r="H174">
        <v>1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f t="shared" si="6"/>
        <v>40</v>
      </c>
      <c r="R174">
        <v>30</v>
      </c>
      <c r="T174" s="53">
        <v>41261</v>
      </c>
      <c r="U174">
        <f t="shared" si="7"/>
        <v>32.540152409459985</v>
      </c>
      <c r="V174">
        <v>41</v>
      </c>
      <c r="W174">
        <f t="shared" si="8"/>
        <v>71.569021255165694</v>
      </c>
    </row>
    <row r="175" spans="1:23">
      <c r="A175" s="53">
        <v>41262</v>
      </c>
      <c r="B175">
        <v>39</v>
      </c>
      <c r="C175">
        <v>1</v>
      </c>
      <c r="D175">
        <v>0</v>
      </c>
      <c r="E175">
        <v>0</v>
      </c>
      <c r="F175">
        <v>0</v>
      </c>
      <c r="G175">
        <v>0</v>
      </c>
      <c r="H175">
        <v>1</v>
      </c>
      <c r="I175">
        <v>0</v>
      </c>
      <c r="J175">
        <v>0</v>
      </c>
      <c r="K175">
        <v>0</v>
      </c>
      <c r="L175">
        <v>1</v>
      </c>
      <c r="M175">
        <v>0</v>
      </c>
      <c r="N175">
        <v>0</v>
      </c>
      <c r="O175">
        <v>0</v>
      </c>
      <c r="P175">
        <v>0</v>
      </c>
      <c r="Q175">
        <f t="shared" si="6"/>
        <v>38</v>
      </c>
      <c r="R175">
        <v>28</v>
      </c>
      <c r="T175" s="53">
        <v>41262</v>
      </c>
      <c r="U175">
        <f t="shared" si="7"/>
        <v>30.990994586975152</v>
      </c>
      <c r="V175">
        <v>39</v>
      </c>
      <c r="W175">
        <f t="shared" si="8"/>
        <v>64.144167705861321</v>
      </c>
    </row>
    <row r="176" spans="1:23">
      <c r="A176" s="53">
        <v>41263</v>
      </c>
      <c r="B176">
        <v>50</v>
      </c>
      <c r="C176">
        <v>1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f t="shared" si="6"/>
        <v>42</v>
      </c>
      <c r="R176">
        <v>32</v>
      </c>
      <c r="T176" s="53">
        <v>41263</v>
      </c>
      <c r="U176">
        <f t="shared" si="7"/>
        <v>31.92599168545701</v>
      </c>
      <c r="V176">
        <v>50</v>
      </c>
      <c r="W176">
        <f t="shared" si="8"/>
        <v>326.66977655416912</v>
      </c>
    </row>
    <row r="177" spans="1:23">
      <c r="A177" s="53">
        <v>41264</v>
      </c>
      <c r="B177">
        <v>45</v>
      </c>
      <c r="C177">
        <v>1</v>
      </c>
      <c r="D177">
        <v>0</v>
      </c>
      <c r="E177">
        <v>0</v>
      </c>
      <c r="F177">
        <v>0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f t="shared" si="6"/>
        <v>46</v>
      </c>
      <c r="R177">
        <v>36</v>
      </c>
      <c r="T177" s="53">
        <v>41264</v>
      </c>
      <c r="U177">
        <f t="shared" si="7"/>
        <v>35.653926654958447</v>
      </c>
      <c r="V177">
        <v>45</v>
      </c>
      <c r="W177">
        <f t="shared" si="8"/>
        <v>87.349086970896209</v>
      </c>
    </row>
    <row r="178" spans="1:23">
      <c r="A178" s="53">
        <v>41265</v>
      </c>
      <c r="B178">
        <v>49</v>
      </c>
      <c r="C178">
        <v>1</v>
      </c>
      <c r="D178">
        <v>0</v>
      </c>
      <c r="E178">
        <v>0</v>
      </c>
      <c r="F178">
        <v>2</v>
      </c>
      <c r="G178">
        <v>1</v>
      </c>
      <c r="H178">
        <v>6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1</v>
      </c>
      <c r="P178">
        <v>0</v>
      </c>
      <c r="Q178">
        <f t="shared" si="6"/>
        <v>40</v>
      </c>
      <c r="R178">
        <v>30</v>
      </c>
      <c r="T178" s="53">
        <v>41265</v>
      </c>
      <c r="U178">
        <f t="shared" si="7"/>
        <v>40.990552043378429</v>
      </c>
      <c r="V178">
        <v>49</v>
      </c>
      <c r="W178">
        <f t="shared" si="8"/>
        <v>64.151256569829457</v>
      </c>
    </row>
    <row r="179" spans="1:23">
      <c r="A179" s="53">
        <v>41266</v>
      </c>
      <c r="B179">
        <v>46</v>
      </c>
      <c r="C179">
        <v>1</v>
      </c>
      <c r="D179">
        <v>0</v>
      </c>
      <c r="E179">
        <v>0</v>
      </c>
      <c r="F179">
        <v>2</v>
      </c>
      <c r="G179">
        <v>3</v>
      </c>
      <c r="H179">
        <v>12</v>
      </c>
      <c r="I179">
        <v>1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f t="shared" si="6"/>
        <v>32</v>
      </c>
      <c r="R179">
        <v>22</v>
      </c>
      <c r="T179" s="53">
        <v>41266</v>
      </c>
      <c r="U179">
        <f t="shared" si="7"/>
        <v>35.813077726630326</v>
      </c>
      <c r="V179">
        <v>46</v>
      </c>
      <c r="W179">
        <f t="shared" si="8"/>
        <v>103.77338540367518</v>
      </c>
    </row>
    <row r="180" spans="1:23">
      <c r="A180" s="53">
        <v>41267</v>
      </c>
      <c r="B180">
        <v>44</v>
      </c>
      <c r="C180">
        <v>1</v>
      </c>
      <c r="D180">
        <v>0</v>
      </c>
      <c r="E180">
        <v>0</v>
      </c>
      <c r="F180">
        <v>1</v>
      </c>
      <c r="G180">
        <v>0</v>
      </c>
      <c r="H180">
        <v>2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f t="shared" si="6"/>
        <v>41</v>
      </c>
      <c r="R180">
        <v>31</v>
      </c>
      <c r="T180" s="53">
        <v>41267</v>
      </c>
      <c r="U180">
        <f t="shared" si="7"/>
        <v>36.704415863306934</v>
      </c>
      <c r="V180">
        <v>44</v>
      </c>
      <c r="W180">
        <f t="shared" si="8"/>
        <v>53.225547895567502</v>
      </c>
    </row>
    <row r="181" spans="1:23">
      <c r="A181" s="53">
        <v>41268</v>
      </c>
      <c r="B181">
        <v>43</v>
      </c>
      <c r="C181">
        <v>1</v>
      </c>
      <c r="D181">
        <v>0</v>
      </c>
      <c r="E181">
        <v>0</v>
      </c>
      <c r="F181">
        <v>1</v>
      </c>
      <c r="G181">
        <v>1</v>
      </c>
      <c r="H181">
        <v>4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0</v>
      </c>
      <c r="O181">
        <v>0</v>
      </c>
      <c r="P181">
        <v>0</v>
      </c>
      <c r="Q181">
        <f t="shared" si="6"/>
        <v>40</v>
      </c>
      <c r="R181">
        <v>30</v>
      </c>
      <c r="T181" s="53">
        <v>41268</v>
      </c>
      <c r="U181">
        <f t="shared" si="7"/>
        <v>39.403354160527584</v>
      </c>
      <c r="V181">
        <v>43</v>
      </c>
      <c r="W181">
        <f t="shared" si="8"/>
        <v>12.935861294594238</v>
      </c>
    </row>
    <row r="182" spans="1:23">
      <c r="A182" s="53">
        <v>41269</v>
      </c>
      <c r="B182">
        <v>55</v>
      </c>
      <c r="C182">
        <v>1</v>
      </c>
      <c r="D182">
        <v>0</v>
      </c>
      <c r="E182">
        <v>0</v>
      </c>
      <c r="F182">
        <v>0</v>
      </c>
      <c r="G182">
        <v>0</v>
      </c>
      <c r="H182">
        <v>1</v>
      </c>
      <c r="I182">
        <v>0</v>
      </c>
      <c r="J182">
        <v>0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f t="shared" si="6"/>
        <v>33</v>
      </c>
      <c r="R182">
        <v>23</v>
      </c>
      <c r="T182" s="53">
        <v>41269</v>
      </c>
      <c r="U182">
        <f t="shared" si="7"/>
        <v>28.115365740257317</v>
      </c>
      <c r="V182">
        <v>55</v>
      </c>
      <c r="W182">
        <f t="shared" si="8"/>
        <v>722.78355928013002</v>
      </c>
    </row>
    <row r="183" spans="1:23">
      <c r="A183" s="53">
        <v>41270</v>
      </c>
      <c r="B183">
        <v>48</v>
      </c>
      <c r="C183">
        <v>1</v>
      </c>
      <c r="D183">
        <v>0</v>
      </c>
      <c r="E183">
        <v>0</v>
      </c>
      <c r="F183">
        <v>1</v>
      </c>
      <c r="G183">
        <v>0</v>
      </c>
      <c r="H183">
        <v>2</v>
      </c>
      <c r="I183">
        <v>0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f t="shared" si="6"/>
        <v>36</v>
      </c>
      <c r="R183">
        <v>26</v>
      </c>
      <c r="T183" s="53">
        <v>41270</v>
      </c>
      <c r="U183">
        <f t="shared" si="7"/>
        <v>33.039099543435185</v>
      </c>
      <c r="V183">
        <v>48</v>
      </c>
      <c r="W183">
        <f t="shared" si="8"/>
        <v>223.82854247124129</v>
      </c>
    </row>
    <row r="184" spans="1:23">
      <c r="A184" s="53">
        <v>41271</v>
      </c>
      <c r="B184">
        <v>41</v>
      </c>
      <c r="C184">
        <v>1</v>
      </c>
      <c r="D184">
        <v>0</v>
      </c>
      <c r="E184">
        <v>0</v>
      </c>
      <c r="F184">
        <v>1</v>
      </c>
      <c r="G184">
        <v>1</v>
      </c>
      <c r="H184">
        <v>4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f t="shared" si="6"/>
        <v>25</v>
      </c>
      <c r="R184">
        <v>15</v>
      </c>
      <c r="T184" s="53">
        <v>41271</v>
      </c>
      <c r="U184">
        <f t="shared" si="7"/>
        <v>30.439487249811137</v>
      </c>
      <c r="V184">
        <v>41</v>
      </c>
      <c r="W184">
        <f t="shared" si="8"/>
        <v>111.52442954690154</v>
      </c>
    </row>
    <row r="185" spans="1:23">
      <c r="A185" s="53">
        <v>41272</v>
      </c>
      <c r="B185">
        <v>33</v>
      </c>
      <c r="C185">
        <v>1</v>
      </c>
      <c r="D185">
        <v>0</v>
      </c>
      <c r="E185">
        <v>0</v>
      </c>
      <c r="F185">
        <v>2</v>
      </c>
      <c r="G185">
        <v>2</v>
      </c>
      <c r="H185">
        <v>9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</v>
      </c>
      <c r="P185">
        <v>0</v>
      </c>
      <c r="Q185">
        <f t="shared" si="6"/>
        <v>10</v>
      </c>
      <c r="R185">
        <v>0</v>
      </c>
      <c r="T185" s="53">
        <v>41272</v>
      </c>
      <c r="U185">
        <f t="shared" si="7"/>
        <v>25.282073337439613</v>
      </c>
      <c r="V185">
        <v>33</v>
      </c>
      <c r="W185">
        <f t="shared" si="8"/>
        <v>59.566391968660518</v>
      </c>
    </row>
    <row r="186" spans="1:23">
      <c r="A186" s="53">
        <v>41273</v>
      </c>
      <c r="B186">
        <v>23</v>
      </c>
      <c r="C186">
        <v>1</v>
      </c>
      <c r="D186">
        <v>0</v>
      </c>
      <c r="E186">
        <v>0</v>
      </c>
      <c r="F186">
        <v>1</v>
      </c>
      <c r="G186">
        <v>2</v>
      </c>
      <c r="H186">
        <v>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f t="shared" si="6"/>
        <v>10</v>
      </c>
      <c r="R186">
        <v>0</v>
      </c>
      <c r="T186" s="53">
        <v>41273</v>
      </c>
      <c r="U186">
        <f t="shared" si="7"/>
        <v>19.525374407637383</v>
      </c>
      <c r="V186">
        <v>23</v>
      </c>
      <c r="W186">
        <f t="shared" si="8"/>
        <v>12.073023007101268</v>
      </c>
    </row>
    <row r="187" spans="1:23">
      <c r="A187" s="53">
        <v>41274</v>
      </c>
      <c r="B187">
        <v>0</v>
      </c>
      <c r="C187">
        <v>1</v>
      </c>
      <c r="D187">
        <v>0</v>
      </c>
      <c r="E187">
        <v>1</v>
      </c>
      <c r="F187">
        <v>-1</v>
      </c>
      <c r="G187">
        <v>-1</v>
      </c>
      <c r="H187">
        <v>0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f t="shared" si="6"/>
        <v>10</v>
      </c>
      <c r="R187">
        <v>0</v>
      </c>
      <c r="T187" s="53">
        <v>41274</v>
      </c>
      <c r="U187">
        <f t="shared" si="7"/>
        <v>6.9064936328831665</v>
      </c>
      <c r="V187">
        <v>0</v>
      </c>
      <c r="W187">
        <f t="shared" si="8"/>
        <v>47.699654301055716</v>
      </c>
    </row>
    <row r="188" spans="1:23">
      <c r="A188" s="53">
        <v>41275</v>
      </c>
      <c r="B188">
        <v>0</v>
      </c>
      <c r="C188">
        <v>1</v>
      </c>
      <c r="D188">
        <v>0</v>
      </c>
      <c r="E188">
        <v>1</v>
      </c>
      <c r="F188">
        <v>-1</v>
      </c>
      <c r="G188">
        <v>-1</v>
      </c>
      <c r="H188">
        <v>0</v>
      </c>
      <c r="I188">
        <v>0</v>
      </c>
      <c r="J188">
        <v>0</v>
      </c>
      <c r="K188">
        <v>1</v>
      </c>
      <c r="L188">
        <v>0</v>
      </c>
      <c r="M188">
        <v>0</v>
      </c>
      <c r="N188">
        <v>0</v>
      </c>
      <c r="O188">
        <v>0</v>
      </c>
      <c r="P188">
        <v>0</v>
      </c>
      <c r="Q188">
        <f t="shared" si="6"/>
        <v>10</v>
      </c>
      <c r="R188">
        <v>0</v>
      </c>
      <c r="T188" s="53">
        <v>41275</v>
      </c>
      <c r="U188">
        <f t="shared" si="7"/>
        <v>6.9150877727657205</v>
      </c>
      <c r="V188">
        <v>0</v>
      </c>
      <c r="W188">
        <f t="shared" si="8"/>
        <v>47.818438905053974</v>
      </c>
    </row>
    <row r="189" spans="1:23">
      <c r="A189" s="53">
        <v>41276</v>
      </c>
      <c r="B189">
        <v>0</v>
      </c>
      <c r="C189">
        <v>1</v>
      </c>
      <c r="D189">
        <v>0</v>
      </c>
      <c r="E189">
        <v>1</v>
      </c>
      <c r="F189">
        <v>-1</v>
      </c>
      <c r="G189">
        <v>-1</v>
      </c>
      <c r="H189">
        <v>0</v>
      </c>
      <c r="I189">
        <v>0</v>
      </c>
      <c r="J189">
        <v>0</v>
      </c>
      <c r="K189">
        <v>0</v>
      </c>
      <c r="L189">
        <v>1</v>
      </c>
      <c r="M189">
        <v>0</v>
      </c>
      <c r="N189">
        <v>0</v>
      </c>
      <c r="O189">
        <v>0</v>
      </c>
      <c r="P189">
        <v>0</v>
      </c>
      <c r="Q189">
        <f t="shared" si="6"/>
        <v>22</v>
      </c>
      <c r="R189">
        <v>12</v>
      </c>
      <c r="T189" s="53">
        <v>41276</v>
      </c>
      <c r="U189">
        <f t="shared" si="7"/>
        <v>13.417690721090825</v>
      </c>
      <c r="V189">
        <v>0</v>
      </c>
      <c r="W189">
        <f t="shared" si="8"/>
        <v>180.03442428684681</v>
      </c>
    </row>
    <row r="190" spans="1:23">
      <c r="A190" s="53">
        <v>41277</v>
      </c>
      <c r="B190">
        <v>0</v>
      </c>
      <c r="C190">
        <v>1</v>
      </c>
      <c r="D190">
        <v>0</v>
      </c>
      <c r="E190">
        <v>1</v>
      </c>
      <c r="F190">
        <v>-1</v>
      </c>
      <c r="G190">
        <v>-1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f t="shared" si="6"/>
        <v>19</v>
      </c>
      <c r="R190">
        <v>9</v>
      </c>
      <c r="T190" s="53">
        <v>41277</v>
      </c>
      <c r="U190">
        <f t="shared" si="7"/>
        <v>10.326807434167714</v>
      </c>
      <c r="V190">
        <v>0</v>
      </c>
      <c r="W190">
        <f t="shared" si="8"/>
        <v>106.64295178238156</v>
      </c>
    </row>
    <row r="191" spans="1:23">
      <c r="A191" s="53">
        <v>41278</v>
      </c>
      <c r="B191">
        <v>38</v>
      </c>
      <c r="C191">
        <v>1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f t="shared" si="6"/>
        <v>18</v>
      </c>
      <c r="R191">
        <v>8</v>
      </c>
      <c r="T191" s="53">
        <v>41278</v>
      </c>
      <c r="U191">
        <f t="shared" si="7"/>
        <v>19.55040511333857</v>
      </c>
      <c r="V191">
        <v>38</v>
      </c>
      <c r="W191">
        <f t="shared" si="8"/>
        <v>340.38755148192359</v>
      </c>
    </row>
    <row r="192" spans="1:23">
      <c r="A192" s="53">
        <v>41279</v>
      </c>
      <c r="B192">
        <v>26</v>
      </c>
      <c r="C192">
        <v>1</v>
      </c>
      <c r="D192">
        <v>0</v>
      </c>
      <c r="E192">
        <v>0</v>
      </c>
      <c r="F192">
        <v>0</v>
      </c>
      <c r="G192">
        <v>0</v>
      </c>
      <c r="H192">
        <v>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0</v>
      </c>
      <c r="Q192">
        <f t="shared" si="6"/>
        <v>39</v>
      </c>
      <c r="R192">
        <v>29</v>
      </c>
      <c r="T192" s="53">
        <v>41279</v>
      </c>
      <c r="U192">
        <f t="shared" si="7"/>
        <v>29.742406951587505</v>
      </c>
      <c r="V192">
        <v>26</v>
      </c>
      <c r="W192">
        <f t="shared" si="8"/>
        <v>14.00560979129048</v>
      </c>
    </row>
    <row r="193" spans="1:23">
      <c r="A193" s="53">
        <v>41280</v>
      </c>
      <c r="B193">
        <v>24</v>
      </c>
      <c r="C193">
        <v>1</v>
      </c>
      <c r="D193">
        <v>0</v>
      </c>
      <c r="E193">
        <v>0</v>
      </c>
      <c r="F193">
        <v>0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f t="shared" si="6"/>
        <v>33</v>
      </c>
      <c r="R193">
        <v>23</v>
      </c>
      <c r="T193" s="53">
        <v>41280</v>
      </c>
      <c r="U193">
        <f t="shared" si="7"/>
        <v>23.590726074443801</v>
      </c>
      <c r="V193">
        <v>24</v>
      </c>
      <c r="W193">
        <f t="shared" si="8"/>
        <v>0.1675051461401815</v>
      </c>
    </row>
    <row r="194" spans="1:23">
      <c r="A194" s="53">
        <v>41281</v>
      </c>
      <c r="B194">
        <v>22</v>
      </c>
      <c r="C194">
        <v>1</v>
      </c>
      <c r="D194">
        <v>0</v>
      </c>
      <c r="E194">
        <v>0</v>
      </c>
      <c r="F194">
        <v>0</v>
      </c>
      <c r="G194">
        <v>0</v>
      </c>
      <c r="H194">
        <v>1</v>
      </c>
      <c r="I194">
        <v>0</v>
      </c>
      <c r="J194">
        <v>1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f t="shared" si="6"/>
        <v>19</v>
      </c>
      <c r="R194">
        <v>9</v>
      </c>
      <c r="T194" s="53">
        <v>41281</v>
      </c>
      <c r="U194">
        <f t="shared" si="7"/>
        <v>20.453917113362525</v>
      </c>
      <c r="V194">
        <v>22</v>
      </c>
      <c r="W194">
        <f t="shared" si="8"/>
        <v>2.3903722923532666</v>
      </c>
    </row>
    <row r="195" spans="1:23">
      <c r="A195" s="53">
        <v>41282</v>
      </c>
      <c r="B195">
        <v>12</v>
      </c>
      <c r="C195">
        <v>1</v>
      </c>
      <c r="D195">
        <v>0</v>
      </c>
      <c r="E195">
        <v>0</v>
      </c>
      <c r="F195">
        <v>0</v>
      </c>
      <c r="G195">
        <v>0</v>
      </c>
      <c r="H195">
        <v>1</v>
      </c>
      <c r="I195">
        <v>0</v>
      </c>
      <c r="J195">
        <v>0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f t="shared" si="6"/>
        <v>20</v>
      </c>
      <c r="R195">
        <v>10</v>
      </c>
      <c r="T195" s="53">
        <v>41282</v>
      </c>
      <c r="U195">
        <f t="shared" si="7"/>
        <v>21.037637022588648</v>
      </c>
      <c r="V195">
        <v>12</v>
      </c>
      <c r="W195">
        <f t="shared" si="8"/>
        <v>81.678882952064995</v>
      </c>
    </row>
    <row r="196" spans="1:23">
      <c r="A196" s="53">
        <v>41283</v>
      </c>
      <c r="B196">
        <v>18</v>
      </c>
      <c r="C196">
        <v>1</v>
      </c>
      <c r="D196">
        <v>0</v>
      </c>
      <c r="E196">
        <v>0</v>
      </c>
      <c r="F196">
        <v>0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0</v>
      </c>
      <c r="P196">
        <v>0</v>
      </c>
      <c r="Q196">
        <f t="shared" ref="Q196:Q259" si="9">R196+10</f>
        <v>20</v>
      </c>
      <c r="R196">
        <v>10</v>
      </c>
      <c r="T196" s="53">
        <v>41283</v>
      </c>
      <c r="U196">
        <f t="shared" ref="U196:U259" si="10">SUMPRODUCT($C$2:$Q$2,C196:Q196)</f>
        <v>20.638730738790947</v>
      </c>
      <c r="V196">
        <v>18</v>
      </c>
      <c r="W196">
        <f t="shared" ref="W196:W259" si="11">(V196-U196)^2</f>
        <v>6.9628999118402186</v>
      </c>
    </row>
    <row r="197" spans="1:23">
      <c r="A197" s="53">
        <v>41284</v>
      </c>
      <c r="B197">
        <v>19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1</v>
      </c>
      <c r="I197">
        <v>0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0</v>
      </c>
      <c r="Q197">
        <f t="shared" si="9"/>
        <v>17</v>
      </c>
      <c r="R197">
        <v>7</v>
      </c>
      <c r="T197" s="53">
        <v>41284</v>
      </c>
      <c r="U197">
        <f t="shared" si="10"/>
        <v>17.547847451867838</v>
      </c>
      <c r="V197">
        <v>19</v>
      </c>
      <c r="W197">
        <f t="shared" si="11"/>
        <v>2.1087470230467305</v>
      </c>
    </row>
    <row r="198" spans="1:23">
      <c r="A198" s="53">
        <v>41285</v>
      </c>
      <c r="B198">
        <v>27</v>
      </c>
      <c r="C198">
        <v>1</v>
      </c>
      <c r="D198">
        <v>0</v>
      </c>
      <c r="E198">
        <v>0</v>
      </c>
      <c r="F198">
        <v>0</v>
      </c>
      <c r="G198">
        <v>0</v>
      </c>
      <c r="H198">
        <v>1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0</v>
      </c>
      <c r="Q198">
        <f t="shared" si="9"/>
        <v>19</v>
      </c>
      <c r="R198">
        <v>9</v>
      </c>
      <c r="T198" s="53">
        <v>41285</v>
      </c>
      <c r="U198">
        <f t="shared" si="10"/>
        <v>20.125530882682138</v>
      </c>
      <c r="V198">
        <v>27</v>
      </c>
      <c r="W198">
        <f t="shared" si="11"/>
        <v>47.258325644957019</v>
      </c>
    </row>
    <row r="199" spans="1:23">
      <c r="A199" s="53">
        <v>41286</v>
      </c>
      <c r="B199">
        <v>39</v>
      </c>
      <c r="C199">
        <v>1</v>
      </c>
      <c r="D199">
        <v>0</v>
      </c>
      <c r="E199">
        <v>0</v>
      </c>
      <c r="F199">
        <v>1</v>
      </c>
      <c r="G199">
        <v>0</v>
      </c>
      <c r="H199">
        <v>2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1</v>
      </c>
      <c r="P199">
        <v>0</v>
      </c>
      <c r="Q199">
        <f t="shared" si="9"/>
        <v>34</v>
      </c>
      <c r="R199">
        <v>24</v>
      </c>
      <c r="T199" s="53">
        <v>41286</v>
      </c>
      <c r="U199">
        <f t="shared" si="10"/>
        <v>31.430640578909248</v>
      </c>
      <c r="V199">
        <v>39</v>
      </c>
      <c r="W199">
        <f t="shared" si="11"/>
        <v>57.295202045655323</v>
      </c>
    </row>
    <row r="200" spans="1:23">
      <c r="A200" s="53">
        <v>41287</v>
      </c>
      <c r="B200">
        <v>50</v>
      </c>
      <c r="C200">
        <v>1</v>
      </c>
      <c r="D200">
        <v>0</v>
      </c>
      <c r="E200">
        <v>0</v>
      </c>
      <c r="F200">
        <v>0</v>
      </c>
      <c r="G200">
        <v>0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f t="shared" si="9"/>
        <v>31</v>
      </c>
      <c r="R200">
        <v>21</v>
      </c>
      <c r="T200" s="53">
        <v>41287</v>
      </c>
      <c r="U200">
        <f t="shared" si="10"/>
        <v>22.440474535756664</v>
      </c>
      <c r="V200">
        <v>50</v>
      </c>
      <c r="W200">
        <f t="shared" si="11"/>
        <v>759.52744381427692</v>
      </c>
    </row>
    <row r="201" spans="1:23">
      <c r="A201" s="53">
        <v>41288</v>
      </c>
      <c r="B201">
        <v>16</v>
      </c>
      <c r="C201">
        <v>1</v>
      </c>
      <c r="D201">
        <v>0</v>
      </c>
      <c r="E201">
        <v>0</v>
      </c>
      <c r="F201">
        <v>0</v>
      </c>
      <c r="G201">
        <v>0</v>
      </c>
      <c r="H201">
        <v>1</v>
      </c>
      <c r="I201">
        <v>1</v>
      </c>
      <c r="J201">
        <v>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f t="shared" si="9"/>
        <v>28</v>
      </c>
      <c r="R201">
        <v>18</v>
      </c>
      <c r="T201" s="53">
        <v>41288</v>
      </c>
      <c r="U201">
        <f t="shared" si="10"/>
        <v>24.663918387800983</v>
      </c>
      <c r="V201">
        <v>16</v>
      </c>
      <c r="W201">
        <f t="shared" si="11"/>
        <v>75.063481830475993</v>
      </c>
    </row>
    <row r="202" spans="1:23">
      <c r="A202" s="53">
        <v>41289</v>
      </c>
      <c r="B202">
        <v>31</v>
      </c>
      <c r="C202">
        <v>1</v>
      </c>
      <c r="D202">
        <v>0</v>
      </c>
      <c r="E202">
        <v>0</v>
      </c>
      <c r="F202">
        <v>0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f t="shared" si="9"/>
        <v>28</v>
      </c>
      <c r="R202">
        <v>18</v>
      </c>
      <c r="T202" s="53">
        <v>41289</v>
      </c>
      <c r="U202">
        <f t="shared" si="10"/>
        <v>25.638643177337183</v>
      </c>
      <c r="V202">
        <v>31</v>
      </c>
      <c r="W202">
        <f t="shared" si="11"/>
        <v>28.744146979913133</v>
      </c>
    </row>
    <row r="203" spans="1:23">
      <c r="A203" s="53">
        <v>41290</v>
      </c>
      <c r="B203">
        <v>33</v>
      </c>
      <c r="C203">
        <v>1</v>
      </c>
      <c r="D203">
        <v>0</v>
      </c>
      <c r="E203">
        <v>0</v>
      </c>
      <c r="F203">
        <v>0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0</v>
      </c>
      <c r="Q203">
        <f t="shared" si="9"/>
        <v>27</v>
      </c>
      <c r="R203">
        <v>17</v>
      </c>
      <c r="T203" s="53">
        <v>41290</v>
      </c>
      <c r="U203">
        <f t="shared" si="10"/>
        <v>24.664611124195915</v>
      </c>
      <c r="V203">
        <v>33</v>
      </c>
      <c r="W203">
        <f t="shared" si="11"/>
        <v>69.478707710878496</v>
      </c>
    </row>
    <row r="204" spans="1:23">
      <c r="A204" s="53">
        <v>41291</v>
      </c>
      <c r="B204">
        <v>27</v>
      </c>
      <c r="C204">
        <v>1</v>
      </c>
      <c r="D204">
        <v>0</v>
      </c>
      <c r="E204">
        <v>0</v>
      </c>
      <c r="F204">
        <v>0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f t="shared" si="9"/>
        <v>23</v>
      </c>
      <c r="R204">
        <v>13</v>
      </c>
      <c r="T204" s="53">
        <v>41291</v>
      </c>
      <c r="U204">
        <f t="shared" si="10"/>
        <v>20.998602067929241</v>
      </c>
      <c r="V204">
        <v>27</v>
      </c>
      <c r="W204">
        <f t="shared" si="11"/>
        <v>36.016777139063187</v>
      </c>
    </row>
    <row r="205" spans="1:23">
      <c r="A205" s="53">
        <v>41292</v>
      </c>
      <c r="B205">
        <v>26</v>
      </c>
      <c r="C205">
        <v>1</v>
      </c>
      <c r="D205">
        <v>0</v>
      </c>
      <c r="E205">
        <v>0</v>
      </c>
      <c r="F205">
        <v>0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f t="shared" si="9"/>
        <v>28</v>
      </c>
      <c r="R205">
        <v>18</v>
      </c>
      <c r="T205" s="53">
        <v>41292</v>
      </c>
      <c r="U205">
        <f t="shared" si="10"/>
        <v>25.301662806774242</v>
      </c>
      <c r="V205">
        <v>26</v>
      </c>
      <c r="W205">
        <f t="shared" si="11"/>
        <v>0.48767483544242912</v>
      </c>
    </row>
    <row r="206" spans="1:23">
      <c r="A206" s="53">
        <v>41293</v>
      </c>
      <c r="B206">
        <v>56</v>
      </c>
      <c r="C206">
        <v>1</v>
      </c>
      <c r="D206">
        <v>0</v>
      </c>
      <c r="E206">
        <v>0</v>
      </c>
      <c r="F206">
        <v>1</v>
      </c>
      <c r="G206">
        <v>1</v>
      </c>
      <c r="H206">
        <v>4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</v>
      </c>
      <c r="P206">
        <v>0</v>
      </c>
      <c r="Q206">
        <f t="shared" si="9"/>
        <v>40</v>
      </c>
      <c r="R206">
        <v>30</v>
      </c>
      <c r="T206" s="53">
        <v>41293</v>
      </c>
      <c r="U206">
        <f t="shared" si="10"/>
        <v>37.180734471998676</v>
      </c>
      <c r="V206">
        <v>56</v>
      </c>
      <c r="W206">
        <f t="shared" si="11"/>
        <v>354.16475501341898</v>
      </c>
    </row>
    <row r="207" spans="1:23">
      <c r="A207" s="53">
        <v>41294</v>
      </c>
      <c r="B207">
        <v>43</v>
      </c>
      <c r="C207">
        <v>1</v>
      </c>
      <c r="D207">
        <v>0</v>
      </c>
      <c r="E207">
        <v>0</v>
      </c>
      <c r="F207">
        <v>1</v>
      </c>
      <c r="G207">
        <v>0</v>
      </c>
      <c r="H207">
        <v>2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f t="shared" si="9"/>
        <v>38</v>
      </c>
      <c r="R207">
        <v>28</v>
      </c>
      <c r="T207" s="53">
        <v>41294</v>
      </c>
      <c r="U207">
        <f t="shared" si="10"/>
        <v>31.030217395201213</v>
      </c>
      <c r="V207">
        <v>43</v>
      </c>
      <c r="W207">
        <f t="shared" si="11"/>
        <v>143.27569560614364</v>
      </c>
    </row>
    <row r="208" spans="1:23">
      <c r="A208" s="53">
        <v>41295</v>
      </c>
      <c r="B208">
        <v>38</v>
      </c>
      <c r="C208">
        <v>1</v>
      </c>
      <c r="D208">
        <v>0</v>
      </c>
      <c r="E208">
        <v>0</v>
      </c>
      <c r="F208">
        <v>0</v>
      </c>
      <c r="G208">
        <v>0</v>
      </c>
      <c r="H208">
        <v>1</v>
      </c>
      <c r="I208">
        <v>0</v>
      </c>
      <c r="J208">
        <v>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f t="shared" si="9"/>
        <v>28</v>
      </c>
      <c r="R208">
        <v>18</v>
      </c>
      <c r="T208" s="53">
        <v>41295</v>
      </c>
      <c r="U208">
        <f t="shared" si="10"/>
        <v>25.630049037454629</v>
      </c>
      <c r="V208">
        <v>38</v>
      </c>
      <c r="W208">
        <f t="shared" si="11"/>
        <v>153.01568681577714</v>
      </c>
    </row>
    <row r="209" spans="1:23">
      <c r="A209" s="53">
        <v>41296</v>
      </c>
      <c r="B209">
        <v>21</v>
      </c>
      <c r="C209">
        <v>1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f t="shared" si="9"/>
        <v>27</v>
      </c>
      <c r="R209">
        <v>17</v>
      </c>
      <c r="T209" s="53">
        <v>41296</v>
      </c>
      <c r="U209">
        <f t="shared" si="10"/>
        <v>25.063517407993615</v>
      </c>
      <c r="V209">
        <v>21</v>
      </c>
      <c r="W209">
        <f t="shared" si="11"/>
        <v>16.512173725067147</v>
      </c>
    </row>
    <row r="210" spans="1:23">
      <c r="A210" s="53">
        <v>41297</v>
      </c>
      <c r="B210">
        <v>37</v>
      </c>
      <c r="C210">
        <v>1</v>
      </c>
      <c r="D210">
        <v>0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v>0</v>
      </c>
      <c r="L210">
        <v>1</v>
      </c>
      <c r="M210">
        <v>0</v>
      </c>
      <c r="N210">
        <v>0</v>
      </c>
      <c r="O210">
        <v>0</v>
      </c>
      <c r="P210">
        <v>0</v>
      </c>
      <c r="Q210">
        <f t="shared" si="9"/>
        <v>30</v>
      </c>
      <c r="R210">
        <v>20</v>
      </c>
      <c r="T210" s="53">
        <v>41297</v>
      </c>
      <c r="U210">
        <f t="shared" si="10"/>
        <v>26.389988432226616</v>
      </c>
      <c r="V210">
        <v>37</v>
      </c>
      <c r="W210">
        <f t="shared" si="11"/>
        <v>112.57234546828502</v>
      </c>
    </row>
    <row r="211" spans="1:23">
      <c r="A211" s="53">
        <v>41298</v>
      </c>
      <c r="B211">
        <v>29</v>
      </c>
      <c r="C211">
        <v>1</v>
      </c>
      <c r="D211">
        <v>0</v>
      </c>
      <c r="E211">
        <v>0</v>
      </c>
      <c r="F211">
        <v>0</v>
      </c>
      <c r="G211">
        <v>0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f t="shared" si="9"/>
        <v>26</v>
      </c>
      <c r="R211">
        <v>16</v>
      </c>
      <c r="T211" s="53">
        <v>41298</v>
      </c>
      <c r="U211">
        <f t="shared" si="10"/>
        <v>22.723979375959939</v>
      </c>
      <c r="V211">
        <v>29</v>
      </c>
      <c r="W211">
        <f t="shared" si="11"/>
        <v>39.388434873376198</v>
      </c>
    </row>
    <row r="212" spans="1:23">
      <c r="A212" s="53">
        <v>41299</v>
      </c>
      <c r="B212">
        <v>43</v>
      </c>
      <c r="C212">
        <v>1</v>
      </c>
      <c r="D212">
        <v>0</v>
      </c>
      <c r="E212">
        <v>0</v>
      </c>
      <c r="F212">
        <v>1</v>
      </c>
      <c r="G212">
        <v>0</v>
      </c>
      <c r="H212">
        <v>2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1</v>
      </c>
      <c r="O212">
        <v>0</v>
      </c>
      <c r="P212">
        <v>0</v>
      </c>
      <c r="Q212">
        <f t="shared" si="9"/>
        <v>40</v>
      </c>
      <c r="R212">
        <v>30</v>
      </c>
      <c r="T212" s="53">
        <v>41299</v>
      </c>
      <c r="U212">
        <f t="shared" si="10"/>
        <v>36.767034512936618</v>
      </c>
      <c r="V212">
        <v>43</v>
      </c>
      <c r="W212">
        <f t="shared" si="11"/>
        <v>38.849858762923262</v>
      </c>
    </row>
    <row r="213" spans="1:23">
      <c r="A213" s="53">
        <v>41300</v>
      </c>
      <c r="B213">
        <v>56</v>
      </c>
      <c r="C213">
        <v>1</v>
      </c>
      <c r="D213">
        <v>0</v>
      </c>
      <c r="E213">
        <v>0</v>
      </c>
      <c r="F213">
        <v>2</v>
      </c>
      <c r="G213">
        <v>1</v>
      </c>
      <c r="H213">
        <v>6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</v>
      </c>
      <c r="P213">
        <v>0</v>
      </c>
      <c r="Q213">
        <f t="shared" si="9"/>
        <v>42</v>
      </c>
      <c r="R213">
        <v>32</v>
      </c>
      <c r="T213" s="53">
        <v>41300</v>
      </c>
      <c r="U213">
        <f t="shared" si="10"/>
        <v>42.140803582065558</v>
      </c>
      <c r="V213">
        <v>56</v>
      </c>
      <c r="W213">
        <f t="shared" si="11"/>
        <v>192.07732535088687</v>
      </c>
    </row>
    <row r="214" spans="1:23">
      <c r="A214" s="53">
        <v>41301</v>
      </c>
      <c r="B214">
        <v>50</v>
      </c>
      <c r="C214">
        <v>1</v>
      </c>
      <c r="D214">
        <v>0</v>
      </c>
      <c r="E214">
        <v>0</v>
      </c>
      <c r="F214">
        <v>1</v>
      </c>
      <c r="G214">
        <v>1</v>
      </c>
      <c r="H214">
        <v>4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f t="shared" si="9"/>
        <v>36</v>
      </c>
      <c r="R214">
        <v>26</v>
      </c>
      <c r="T214" s="53">
        <v>41301</v>
      </c>
      <c r="U214">
        <f t="shared" si="10"/>
        <v>32.179305133542101</v>
      </c>
      <c r="V214">
        <v>50</v>
      </c>
      <c r="W214">
        <f t="shared" si="11"/>
        <v>317.57716552339889</v>
      </c>
    </row>
    <row r="215" spans="1:23">
      <c r="A215" s="53">
        <v>41302</v>
      </c>
      <c r="B215">
        <v>42</v>
      </c>
      <c r="C215">
        <v>1</v>
      </c>
      <c r="D215">
        <v>0</v>
      </c>
      <c r="E215">
        <v>0</v>
      </c>
      <c r="F215">
        <v>1</v>
      </c>
      <c r="G215">
        <v>0</v>
      </c>
      <c r="H215">
        <v>2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f t="shared" si="9"/>
        <v>43</v>
      </c>
      <c r="R215">
        <v>33</v>
      </c>
      <c r="T215" s="53">
        <v>41302</v>
      </c>
      <c r="U215">
        <f t="shared" si="10"/>
        <v>38.820798051647714</v>
      </c>
      <c r="V215">
        <v>42</v>
      </c>
      <c r="W215">
        <f t="shared" si="11"/>
        <v>10.107325028406974</v>
      </c>
    </row>
    <row r="216" spans="1:23">
      <c r="A216" s="53">
        <v>41303</v>
      </c>
      <c r="B216">
        <v>42</v>
      </c>
      <c r="C216">
        <v>1</v>
      </c>
      <c r="D216">
        <v>0</v>
      </c>
      <c r="E216">
        <v>0</v>
      </c>
      <c r="F216">
        <v>1</v>
      </c>
      <c r="G216">
        <v>0</v>
      </c>
      <c r="H216">
        <v>2</v>
      </c>
      <c r="I216">
        <v>0</v>
      </c>
      <c r="J216">
        <v>0</v>
      </c>
      <c r="K216">
        <v>1</v>
      </c>
      <c r="L216">
        <v>0</v>
      </c>
      <c r="M216">
        <v>0</v>
      </c>
      <c r="N216">
        <v>0</v>
      </c>
      <c r="O216">
        <v>0</v>
      </c>
      <c r="P216">
        <v>0</v>
      </c>
      <c r="Q216">
        <f t="shared" si="9"/>
        <v>39</v>
      </c>
      <c r="R216">
        <v>29</v>
      </c>
      <c r="T216" s="53">
        <v>41303</v>
      </c>
      <c r="U216">
        <f t="shared" si="10"/>
        <v>36.528889114155994</v>
      </c>
      <c r="V216">
        <v>42</v>
      </c>
      <c r="W216">
        <f t="shared" si="11"/>
        <v>29.933054325200779</v>
      </c>
    </row>
    <row r="217" spans="1:23">
      <c r="A217" s="53">
        <v>41304</v>
      </c>
      <c r="B217">
        <v>45</v>
      </c>
      <c r="C217">
        <v>1</v>
      </c>
      <c r="D217">
        <v>0</v>
      </c>
      <c r="E217">
        <v>0</v>
      </c>
      <c r="F217">
        <v>1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f t="shared" si="9"/>
        <v>37</v>
      </c>
      <c r="R217">
        <v>27</v>
      </c>
      <c r="T217" s="53">
        <v>41304</v>
      </c>
      <c r="U217">
        <f t="shared" si="10"/>
        <v>34.979731291671158</v>
      </c>
      <c r="V217">
        <v>45</v>
      </c>
      <c r="W217">
        <f t="shared" si="11"/>
        <v>100.40578498711417</v>
      </c>
    </row>
    <row r="218" spans="1:23">
      <c r="A218" s="53">
        <v>41305</v>
      </c>
      <c r="B218">
        <v>39</v>
      </c>
      <c r="C218">
        <v>1</v>
      </c>
      <c r="D218">
        <v>0</v>
      </c>
      <c r="E218">
        <v>0</v>
      </c>
      <c r="F218">
        <v>2</v>
      </c>
      <c r="G218">
        <v>1</v>
      </c>
      <c r="H218">
        <v>6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f t="shared" si="9"/>
        <v>27</v>
      </c>
      <c r="R218">
        <v>17</v>
      </c>
      <c r="T218" s="53">
        <v>41305</v>
      </c>
      <c r="U218">
        <f t="shared" si="10"/>
        <v>33.972124467750859</v>
      </c>
      <c r="V218">
        <v>39</v>
      </c>
      <c r="W218">
        <f t="shared" si="11"/>
        <v>25.279532367789578</v>
      </c>
    </row>
    <row r="219" spans="1:23">
      <c r="A219" s="53">
        <v>41306</v>
      </c>
      <c r="B219">
        <v>48</v>
      </c>
      <c r="C219">
        <v>1</v>
      </c>
      <c r="D219">
        <v>0</v>
      </c>
      <c r="E219">
        <v>0</v>
      </c>
      <c r="F219">
        <v>1</v>
      </c>
      <c r="G219">
        <v>1</v>
      </c>
      <c r="H219">
        <v>4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f t="shared" si="9"/>
        <v>29</v>
      </c>
      <c r="R219">
        <v>19</v>
      </c>
      <c r="T219" s="53">
        <v>41306</v>
      </c>
      <c r="U219">
        <f t="shared" si="10"/>
        <v>32.73999032718541</v>
      </c>
      <c r="V219">
        <v>48</v>
      </c>
      <c r="W219">
        <f t="shared" si="11"/>
        <v>232.86789521439485</v>
      </c>
    </row>
    <row r="220" spans="1:23">
      <c r="A220" s="53">
        <v>41307</v>
      </c>
      <c r="B220">
        <v>48</v>
      </c>
      <c r="C220">
        <v>1</v>
      </c>
      <c r="D220">
        <v>0</v>
      </c>
      <c r="E220">
        <v>0</v>
      </c>
      <c r="F220">
        <v>2</v>
      </c>
      <c r="G220">
        <v>1</v>
      </c>
      <c r="H220">
        <v>6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f t="shared" si="9"/>
        <v>43</v>
      </c>
      <c r="R220">
        <v>33</v>
      </c>
      <c r="T220" s="53">
        <v>41307</v>
      </c>
      <c r="U220">
        <f t="shared" si="10"/>
        <v>42.71592935140913</v>
      </c>
      <c r="V220">
        <v>48</v>
      </c>
      <c r="W220">
        <f t="shared" si="11"/>
        <v>27.921402619299535</v>
      </c>
    </row>
    <row r="221" spans="1:23">
      <c r="A221" s="53">
        <v>41308</v>
      </c>
      <c r="B221">
        <v>41</v>
      </c>
      <c r="C221">
        <v>1</v>
      </c>
      <c r="D221">
        <v>0</v>
      </c>
      <c r="E221">
        <v>0</v>
      </c>
      <c r="F221">
        <v>1</v>
      </c>
      <c r="G221">
        <v>1</v>
      </c>
      <c r="H221">
        <v>4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f t="shared" si="9"/>
        <v>29</v>
      </c>
      <c r="R221">
        <v>19</v>
      </c>
      <c r="T221" s="53">
        <v>41308</v>
      </c>
      <c r="U221">
        <f t="shared" si="10"/>
        <v>28.15342474813713</v>
      </c>
      <c r="V221">
        <v>41</v>
      </c>
      <c r="W221">
        <f t="shared" si="11"/>
        <v>165.03449570177557</v>
      </c>
    </row>
    <row r="222" spans="1:23">
      <c r="A222" s="53">
        <v>41309</v>
      </c>
      <c r="B222">
        <v>30</v>
      </c>
      <c r="C222">
        <v>1</v>
      </c>
      <c r="D222">
        <v>0</v>
      </c>
      <c r="E222">
        <v>0</v>
      </c>
      <c r="F222">
        <v>1</v>
      </c>
      <c r="G222">
        <v>0</v>
      </c>
      <c r="H222">
        <v>2</v>
      </c>
      <c r="I222">
        <v>0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f t="shared" si="9"/>
        <v>33</v>
      </c>
      <c r="R222">
        <v>23</v>
      </c>
      <c r="T222" s="53">
        <v>41309</v>
      </c>
      <c r="U222">
        <f t="shared" si="10"/>
        <v>33.069540358212038</v>
      </c>
      <c r="V222">
        <v>30</v>
      </c>
      <c r="W222">
        <f t="shared" si="11"/>
        <v>9.4220780106924842</v>
      </c>
    </row>
    <row r="223" spans="1:23">
      <c r="A223" s="53">
        <v>41310</v>
      </c>
      <c r="B223">
        <v>29</v>
      </c>
      <c r="C223">
        <v>1</v>
      </c>
      <c r="D223">
        <v>0</v>
      </c>
      <c r="E223">
        <v>0</v>
      </c>
      <c r="F223">
        <v>1</v>
      </c>
      <c r="G223">
        <v>0</v>
      </c>
      <c r="H223">
        <v>2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f t="shared" si="9"/>
        <v>28</v>
      </c>
      <c r="R223">
        <v>18</v>
      </c>
      <c r="T223" s="53">
        <v>41310</v>
      </c>
      <c r="U223">
        <f t="shared" si="10"/>
        <v>30.202505651376761</v>
      </c>
      <c r="V223">
        <v>29</v>
      </c>
      <c r="W223">
        <f t="shared" si="11"/>
        <v>1.4460198415930481</v>
      </c>
    </row>
    <row r="224" spans="1:23">
      <c r="A224" s="53">
        <v>41311</v>
      </c>
      <c r="B224">
        <v>21</v>
      </c>
      <c r="C224">
        <v>1</v>
      </c>
      <c r="D224">
        <v>0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f t="shared" si="9"/>
        <v>32</v>
      </c>
      <c r="R224">
        <v>22</v>
      </c>
      <c r="T224" s="53">
        <v>41311</v>
      </c>
      <c r="U224">
        <f t="shared" si="10"/>
        <v>27.540239970913749</v>
      </c>
      <c r="V224">
        <v>21</v>
      </c>
      <c r="W224">
        <f t="shared" si="11"/>
        <v>42.774738877137878</v>
      </c>
    </row>
    <row r="225" spans="1:23">
      <c r="A225" s="53">
        <v>41312</v>
      </c>
      <c r="B225">
        <v>25</v>
      </c>
      <c r="C225">
        <v>1</v>
      </c>
      <c r="D225">
        <v>0</v>
      </c>
      <c r="E225">
        <v>0</v>
      </c>
      <c r="F225">
        <v>0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0</v>
      </c>
      <c r="O225">
        <v>0</v>
      </c>
      <c r="P225">
        <v>0</v>
      </c>
      <c r="Q225">
        <f t="shared" si="9"/>
        <v>24</v>
      </c>
      <c r="R225">
        <v>14</v>
      </c>
      <c r="T225" s="53">
        <v>41312</v>
      </c>
      <c r="U225">
        <f t="shared" si="10"/>
        <v>21.573727837272806</v>
      </c>
      <c r="V225">
        <v>25</v>
      </c>
      <c r="W225">
        <f t="shared" si="11"/>
        <v>11.739340933079285</v>
      </c>
    </row>
    <row r="226" spans="1:23">
      <c r="A226" s="53">
        <v>41313</v>
      </c>
      <c r="B226">
        <v>40</v>
      </c>
      <c r="C226">
        <v>1</v>
      </c>
      <c r="D226">
        <v>0</v>
      </c>
      <c r="E226">
        <v>0</v>
      </c>
      <c r="F226">
        <v>1</v>
      </c>
      <c r="G226">
        <v>0</v>
      </c>
      <c r="H226">
        <v>2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</v>
      </c>
      <c r="O226">
        <v>0</v>
      </c>
      <c r="P226">
        <v>0</v>
      </c>
      <c r="Q226">
        <f t="shared" si="9"/>
        <v>35</v>
      </c>
      <c r="R226">
        <v>25</v>
      </c>
      <c r="T226" s="53">
        <v>41313</v>
      </c>
      <c r="U226">
        <f t="shared" si="10"/>
        <v>33.891405666218787</v>
      </c>
      <c r="V226">
        <v>40</v>
      </c>
      <c r="W226">
        <f t="shared" si="11"/>
        <v>37.314924734703936</v>
      </c>
    </row>
    <row r="227" spans="1:23">
      <c r="A227" s="53">
        <v>41314</v>
      </c>
      <c r="B227">
        <v>36</v>
      </c>
      <c r="C227">
        <v>1</v>
      </c>
      <c r="D227">
        <v>0</v>
      </c>
      <c r="E227">
        <v>0</v>
      </c>
      <c r="F227">
        <v>2</v>
      </c>
      <c r="G227">
        <v>1</v>
      </c>
      <c r="H227">
        <v>6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1</v>
      </c>
      <c r="P227">
        <v>0</v>
      </c>
      <c r="Q227">
        <f t="shared" si="9"/>
        <v>46</v>
      </c>
      <c r="R227">
        <v>36</v>
      </c>
      <c r="T227" s="53">
        <v>41314</v>
      </c>
      <c r="U227">
        <f t="shared" si="10"/>
        <v>44.441306659439832</v>
      </c>
      <c r="V227">
        <v>36</v>
      </c>
      <c r="W227">
        <f t="shared" si="11"/>
        <v>71.255658118703252</v>
      </c>
    </row>
    <row r="228" spans="1:23">
      <c r="A228" s="53">
        <v>41315</v>
      </c>
      <c r="B228">
        <v>44</v>
      </c>
      <c r="C228">
        <v>1</v>
      </c>
      <c r="D228">
        <v>0</v>
      </c>
      <c r="E228">
        <v>0</v>
      </c>
      <c r="F228">
        <v>2</v>
      </c>
      <c r="G228">
        <v>2</v>
      </c>
      <c r="H228">
        <v>9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f t="shared" si="9"/>
        <v>32</v>
      </c>
      <c r="R228">
        <v>22</v>
      </c>
      <c r="T228" s="53">
        <v>41315</v>
      </c>
      <c r="U228">
        <f t="shared" si="10"/>
        <v>35.233914001915778</v>
      </c>
      <c r="V228">
        <v>44</v>
      </c>
      <c r="W228">
        <f t="shared" si="11"/>
        <v>76.844263725808247</v>
      </c>
    </row>
    <row r="229" spans="1:23">
      <c r="A229" s="53">
        <v>41316</v>
      </c>
      <c r="B229">
        <v>38</v>
      </c>
      <c r="C229">
        <v>1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1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f t="shared" si="9"/>
        <v>33</v>
      </c>
      <c r="R229">
        <v>23</v>
      </c>
      <c r="T229" s="53">
        <v>41316</v>
      </c>
      <c r="U229">
        <f t="shared" si="10"/>
        <v>27.539547234518821</v>
      </c>
      <c r="V229">
        <v>38</v>
      </c>
      <c r="W229">
        <f t="shared" si="11"/>
        <v>109.42107205886285</v>
      </c>
    </row>
    <row r="230" spans="1:23">
      <c r="A230" s="53">
        <v>41317</v>
      </c>
      <c r="B230">
        <v>43</v>
      </c>
      <c r="C230">
        <v>1</v>
      </c>
      <c r="D230">
        <v>0</v>
      </c>
      <c r="E230">
        <v>0</v>
      </c>
      <c r="F230">
        <v>0</v>
      </c>
      <c r="G230">
        <v>0</v>
      </c>
      <c r="H230">
        <v>1</v>
      </c>
      <c r="I230">
        <v>0</v>
      </c>
      <c r="J230">
        <v>0</v>
      </c>
      <c r="K230">
        <v>1</v>
      </c>
      <c r="L230">
        <v>0</v>
      </c>
      <c r="M230">
        <v>0</v>
      </c>
      <c r="N230">
        <v>0</v>
      </c>
      <c r="O230">
        <v>0</v>
      </c>
      <c r="P230">
        <v>0</v>
      </c>
      <c r="Q230">
        <f t="shared" si="9"/>
        <v>28</v>
      </c>
      <c r="R230">
        <v>18</v>
      </c>
      <c r="T230" s="53">
        <v>41317</v>
      </c>
      <c r="U230">
        <f t="shared" si="10"/>
        <v>25.638643177337183</v>
      </c>
      <c r="V230">
        <v>43</v>
      </c>
      <c r="W230">
        <f t="shared" si="11"/>
        <v>301.41671072382076</v>
      </c>
    </row>
    <row r="231" spans="1:23">
      <c r="A231" s="53">
        <v>41318</v>
      </c>
      <c r="B231">
        <v>39</v>
      </c>
      <c r="C231">
        <v>1</v>
      </c>
      <c r="D231">
        <v>0</v>
      </c>
      <c r="E231">
        <v>0</v>
      </c>
      <c r="F231">
        <v>0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f t="shared" si="9"/>
        <v>33</v>
      </c>
      <c r="R231">
        <v>23</v>
      </c>
      <c r="T231" s="53">
        <v>41318</v>
      </c>
      <c r="U231">
        <f t="shared" si="10"/>
        <v>28.115365740257317</v>
      </c>
      <c r="V231">
        <v>39</v>
      </c>
      <c r="W231">
        <f t="shared" si="11"/>
        <v>118.47526296836413</v>
      </c>
    </row>
    <row r="232" spans="1:23">
      <c r="A232" s="53">
        <v>41319</v>
      </c>
      <c r="B232">
        <v>43</v>
      </c>
      <c r="C232">
        <v>1</v>
      </c>
      <c r="D232">
        <v>0</v>
      </c>
      <c r="E232">
        <v>0</v>
      </c>
      <c r="F232">
        <v>0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f t="shared" si="9"/>
        <v>32</v>
      </c>
      <c r="R232">
        <v>22</v>
      </c>
      <c r="T232" s="53">
        <v>41319</v>
      </c>
      <c r="U232">
        <f t="shared" si="10"/>
        <v>26.174733992021341</v>
      </c>
      <c r="V232">
        <v>43</v>
      </c>
      <c r="W232">
        <f t="shared" si="11"/>
        <v>283.08957623924209</v>
      </c>
    </row>
    <row r="233" spans="1:23">
      <c r="A233" s="53">
        <v>41320</v>
      </c>
      <c r="B233">
        <v>46</v>
      </c>
      <c r="C233">
        <v>1</v>
      </c>
      <c r="D233">
        <v>0</v>
      </c>
      <c r="E233">
        <v>0</v>
      </c>
      <c r="F233">
        <v>0</v>
      </c>
      <c r="G233">
        <v>0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f t="shared" si="9"/>
        <v>35</v>
      </c>
      <c r="R233">
        <v>25</v>
      </c>
      <c r="T233" s="53">
        <v>41320</v>
      </c>
      <c r="U233">
        <f t="shared" si="10"/>
        <v>29.32754319217921</v>
      </c>
      <c r="V233">
        <v>46</v>
      </c>
      <c r="W233">
        <f t="shared" si="11"/>
        <v>277.97081600864982</v>
      </c>
    </row>
    <row r="234" spans="1:23">
      <c r="A234" s="53">
        <v>41321</v>
      </c>
      <c r="B234">
        <v>52</v>
      </c>
      <c r="C234">
        <v>1</v>
      </c>
      <c r="D234">
        <v>0</v>
      </c>
      <c r="E234">
        <v>0</v>
      </c>
      <c r="F234">
        <v>1</v>
      </c>
      <c r="G234">
        <v>1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f t="shared" si="9"/>
        <v>43</v>
      </c>
      <c r="R234">
        <v>33</v>
      </c>
      <c r="T234" s="53">
        <v>41321</v>
      </c>
      <c r="U234">
        <f t="shared" si="10"/>
        <v>38.906111780029377</v>
      </c>
      <c r="V234">
        <v>52</v>
      </c>
      <c r="W234">
        <f t="shared" si="11"/>
        <v>171.44990871708544</v>
      </c>
    </row>
    <row r="235" spans="1:23">
      <c r="A235" s="53">
        <v>41322</v>
      </c>
      <c r="B235">
        <v>47</v>
      </c>
      <c r="C235">
        <v>1</v>
      </c>
      <c r="D235">
        <v>0</v>
      </c>
      <c r="E235">
        <v>0</v>
      </c>
      <c r="F235">
        <v>1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f t="shared" si="9"/>
        <v>41</v>
      </c>
      <c r="R235">
        <v>31</v>
      </c>
      <c r="T235" s="53">
        <v>41322</v>
      </c>
      <c r="U235">
        <f t="shared" si="10"/>
        <v>32.755594703231914</v>
      </c>
      <c r="V235">
        <v>47</v>
      </c>
      <c r="W235">
        <f t="shared" si="11"/>
        <v>202.90308225859471</v>
      </c>
    </row>
    <row r="236" spans="1:23">
      <c r="A236" s="53">
        <v>41323</v>
      </c>
      <c r="B236">
        <v>41</v>
      </c>
      <c r="C236">
        <v>1</v>
      </c>
      <c r="D236">
        <v>0</v>
      </c>
      <c r="E236">
        <v>0</v>
      </c>
      <c r="F236">
        <v>0</v>
      </c>
      <c r="G236">
        <v>0</v>
      </c>
      <c r="H236">
        <v>1</v>
      </c>
      <c r="I236">
        <v>0</v>
      </c>
      <c r="J236">
        <v>1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f t="shared" si="9"/>
        <v>36</v>
      </c>
      <c r="R236">
        <v>26</v>
      </c>
      <c r="T236" s="53">
        <v>41323</v>
      </c>
      <c r="U236">
        <f t="shared" si="10"/>
        <v>30.231055192203161</v>
      </c>
      <c r="V236">
        <v>41</v>
      </c>
      <c r="W236">
        <f t="shared" si="11"/>
        <v>115.97017227337449</v>
      </c>
    </row>
    <row r="237" spans="1:23">
      <c r="A237" s="53">
        <v>41324</v>
      </c>
      <c r="B237">
        <v>36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1</v>
      </c>
      <c r="I237">
        <v>0</v>
      </c>
      <c r="J237">
        <v>0</v>
      </c>
      <c r="K237">
        <v>1</v>
      </c>
      <c r="L237">
        <v>0</v>
      </c>
      <c r="M237">
        <v>0</v>
      </c>
      <c r="N237">
        <v>0</v>
      </c>
      <c r="O237">
        <v>0</v>
      </c>
      <c r="P237">
        <v>0</v>
      </c>
      <c r="Q237">
        <f t="shared" si="9"/>
        <v>34</v>
      </c>
      <c r="R237">
        <v>24</v>
      </c>
      <c r="T237" s="53">
        <v>41324</v>
      </c>
      <c r="U237">
        <f t="shared" si="10"/>
        <v>29.089397793398582</v>
      </c>
      <c r="V237">
        <v>36</v>
      </c>
      <c r="W237">
        <f t="shared" si="11"/>
        <v>47.756422857884381</v>
      </c>
    </row>
    <row r="238" spans="1:23">
      <c r="A238" s="53">
        <v>41325</v>
      </c>
      <c r="B238">
        <v>43</v>
      </c>
      <c r="C238">
        <v>1</v>
      </c>
      <c r="D238">
        <v>0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f t="shared" si="9"/>
        <v>42</v>
      </c>
      <c r="R238">
        <v>32</v>
      </c>
      <c r="T238" s="53">
        <v>41325</v>
      </c>
      <c r="U238">
        <f t="shared" si="10"/>
        <v>33.291497664349421</v>
      </c>
      <c r="V238">
        <v>43</v>
      </c>
      <c r="W238">
        <f t="shared" si="11"/>
        <v>94.255017601332739</v>
      </c>
    </row>
    <row r="239" spans="1:23">
      <c r="A239" s="53">
        <v>41326</v>
      </c>
      <c r="B239">
        <v>37</v>
      </c>
      <c r="C239">
        <v>1</v>
      </c>
      <c r="D239">
        <v>0</v>
      </c>
      <c r="E239">
        <v>0</v>
      </c>
      <c r="F239">
        <v>0</v>
      </c>
      <c r="G239">
        <v>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f t="shared" si="9"/>
        <v>39</v>
      </c>
      <c r="R239">
        <v>29</v>
      </c>
      <c r="T239" s="53">
        <v>41326</v>
      </c>
      <c r="U239">
        <f t="shared" si="10"/>
        <v>30.200614377426309</v>
      </c>
      <c r="V239">
        <v>37</v>
      </c>
      <c r="W239">
        <f t="shared" si="11"/>
        <v>46.231644844461826</v>
      </c>
    </row>
    <row r="240" spans="1:23">
      <c r="A240" s="53">
        <v>41327</v>
      </c>
      <c r="B240">
        <v>52</v>
      </c>
      <c r="C240">
        <v>1</v>
      </c>
      <c r="D240">
        <v>0</v>
      </c>
      <c r="E240">
        <v>0</v>
      </c>
      <c r="F240">
        <v>1</v>
      </c>
      <c r="G240">
        <v>1</v>
      </c>
      <c r="H240">
        <v>4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f t="shared" si="9"/>
        <v>53</v>
      </c>
      <c r="R240">
        <v>43</v>
      </c>
      <c r="T240" s="53">
        <v>41327</v>
      </c>
      <c r="U240">
        <f t="shared" si="10"/>
        <v>46.543008791431014</v>
      </c>
      <c r="V240">
        <v>52</v>
      </c>
      <c r="W240">
        <f t="shared" si="11"/>
        <v>29.778753050399207</v>
      </c>
    </row>
    <row r="241" spans="1:23">
      <c r="A241" s="53">
        <v>41328</v>
      </c>
      <c r="B241">
        <v>56</v>
      </c>
      <c r="C241">
        <v>1</v>
      </c>
      <c r="D241">
        <v>0</v>
      </c>
      <c r="E241">
        <v>0</v>
      </c>
      <c r="F241">
        <v>3</v>
      </c>
      <c r="G241">
        <v>2</v>
      </c>
      <c r="H241">
        <v>12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f t="shared" si="9"/>
        <v>59</v>
      </c>
      <c r="R241">
        <v>49</v>
      </c>
      <c r="T241" s="53">
        <v>41328</v>
      </c>
      <c r="U241">
        <f t="shared" si="10"/>
        <v>56.519008703994317</v>
      </c>
      <c r="V241">
        <v>56</v>
      </c>
      <c r="W241">
        <f t="shared" si="11"/>
        <v>0.26937003482186006</v>
      </c>
    </row>
    <row r="242" spans="1:23">
      <c r="A242" s="53">
        <v>41329</v>
      </c>
      <c r="B242">
        <v>58</v>
      </c>
      <c r="C242">
        <v>1</v>
      </c>
      <c r="D242">
        <v>0</v>
      </c>
      <c r="E242">
        <v>0</v>
      </c>
      <c r="F242">
        <v>2</v>
      </c>
      <c r="G242">
        <v>1</v>
      </c>
      <c r="H242">
        <v>6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f t="shared" si="9"/>
        <v>57</v>
      </c>
      <c r="R242">
        <v>47</v>
      </c>
      <c r="T242" s="53">
        <v>41329</v>
      </c>
      <c r="U242">
        <f t="shared" si="10"/>
        <v>48.066763861136756</v>
      </c>
      <c r="V242">
        <v>58</v>
      </c>
      <c r="W242">
        <f t="shared" si="11"/>
        <v>98.669180190418757</v>
      </c>
    </row>
    <row r="243" spans="1:23">
      <c r="A243" s="53">
        <v>41330</v>
      </c>
      <c r="B243">
        <v>66</v>
      </c>
      <c r="C243">
        <v>1</v>
      </c>
      <c r="D243">
        <v>0</v>
      </c>
      <c r="E243">
        <v>0</v>
      </c>
      <c r="F243">
        <v>1</v>
      </c>
      <c r="G243">
        <v>1</v>
      </c>
      <c r="H243">
        <v>4</v>
      </c>
      <c r="I243">
        <v>0</v>
      </c>
      <c r="J243">
        <v>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f t="shared" si="9"/>
        <v>51</v>
      </c>
      <c r="R243">
        <v>41</v>
      </c>
      <c r="T243" s="53">
        <v>41330</v>
      </c>
      <c r="U243">
        <f t="shared" si="10"/>
        <v>45.721143483424271</v>
      </c>
      <c r="V243">
        <v>66</v>
      </c>
      <c r="W243">
        <f t="shared" si="11"/>
        <v>411.23202161986592</v>
      </c>
    </row>
    <row r="244" spans="1:23">
      <c r="A244" s="53">
        <v>41331</v>
      </c>
      <c r="B244">
        <v>61</v>
      </c>
      <c r="C244">
        <v>1</v>
      </c>
      <c r="D244">
        <v>0</v>
      </c>
      <c r="E244">
        <v>0</v>
      </c>
      <c r="F244">
        <v>1</v>
      </c>
      <c r="G244">
        <v>1</v>
      </c>
      <c r="H244">
        <v>4</v>
      </c>
      <c r="I244">
        <v>0</v>
      </c>
      <c r="J244">
        <v>0</v>
      </c>
      <c r="K244">
        <v>1</v>
      </c>
      <c r="L244">
        <v>0</v>
      </c>
      <c r="M244">
        <v>0</v>
      </c>
      <c r="N244">
        <v>0</v>
      </c>
      <c r="O244">
        <v>0</v>
      </c>
      <c r="P244">
        <v>0</v>
      </c>
      <c r="Q244">
        <f t="shared" si="9"/>
        <v>50</v>
      </c>
      <c r="R244">
        <v>40</v>
      </c>
      <c r="T244" s="53">
        <v>41331</v>
      </c>
      <c r="U244">
        <f t="shared" si="10"/>
        <v>45.154611853963253</v>
      </c>
      <c r="V244">
        <v>61</v>
      </c>
      <c r="W244">
        <f t="shared" si="11"/>
        <v>251.07632549856186</v>
      </c>
    </row>
    <row r="245" spans="1:23">
      <c r="A245" s="53">
        <v>41332</v>
      </c>
      <c r="B245">
        <v>60</v>
      </c>
      <c r="C245">
        <v>1</v>
      </c>
      <c r="D245">
        <v>0</v>
      </c>
      <c r="E245">
        <v>0</v>
      </c>
      <c r="F245">
        <v>1</v>
      </c>
      <c r="G245">
        <v>1</v>
      </c>
      <c r="H245">
        <v>4</v>
      </c>
      <c r="I245">
        <v>0</v>
      </c>
      <c r="J245">
        <v>0</v>
      </c>
      <c r="K245">
        <v>0</v>
      </c>
      <c r="L245">
        <v>1</v>
      </c>
      <c r="M245">
        <v>0</v>
      </c>
      <c r="N245">
        <v>0</v>
      </c>
      <c r="O245">
        <v>0</v>
      </c>
      <c r="P245">
        <v>0</v>
      </c>
      <c r="Q245">
        <f t="shared" si="9"/>
        <v>49</v>
      </c>
      <c r="R245">
        <v>39</v>
      </c>
      <c r="T245" s="53">
        <v>41332</v>
      </c>
      <c r="U245">
        <f t="shared" si="10"/>
        <v>44.180579800821988</v>
      </c>
      <c r="V245">
        <v>60</v>
      </c>
      <c r="W245">
        <f t="shared" si="11"/>
        <v>250.25405543816129</v>
      </c>
    </row>
    <row r="246" spans="1:23">
      <c r="A246" s="53">
        <v>41333</v>
      </c>
      <c r="B246">
        <v>66</v>
      </c>
      <c r="C246">
        <v>1</v>
      </c>
      <c r="D246">
        <v>0</v>
      </c>
      <c r="E246">
        <v>0</v>
      </c>
      <c r="F246">
        <v>2</v>
      </c>
      <c r="G246">
        <v>1</v>
      </c>
      <c r="H246">
        <v>6</v>
      </c>
      <c r="I246">
        <v>0</v>
      </c>
      <c r="J246">
        <v>0</v>
      </c>
      <c r="K246">
        <v>0</v>
      </c>
      <c r="L246">
        <v>0</v>
      </c>
      <c r="M246">
        <v>1</v>
      </c>
      <c r="N246">
        <v>0</v>
      </c>
      <c r="O246">
        <v>0</v>
      </c>
      <c r="P246">
        <v>0</v>
      </c>
      <c r="Q246">
        <f t="shared" si="9"/>
        <v>46</v>
      </c>
      <c r="R246">
        <v>36</v>
      </c>
      <c r="T246" s="53">
        <v>41333</v>
      </c>
      <c r="U246">
        <f t="shared" si="10"/>
        <v>44.899514085278625</v>
      </c>
      <c r="V246">
        <v>66</v>
      </c>
      <c r="W246">
        <f t="shared" si="11"/>
        <v>445.23050583735517</v>
      </c>
    </row>
    <row r="247" spans="1:23">
      <c r="A247" s="53">
        <v>41334</v>
      </c>
      <c r="B247">
        <v>55</v>
      </c>
      <c r="C247">
        <v>1</v>
      </c>
      <c r="D247">
        <v>0</v>
      </c>
      <c r="E247">
        <v>0</v>
      </c>
      <c r="F247">
        <v>1</v>
      </c>
      <c r="G247">
        <v>1</v>
      </c>
      <c r="H247">
        <v>4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1</v>
      </c>
      <c r="Q247">
        <f t="shared" si="9"/>
        <v>55</v>
      </c>
      <c r="R247">
        <v>45</v>
      </c>
      <c r="T247" s="53">
        <v>41334</v>
      </c>
      <c r="U247">
        <f t="shared" si="10"/>
        <v>55.8264784308234</v>
      </c>
      <c r="V247">
        <v>55</v>
      </c>
      <c r="W247">
        <f t="shared" si="11"/>
        <v>0.68306659661630942</v>
      </c>
    </row>
    <row r="248" spans="1:23">
      <c r="A248" s="53">
        <v>41335</v>
      </c>
      <c r="B248">
        <v>58</v>
      </c>
      <c r="C248">
        <v>1</v>
      </c>
      <c r="D248">
        <v>0</v>
      </c>
      <c r="E248">
        <v>0</v>
      </c>
      <c r="F248">
        <v>2</v>
      </c>
      <c r="G248">
        <v>1</v>
      </c>
      <c r="H248">
        <v>6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1</v>
      </c>
      <c r="Q248">
        <f t="shared" si="9"/>
        <v>47</v>
      </c>
      <c r="R248">
        <v>37</v>
      </c>
      <c r="T248" s="53">
        <v>41335</v>
      </c>
      <c r="U248">
        <f t="shared" si="10"/>
        <v>53.149650529488639</v>
      </c>
      <c r="V248">
        <v>58</v>
      </c>
      <c r="W248">
        <f t="shared" si="11"/>
        <v>23.52588998608984</v>
      </c>
    </row>
    <row r="249" spans="1:23">
      <c r="A249" s="53">
        <v>41336</v>
      </c>
      <c r="B249">
        <v>46</v>
      </c>
      <c r="C249">
        <v>1</v>
      </c>
      <c r="D249">
        <v>0</v>
      </c>
      <c r="E249">
        <v>0</v>
      </c>
      <c r="F249">
        <v>1</v>
      </c>
      <c r="G249">
        <v>1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</v>
      </c>
      <c r="Q249">
        <f t="shared" si="9"/>
        <v>40</v>
      </c>
      <c r="R249">
        <v>30</v>
      </c>
      <c r="T249" s="53">
        <v>41336</v>
      </c>
      <c r="U249">
        <f t="shared" si="10"/>
        <v>42.613026311621617</v>
      </c>
      <c r="V249">
        <v>46</v>
      </c>
      <c r="W249">
        <f t="shared" si="11"/>
        <v>11.471590765767468</v>
      </c>
    </row>
    <row r="250" spans="1:23">
      <c r="A250" s="53">
        <v>41337</v>
      </c>
      <c r="B250">
        <v>50</v>
      </c>
      <c r="C250">
        <v>1</v>
      </c>
      <c r="D250">
        <v>0</v>
      </c>
      <c r="E250">
        <v>0</v>
      </c>
      <c r="F250">
        <v>0</v>
      </c>
      <c r="G250">
        <v>0</v>
      </c>
      <c r="H250">
        <v>1</v>
      </c>
      <c r="I250">
        <v>0</v>
      </c>
      <c r="J250">
        <v>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1</v>
      </c>
      <c r="Q250">
        <f t="shared" si="9"/>
        <v>39</v>
      </c>
      <c r="R250">
        <v>29</v>
      </c>
      <c r="T250" s="53">
        <v>41337</v>
      </c>
      <c r="U250">
        <f t="shared" si="10"/>
        <v>40.089650600939109</v>
      </c>
      <c r="V250">
        <v>50</v>
      </c>
      <c r="W250">
        <f t="shared" si="11"/>
        <v>98.215025211466568</v>
      </c>
    </row>
    <row r="251" spans="1:23">
      <c r="A251" s="53">
        <v>41338</v>
      </c>
      <c r="B251">
        <v>43</v>
      </c>
      <c r="C251">
        <v>1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1</v>
      </c>
      <c r="Q251">
        <f t="shared" si="9"/>
        <v>40</v>
      </c>
      <c r="R251">
        <v>30</v>
      </c>
      <c r="T251" s="53">
        <v>41338</v>
      </c>
      <c r="U251">
        <f t="shared" si="10"/>
        <v>40.673370510165235</v>
      </c>
      <c r="V251">
        <v>43</v>
      </c>
      <c r="W251">
        <f t="shared" si="11"/>
        <v>5.4132047829687799</v>
      </c>
    </row>
    <row r="252" spans="1:23">
      <c r="A252" s="53">
        <v>41339</v>
      </c>
      <c r="B252">
        <v>34</v>
      </c>
      <c r="C252">
        <v>1</v>
      </c>
      <c r="D252">
        <v>0</v>
      </c>
      <c r="E252">
        <v>0</v>
      </c>
      <c r="F252">
        <v>0</v>
      </c>
      <c r="G252">
        <v>0</v>
      </c>
      <c r="H252">
        <v>1</v>
      </c>
      <c r="I252">
        <v>0</v>
      </c>
      <c r="J252">
        <v>0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1</v>
      </c>
      <c r="Q252">
        <f t="shared" si="9"/>
        <v>48</v>
      </c>
      <c r="R252">
        <v>38</v>
      </c>
      <c r="T252" s="53">
        <v>41339</v>
      </c>
      <c r="U252">
        <f t="shared" si="10"/>
        <v>44.875470381116074</v>
      </c>
      <c r="V252">
        <v>34</v>
      </c>
      <c r="W252">
        <f t="shared" si="11"/>
        <v>118.275856010533</v>
      </c>
    </row>
    <row r="253" spans="1:23">
      <c r="A253" s="53">
        <v>41340</v>
      </c>
      <c r="B253">
        <v>40</v>
      </c>
      <c r="C253">
        <v>1</v>
      </c>
      <c r="D253">
        <v>0</v>
      </c>
      <c r="E253">
        <v>0</v>
      </c>
      <c r="F253">
        <v>0</v>
      </c>
      <c r="G253">
        <v>0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0</v>
      </c>
      <c r="P253">
        <v>1</v>
      </c>
      <c r="Q253">
        <f t="shared" si="9"/>
        <v>42</v>
      </c>
      <c r="R253">
        <v>32</v>
      </c>
      <c r="T253" s="53">
        <v>41340</v>
      </c>
      <c r="U253">
        <f t="shared" si="10"/>
        <v>40.059209786162256</v>
      </c>
      <c r="V253">
        <v>40</v>
      </c>
      <c r="W253">
        <f t="shared" si="11"/>
        <v>3.5057987773801117E-3</v>
      </c>
    </row>
    <row r="254" spans="1:23">
      <c r="A254" s="53">
        <v>41341</v>
      </c>
      <c r="B254">
        <v>46</v>
      </c>
      <c r="C254">
        <v>1</v>
      </c>
      <c r="D254">
        <v>0</v>
      </c>
      <c r="E254">
        <v>0</v>
      </c>
      <c r="F254">
        <v>0</v>
      </c>
      <c r="G254">
        <v>0</v>
      </c>
      <c r="H254">
        <v>1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1</v>
      </c>
      <c r="Q254">
        <f t="shared" si="9"/>
        <v>43</v>
      </c>
      <c r="R254">
        <v>33</v>
      </c>
      <c r="T254" s="53">
        <v>41341</v>
      </c>
      <c r="U254">
        <f t="shared" si="10"/>
        <v>42.061767447632995</v>
      </c>
      <c r="V254">
        <v>46</v>
      </c>
      <c r="W254">
        <f t="shared" si="11"/>
        <v>15.509675636523133</v>
      </c>
    </row>
    <row r="255" spans="1:23">
      <c r="A255" s="53">
        <v>41342</v>
      </c>
      <c r="B255">
        <v>45</v>
      </c>
      <c r="C255">
        <v>1</v>
      </c>
      <c r="D255">
        <v>0</v>
      </c>
      <c r="E255">
        <v>0</v>
      </c>
      <c r="F255">
        <v>1</v>
      </c>
      <c r="G255">
        <v>1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1</v>
      </c>
      <c r="Q255">
        <f t="shared" si="9"/>
        <v>40</v>
      </c>
      <c r="R255">
        <v>30</v>
      </c>
      <c r="T255" s="53">
        <v>41342</v>
      </c>
      <c r="U255">
        <f t="shared" si="10"/>
        <v>45.313952572703926</v>
      </c>
      <c r="V255">
        <v>45</v>
      </c>
      <c r="W255">
        <f t="shared" si="11"/>
        <v>9.8566217907413711E-2</v>
      </c>
    </row>
    <row r="256" spans="1:23">
      <c r="A256" s="53">
        <v>41343</v>
      </c>
      <c r="B256">
        <v>50</v>
      </c>
      <c r="C256">
        <v>1</v>
      </c>
      <c r="D256">
        <v>0</v>
      </c>
      <c r="E256">
        <v>0</v>
      </c>
      <c r="F256">
        <v>1</v>
      </c>
      <c r="G256">
        <v>1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1</v>
      </c>
      <c r="Q256">
        <f t="shared" si="9"/>
        <v>38</v>
      </c>
      <c r="R256">
        <v>28</v>
      </c>
      <c r="T256" s="53">
        <v>41343</v>
      </c>
      <c r="U256">
        <f t="shared" si="10"/>
        <v>41.46277477293448</v>
      </c>
      <c r="V256">
        <v>50</v>
      </c>
      <c r="W256">
        <f t="shared" si="11"/>
        <v>72.884214577643917</v>
      </c>
    </row>
    <row r="257" spans="1:23">
      <c r="A257" s="53">
        <v>41344</v>
      </c>
      <c r="B257">
        <v>50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1</v>
      </c>
      <c r="I257">
        <v>0</v>
      </c>
      <c r="J257">
        <v>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</v>
      </c>
      <c r="Q257">
        <f t="shared" si="9"/>
        <v>41</v>
      </c>
      <c r="R257">
        <v>31</v>
      </c>
      <c r="T257" s="53">
        <v>41344</v>
      </c>
      <c r="U257">
        <f t="shared" si="10"/>
        <v>41.239902139626253</v>
      </c>
      <c r="V257">
        <v>50</v>
      </c>
      <c r="W257">
        <f t="shared" si="11"/>
        <v>76.739314523324708</v>
      </c>
    </row>
    <row r="258" spans="1:23">
      <c r="A258" s="53">
        <v>41345</v>
      </c>
      <c r="B258">
        <v>53</v>
      </c>
      <c r="C258">
        <v>1</v>
      </c>
      <c r="D258">
        <v>0</v>
      </c>
      <c r="E258">
        <v>0</v>
      </c>
      <c r="F258">
        <v>0</v>
      </c>
      <c r="G258">
        <v>0</v>
      </c>
      <c r="H258">
        <v>1</v>
      </c>
      <c r="I258">
        <v>0</v>
      </c>
      <c r="J258">
        <v>0</v>
      </c>
      <c r="K258">
        <v>1</v>
      </c>
      <c r="L258">
        <v>0</v>
      </c>
      <c r="M258">
        <v>0</v>
      </c>
      <c r="N258">
        <v>0</v>
      </c>
      <c r="O258">
        <v>0</v>
      </c>
      <c r="P258">
        <v>1</v>
      </c>
      <c r="Q258">
        <f t="shared" si="9"/>
        <v>45</v>
      </c>
      <c r="R258">
        <v>35</v>
      </c>
      <c r="T258" s="53">
        <v>41345</v>
      </c>
      <c r="U258">
        <f t="shared" si="10"/>
        <v>43.548999356883073</v>
      </c>
      <c r="V258">
        <v>53</v>
      </c>
      <c r="W258">
        <f t="shared" si="11"/>
        <v>89.32141315619657</v>
      </c>
    </row>
    <row r="259" spans="1:23">
      <c r="A259" s="53">
        <v>41346</v>
      </c>
      <c r="B259">
        <v>49</v>
      </c>
      <c r="C259">
        <v>1</v>
      </c>
      <c r="D259">
        <v>0</v>
      </c>
      <c r="E259">
        <v>0</v>
      </c>
      <c r="F259">
        <v>0</v>
      </c>
      <c r="G259">
        <v>0</v>
      </c>
      <c r="H259">
        <v>1</v>
      </c>
      <c r="I259">
        <v>0</v>
      </c>
      <c r="J259">
        <v>0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1</v>
      </c>
      <c r="Q259">
        <f t="shared" si="9"/>
        <v>40</v>
      </c>
      <c r="R259">
        <v>30</v>
      </c>
      <c r="T259" s="53">
        <v>41346</v>
      </c>
      <c r="U259">
        <f t="shared" si="10"/>
        <v>40.274464226367535</v>
      </c>
      <c r="V259">
        <v>49</v>
      </c>
      <c r="W259">
        <f t="shared" si="11"/>
        <v>76.134974536939907</v>
      </c>
    </row>
    <row r="260" spans="1:23">
      <c r="A260" s="53">
        <v>41347</v>
      </c>
      <c r="B260">
        <v>43</v>
      </c>
      <c r="C260">
        <v>1</v>
      </c>
      <c r="D260">
        <v>0</v>
      </c>
      <c r="E260">
        <v>0</v>
      </c>
      <c r="F260">
        <v>0</v>
      </c>
      <c r="G260">
        <v>0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1</v>
      </c>
      <c r="Q260">
        <f t="shared" ref="Q260:Q323" si="12">R260+10</f>
        <v>46</v>
      </c>
      <c r="R260">
        <v>36</v>
      </c>
      <c r="T260" s="53">
        <v>41347</v>
      </c>
      <c r="U260">
        <f t="shared" ref="U260:U323" si="13">SUMPRODUCT($C$2:$Q$2,C260:Q260)</f>
        <v>42.359712863536529</v>
      </c>
      <c r="V260">
        <v>43</v>
      </c>
      <c r="W260">
        <f t="shared" ref="W260:W323" si="14">(V260-U260)^2</f>
        <v>0.40996761712059099</v>
      </c>
    </row>
    <row r="261" spans="1:23">
      <c r="A261" s="53">
        <v>41348</v>
      </c>
      <c r="B261">
        <v>73</v>
      </c>
      <c r="C261">
        <v>1</v>
      </c>
      <c r="D261">
        <v>0</v>
      </c>
      <c r="E261">
        <v>0</v>
      </c>
      <c r="F261">
        <v>2</v>
      </c>
      <c r="G261">
        <v>1</v>
      </c>
      <c r="H261">
        <v>6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1</v>
      </c>
      <c r="Q261">
        <f t="shared" si="12"/>
        <v>60</v>
      </c>
      <c r="R261">
        <v>50</v>
      </c>
      <c r="T261" s="53">
        <v>41348</v>
      </c>
      <c r="U261">
        <f t="shared" si="13"/>
        <v>62.511924848920984</v>
      </c>
      <c r="V261">
        <v>73</v>
      </c>
      <c r="W261">
        <f t="shared" si="14"/>
        <v>109.99972037468113</v>
      </c>
    </row>
    <row r="262" spans="1:23">
      <c r="A262" s="53">
        <v>41349</v>
      </c>
      <c r="B262">
        <v>66</v>
      </c>
      <c r="C262">
        <v>1</v>
      </c>
      <c r="D262">
        <v>0</v>
      </c>
      <c r="E262">
        <v>0</v>
      </c>
      <c r="F262">
        <v>3</v>
      </c>
      <c r="G262">
        <v>2</v>
      </c>
      <c r="H262">
        <v>12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1</v>
      </c>
      <c r="Q262">
        <f t="shared" si="12"/>
        <v>68</v>
      </c>
      <c r="R262">
        <v>58</v>
      </c>
      <c r="T262" s="53">
        <v>41349</v>
      </c>
      <c r="U262">
        <f t="shared" si="13"/>
        <v>69.82835872879167</v>
      </c>
      <c r="V262">
        <v>66</v>
      </c>
      <c r="W262">
        <f t="shared" si="14"/>
        <v>14.656330556315373</v>
      </c>
    </row>
    <row r="263" spans="1:23">
      <c r="A263" s="53">
        <v>41350</v>
      </c>
      <c r="B263">
        <v>59</v>
      </c>
      <c r="C263">
        <v>1</v>
      </c>
      <c r="D263">
        <v>0</v>
      </c>
      <c r="E263">
        <v>0</v>
      </c>
      <c r="F263">
        <v>2</v>
      </c>
      <c r="G263">
        <v>2</v>
      </c>
      <c r="H263">
        <v>9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f t="shared" si="12"/>
        <v>55</v>
      </c>
      <c r="R263">
        <v>45</v>
      </c>
      <c r="T263" s="53">
        <v>41350</v>
      </c>
      <c r="U263">
        <f t="shared" si="13"/>
        <v>56.595024797523067</v>
      </c>
      <c r="V263">
        <v>59</v>
      </c>
      <c r="W263">
        <f t="shared" si="14"/>
        <v>5.7839057245289665</v>
      </c>
    </row>
    <row r="264" spans="1:23">
      <c r="A264" s="53">
        <v>41351</v>
      </c>
      <c r="B264">
        <v>73</v>
      </c>
      <c r="C264">
        <v>1</v>
      </c>
      <c r="D264">
        <v>0</v>
      </c>
      <c r="E264">
        <v>0</v>
      </c>
      <c r="F264">
        <v>2</v>
      </c>
      <c r="G264">
        <v>2</v>
      </c>
      <c r="H264">
        <v>9</v>
      </c>
      <c r="I264">
        <v>0</v>
      </c>
      <c r="J264">
        <v>1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f t="shared" si="12"/>
        <v>58</v>
      </c>
      <c r="R264">
        <v>48</v>
      </c>
      <c r="T264" s="53">
        <v>41351</v>
      </c>
      <c r="U264">
        <f t="shared" si="13"/>
        <v>63.235353915282431</v>
      </c>
      <c r="V264">
        <v>73</v>
      </c>
      <c r="W264">
        <f t="shared" si="14"/>
        <v>95.348313159790152</v>
      </c>
    </row>
    <row r="265" spans="1:23">
      <c r="A265" s="53">
        <v>41352</v>
      </c>
      <c r="B265">
        <v>68</v>
      </c>
      <c r="C265">
        <v>1</v>
      </c>
      <c r="D265">
        <v>0</v>
      </c>
      <c r="E265">
        <v>0</v>
      </c>
      <c r="F265">
        <v>2</v>
      </c>
      <c r="G265">
        <v>2</v>
      </c>
      <c r="H265">
        <v>9</v>
      </c>
      <c r="I265">
        <v>0</v>
      </c>
      <c r="J265">
        <v>0</v>
      </c>
      <c r="K265">
        <v>1</v>
      </c>
      <c r="L265">
        <v>0</v>
      </c>
      <c r="M265">
        <v>0</v>
      </c>
      <c r="N265">
        <v>0</v>
      </c>
      <c r="O265">
        <v>0</v>
      </c>
      <c r="P265">
        <v>1</v>
      </c>
      <c r="Q265">
        <f t="shared" si="12"/>
        <v>61</v>
      </c>
      <c r="R265">
        <v>51</v>
      </c>
      <c r="T265" s="53">
        <v>41352</v>
      </c>
      <c r="U265">
        <f t="shared" si="13"/>
        <v>64.969325363195679</v>
      </c>
      <c r="V265">
        <v>68</v>
      </c>
      <c r="W265">
        <f t="shared" si="14"/>
        <v>9.1849887541690016</v>
      </c>
    </row>
    <row r="266" spans="1:23">
      <c r="A266" s="53">
        <v>41353</v>
      </c>
      <c r="B266">
        <v>74</v>
      </c>
      <c r="C266">
        <v>1</v>
      </c>
      <c r="D266">
        <v>0</v>
      </c>
      <c r="E266">
        <v>0</v>
      </c>
      <c r="F266">
        <v>5</v>
      </c>
      <c r="G266">
        <v>4</v>
      </c>
      <c r="H266">
        <v>30</v>
      </c>
      <c r="I266">
        <v>1</v>
      </c>
      <c r="J266">
        <v>0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1</v>
      </c>
      <c r="Q266">
        <f t="shared" si="12"/>
        <v>70</v>
      </c>
      <c r="R266">
        <v>60</v>
      </c>
      <c r="T266" s="53">
        <v>41353</v>
      </c>
      <c r="U266">
        <f t="shared" si="13"/>
        <v>76.514057692773633</v>
      </c>
      <c r="V266">
        <v>74</v>
      </c>
      <c r="W266">
        <f t="shared" si="14"/>
        <v>6.3204860825942841</v>
      </c>
    </row>
    <row r="267" spans="1:23">
      <c r="A267" s="53">
        <v>41354</v>
      </c>
      <c r="B267">
        <v>71</v>
      </c>
      <c r="C267">
        <v>1</v>
      </c>
      <c r="D267">
        <v>0</v>
      </c>
      <c r="E267">
        <v>0</v>
      </c>
      <c r="F267">
        <v>5</v>
      </c>
      <c r="G267">
        <v>4</v>
      </c>
      <c r="H267">
        <v>30</v>
      </c>
      <c r="I267">
        <v>0</v>
      </c>
      <c r="J267">
        <v>0</v>
      </c>
      <c r="K267">
        <v>0</v>
      </c>
      <c r="L267">
        <v>0</v>
      </c>
      <c r="M267">
        <v>1</v>
      </c>
      <c r="N267">
        <v>0</v>
      </c>
      <c r="O267">
        <v>0</v>
      </c>
      <c r="P267">
        <v>1</v>
      </c>
      <c r="Q267">
        <f t="shared" si="12"/>
        <v>59</v>
      </c>
      <c r="R267">
        <v>49</v>
      </c>
      <c r="T267" s="53">
        <v>41354</v>
      </c>
      <c r="U267">
        <f t="shared" si="13"/>
        <v>69.788298900755635</v>
      </c>
      <c r="V267">
        <v>71</v>
      </c>
      <c r="W267">
        <f t="shared" si="14"/>
        <v>1.4682195539100031</v>
      </c>
    </row>
    <row r="268" spans="1:23">
      <c r="A268" s="53">
        <v>41355</v>
      </c>
      <c r="B268">
        <v>65</v>
      </c>
      <c r="C268">
        <v>1</v>
      </c>
      <c r="D268">
        <v>0</v>
      </c>
      <c r="E268">
        <v>0</v>
      </c>
      <c r="F268">
        <v>4</v>
      </c>
      <c r="G268">
        <v>3</v>
      </c>
      <c r="H268">
        <v>20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1</v>
      </c>
      <c r="O268">
        <v>0</v>
      </c>
      <c r="P268">
        <v>1</v>
      </c>
      <c r="Q268">
        <f t="shared" si="12"/>
        <v>57</v>
      </c>
      <c r="R268">
        <v>47</v>
      </c>
      <c r="T268" s="53">
        <v>41355</v>
      </c>
      <c r="U268">
        <f t="shared" si="13"/>
        <v>68.480591821746856</v>
      </c>
      <c r="V268">
        <v>65</v>
      </c>
      <c r="W268">
        <f t="shared" si="14"/>
        <v>12.114519429611097</v>
      </c>
    </row>
    <row r="269" spans="1:23">
      <c r="A269" s="53">
        <v>41356</v>
      </c>
      <c r="B269">
        <v>60</v>
      </c>
      <c r="C269">
        <v>1</v>
      </c>
      <c r="D269">
        <v>0</v>
      </c>
      <c r="E269">
        <v>0</v>
      </c>
      <c r="F269">
        <v>5</v>
      </c>
      <c r="G269">
        <v>4</v>
      </c>
      <c r="H269">
        <v>30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1</v>
      </c>
      <c r="Q269">
        <f t="shared" si="12"/>
        <v>65</v>
      </c>
      <c r="R269">
        <v>55</v>
      </c>
      <c r="T269" s="53">
        <v>41356</v>
      </c>
      <c r="U269">
        <f t="shared" si="13"/>
        <v>72.78084609097823</v>
      </c>
      <c r="V269">
        <v>60</v>
      </c>
      <c r="W269">
        <f t="shared" si="14"/>
        <v>163.35002680127349</v>
      </c>
    </row>
    <row r="270" spans="1:23">
      <c r="A270" s="53">
        <v>41357</v>
      </c>
      <c r="B270">
        <v>66</v>
      </c>
      <c r="C270">
        <v>1</v>
      </c>
      <c r="D270">
        <v>0</v>
      </c>
      <c r="E270">
        <v>0</v>
      </c>
      <c r="F270">
        <v>4</v>
      </c>
      <c r="G270">
        <v>3</v>
      </c>
      <c r="H270">
        <v>20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f t="shared" si="12"/>
        <v>59</v>
      </c>
      <c r="R270">
        <v>49</v>
      </c>
      <c r="T270" s="53">
        <v>41357</v>
      </c>
      <c r="U270">
        <f t="shared" si="13"/>
        <v>65.044277781385716</v>
      </c>
      <c r="V270">
        <v>66</v>
      </c>
      <c r="W270">
        <f t="shared" si="14"/>
        <v>0.91340495915300879</v>
      </c>
    </row>
    <row r="271" spans="1:23">
      <c r="A271" s="53">
        <v>41358</v>
      </c>
      <c r="B271">
        <v>76</v>
      </c>
      <c r="C271">
        <v>1</v>
      </c>
      <c r="D271">
        <v>0</v>
      </c>
      <c r="E271">
        <v>0</v>
      </c>
      <c r="F271">
        <v>3</v>
      </c>
      <c r="G271">
        <v>3</v>
      </c>
      <c r="H271">
        <v>16</v>
      </c>
      <c r="I271">
        <v>0</v>
      </c>
      <c r="J271">
        <v>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1</v>
      </c>
      <c r="Q271">
        <f t="shared" si="12"/>
        <v>79</v>
      </c>
      <c r="R271">
        <v>69</v>
      </c>
      <c r="T271" s="53">
        <v>41358</v>
      </c>
      <c r="U271">
        <f t="shared" si="13"/>
        <v>79.160017211925634</v>
      </c>
      <c r="V271">
        <v>76</v>
      </c>
      <c r="W271">
        <f t="shared" si="14"/>
        <v>9.9857087796662594</v>
      </c>
    </row>
    <row r="272" spans="1:23">
      <c r="A272" s="53">
        <v>41359</v>
      </c>
      <c r="B272">
        <v>81</v>
      </c>
      <c r="C272">
        <v>1</v>
      </c>
      <c r="D272">
        <v>0</v>
      </c>
      <c r="E272">
        <v>0</v>
      </c>
      <c r="F272">
        <v>3</v>
      </c>
      <c r="G272">
        <v>3</v>
      </c>
      <c r="H272">
        <v>16</v>
      </c>
      <c r="I272">
        <v>0</v>
      </c>
      <c r="J272">
        <v>0</v>
      </c>
      <c r="K272">
        <v>1</v>
      </c>
      <c r="L272">
        <v>0</v>
      </c>
      <c r="M272">
        <v>0</v>
      </c>
      <c r="N272">
        <v>0</v>
      </c>
      <c r="O272">
        <v>0</v>
      </c>
      <c r="P272">
        <v>1</v>
      </c>
      <c r="Q272">
        <f t="shared" si="12"/>
        <v>98</v>
      </c>
      <c r="R272">
        <v>88</v>
      </c>
      <c r="T272" s="53">
        <v>41359</v>
      </c>
      <c r="U272">
        <f t="shared" si="13"/>
        <v>90.096000969335961</v>
      </c>
      <c r="V272">
        <v>81</v>
      </c>
      <c r="W272">
        <f t="shared" si="14"/>
        <v>82.737233634160745</v>
      </c>
    </row>
    <row r="273" spans="1:23">
      <c r="A273" s="53">
        <v>41360</v>
      </c>
      <c r="B273">
        <v>74</v>
      </c>
      <c r="C273">
        <v>1</v>
      </c>
      <c r="D273">
        <v>0</v>
      </c>
      <c r="E273">
        <v>0</v>
      </c>
      <c r="F273">
        <v>4</v>
      </c>
      <c r="G273">
        <v>3</v>
      </c>
      <c r="H273">
        <v>20</v>
      </c>
      <c r="I273">
        <v>0</v>
      </c>
      <c r="J273">
        <v>0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1</v>
      </c>
      <c r="Q273">
        <f t="shared" si="12"/>
        <v>76</v>
      </c>
      <c r="R273">
        <v>66</v>
      </c>
      <c r="T273" s="53">
        <v>41360</v>
      </c>
      <c r="U273">
        <f t="shared" si="13"/>
        <v>79.346055526039876</v>
      </c>
      <c r="V273">
        <v>74</v>
      </c>
      <c r="W273">
        <f t="shared" si="14"/>
        <v>28.580309687501497</v>
      </c>
    </row>
    <row r="274" spans="1:23">
      <c r="A274" s="53">
        <v>41361</v>
      </c>
      <c r="B274">
        <v>83</v>
      </c>
      <c r="C274">
        <v>1</v>
      </c>
      <c r="D274">
        <v>0</v>
      </c>
      <c r="E274">
        <v>0</v>
      </c>
      <c r="F274">
        <v>4</v>
      </c>
      <c r="G274">
        <v>4</v>
      </c>
      <c r="H274">
        <v>25</v>
      </c>
      <c r="I274">
        <v>0</v>
      </c>
      <c r="J274">
        <v>0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1</v>
      </c>
      <c r="Q274">
        <f t="shared" si="12"/>
        <v>73</v>
      </c>
      <c r="R274">
        <v>63</v>
      </c>
      <c r="T274" s="53">
        <v>41361</v>
      </c>
      <c r="U274">
        <f t="shared" si="13"/>
        <v>76.292376808165301</v>
      </c>
      <c r="V274">
        <v>83</v>
      </c>
      <c r="W274">
        <f t="shared" si="14"/>
        <v>44.992208883638718</v>
      </c>
    </row>
    <row r="275" spans="1:23">
      <c r="A275" s="53">
        <v>41362</v>
      </c>
      <c r="B275">
        <v>71</v>
      </c>
      <c r="C275">
        <v>1</v>
      </c>
      <c r="D275">
        <v>0</v>
      </c>
      <c r="E275">
        <v>0</v>
      </c>
      <c r="F275">
        <v>4</v>
      </c>
      <c r="G275">
        <v>4</v>
      </c>
      <c r="H275">
        <v>25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1</v>
      </c>
      <c r="O275">
        <v>0</v>
      </c>
      <c r="P275">
        <v>1</v>
      </c>
      <c r="Q275">
        <f t="shared" si="12"/>
        <v>79</v>
      </c>
      <c r="R275">
        <v>69</v>
      </c>
      <c r="T275" s="53">
        <v>41362</v>
      </c>
      <c r="U275">
        <f t="shared" si="13"/>
        <v>81.170563316353878</v>
      </c>
      <c r="V275">
        <v>71</v>
      </c>
      <c r="W275">
        <f t="shared" si="14"/>
        <v>103.44035817196318</v>
      </c>
    </row>
    <row r="276" spans="1:23">
      <c r="A276" s="53">
        <v>41363</v>
      </c>
      <c r="B276">
        <v>84</v>
      </c>
      <c r="C276">
        <v>1</v>
      </c>
      <c r="D276">
        <v>0</v>
      </c>
      <c r="E276">
        <v>0</v>
      </c>
      <c r="F276">
        <v>5</v>
      </c>
      <c r="G276">
        <v>5</v>
      </c>
      <c r="H276">
        <v>36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1</v>
      </c>
      <c r="Q276">
        <f t="shared" si="12"/>
        <v>73</v>
      </c>
      <c r="R276">
        <v>63</v>
      </c>
      <c r="T276" s="53">
        <v>41363</v>
      </c>
      <c r="U276">
        <f t="shared" si="13"/>
        <v>76.665011912115489</v>
      </c>
      <c r="V276">
        <v>84</v>
      </c>
      <c r="W276">
        <f t="shared" si="14"/>
        <v>53.802050249407678</v>
      </c>
    </row>
    <row r="277" spans="1:23">
      <c r="A277" s="53">
        <v>41364</v>
      </c>
      <c r="B277">
        <v>69</v>
      </c>
      <c r="C277">
        <v>1</v>
      </c>
      <c r="D277">
        <v>0</v>
      </c>
      <c r="E277">
        <v>0</v>
      </c>
      <c r="F277">
        <v>5</v>
      </c>
      <c r="G277">
        <v>4</v>
      </c>
      <c r="H277">
        <v>30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1</v>
      </c>
      <c r="Q277">
        <f t="shared" si="12"/>
        <v>46</v>
      </c>
      <c r="R277">
        <v>36</v>
      </c>
      <c r="T277" s="53">
        <v>41364</v>
      </c>
      <c r="U277">
        <f t="shared" si="13"/>
        <v>59.152530212368163</v>
      </c>
      <c r="V277">
        <v>69</v>
      </c>
      <c r="W277">
        <f t="shared" si="14"/>
        <v>96.972661218321818</v>
      </c>
    </row>
    <row r="278" spans="1:23">
      <c r="A278" s="53">
        <v>41365</v>
      </c>
      <c r="B278">
        <v>67</v>
      </c>
      <c r="C278">
        <v>1</v>
      </c>
      <c r="D278">
        <v>0</v>
      </c>
      <c r="E278">
        <v>0</v>
      </c>
      <c r="F278">
        <v>4</v>
      </c>
      <c r="G278">
        <v>2</v>
      </c>
      <c r="H278">
        <v>15</v>
      </c>
      <c r="I278">
        <v>0</v>
      </c>
      <c r="J278">
        <v>1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1</v>
      </c>
      <c r="Q278">
        <f t="shared" si="12"/>
        <v>55</v>
      </c>
      <c r="R278">
        <v>45</v>
      </c>
      <c r="T278" s="53">
        <v>41365</v>
      </c>
      <c r="U278">
        <f t="shared" si="13"/>
        <v>67.62152194469158</v>
      </c>
      <c r="V278">
        <v>67</v>
      </c>
      <c r="W278">
        <f t="shared" si="14"/>
        <v>0.38628952773320296</v>
      </c>
    </row>
    <row r="279" spans="1:23">
      <c r="A279" s="53">
        <v>41366</v>
      </c>
      <c r="B279">
        <v>55</v>
      </c>
      <c r="C279">
        <v>1</v>
      </c>
      <c r="D279">
        <v>0</v>
      </c>
      <c r="E279">
        <v>0</v>
      </c>
      <c r="F279">
        <v>2</v>
      </c>
      <c r="G279">
        <v>1</v>
      </c>
      <c r="H279">
        <v>6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1</v>
      </c>
      <c r="Q279">
        <f t="shared" si="12"/>
        <v>46</v>
      </c>
      <c r="R279">
        <v>36</v>
      </c>
      <c r="T279" s="53">
        <v>41366</v>
      </c>
      <c r="U279">
        <f t="shared" si="13"/>
        <v>54.79714444867399</v>
      </c>
      <c r="V279">
        <v>55</v>
      </c>
      <c r="W279">
        <f t="shared" si="14"/>
        <v>4.1150374703779552E-2</v>
      </c>
    </row>
    <row r="280" spans="1:23">
      <c r="A280" s="53">
        <v>41367</v>
      </c>
      <c r="B280">
        <v>59</v>
      </c>
      <c r="C280">
        <v>1</v>
      </c>
      <c r="D280">
        <v>0</v>
      </c>
      <c r="E280">
        <v>0</v>
      </c>
      <c r="F280">
        <v>2</v>
      </c>
      <c r="G280">
        <v>0</v>
      </c>
      <c r="H280">
        <v>3</v>
      </c>
      <c r="I280">
        <v>0</v>
      </c>
      <c r="J280">
        <v>0</v>
      </c>
      <c r="K280">
        <v>0</v>
      </c>
      <c r="L280">
        <v>1</v>
      </c>
      <c r="M280">
        <v>0</v>
      </c>
      <c r="N280">
        <v>0</v>
      </c>
      <c r="O280">
        <v>0</v>
      </c>
      <c r="P280">
        <v>1</v>
      </c>
      <c r="Q280">
        <f t="shared" si="12"/>
        <v>42</v>
      </c>
      <c r="R280">
        <v>32</v>
      </c>
      <c r="T280" s="53">
        <v>41367</v>
      </c>
      <c r="U280">
        <f t="shared" si="13"/>
        <v>50.552440713133819</v>
      </c>
      <c r="V280">
        <v>59</v>
      </c>
      <c r="W280">
        <f t="shared" si="14"/>
        <v>71.361257905119061</v>
      </c>
    </row>
    <row r="281" spans="1:23">
      <c r="A281" s="53">
        <v>41368</v>
      </c>
      <c r="B281">
        <v>42</v>
      </c>
      <c r="C281">
        <v>1</v>
      </c>
      <c r="D281">
        <v>0</v>
      </c>
      <c r="E281">
        <v>0</v>
      </c>
      <c r="F281">
        <v>1</v>
      </c>
      <c r="G281">
        <v>0</v>
      </c>
      <c r="H281">
        <v>2</v>
      </c>
      <c r="I281">
        <v>0</v>
      </c>
      <c r="J281">
        <v>0</v>
      </c>
      <c r="K281">
        <v>0</v>
      </c>
      <c r="L281">
        <v>0</v>
      </c>
      <c r="M281">
        <v>1</v>
      </c>
      <c r="N281">
        <v>0</v>
      </c>
      <c r="O281">
        <v>0</v>
      </c>
      <c r="P281">
        <v>1</v>
      </c>
      <c r="Q281">
        <f t="shared" si="12"/>
        <v>53</v>
      </c>
      <c r="R281">
        <v>43</v>
      </c>
      <c r="T281" s="53">
        <v>41368</v>
      </c>
      <c r="U281">
        <f t="shared" si="13"/>
        <v>50.949455722981071</v>
      </c>
      <c r="V281">
        <v>42</v>
      </c>
      <c r="W281">
        <f t="shared" si="14"/>
        <v>80.092757737598646</v>
      </c>
    </row>
    <row r="282" spans="1:23">
      <c r="A282" s="53">
        <v>41369</v>
      </c>
      <c r="B282">
        <v>43</v>
      </c>
      <c r="C282">
        <v>1</v>
      </c>
      <c r="D282">
        <v>0</v>
      </c>
      <c r="E282">
        <v>0</v>
      </c>
      <c r="F282">
        <v>0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1</v>
      </c>
      <c r="Q282">
        <f t="shared" si="12"/>
        <v>46</v>
      </c>
      <c r="R282">
        <v>36</v>
      </c>
      <c r="T282" s="53">
        <v>41369</v>
      </c>
      <c r="U282">
        <f t="shared" si="13"/>
        <v>43.787144755663697</v>
      </c>
      <c r="V282">
        <v>43</v>
      </c>
      <c r="W282">
        <f t="shared" si="14"/>
        <v>0.61959686636886058</v>
      </c>
    </row>
    <row r="283" spans="1:23">
      <c r="A283" s="53">
        <v>41370</v>
      </c>
      <c r="B283">
        <v>60</v>
      </c>
      <c r="C283">
        <v>1</v>
      </c>
      <c r="D283">
        <v>0</v>
      </c>
      <c r="E283">
        <v>0</v>
      </c>
      <c r="F283">
        <v>3</v>
      </c>
      <c r="G283">
        <v>2</v>
      </c>
      <c r="H283">
        <v>12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</v>
      </c>
      <c r="P283">
        <v>1</v>
      </c>
      <c r="Q283">
        <f t="shared" si="12"/>
        <v>49</v>
      </c>
      <c r="R283">
        <v>39</v>
      </c>
      <c r="T283" s="53">
        <v>41370</v>
      </c>
      <c r="U283">
        <f t="shared" si="13"/>
        <v>58.900969111263898</v>
      </c>
      <c r="V283">
        <v>60</v>
      </c>
      <c r="W283">
        <f t="shared" si="14"/>
        <v>1.2078688943960671</v>
      </c>
    </row>
    <row r="284" spans="1:23">
      <c r="A284" s="53">
        <v>41371</v>
      </c>
      <c r="B284">
        <v>55</v>
      </c>
      <c r="C284">
        <v>1</v>
      </c>
      <c r="D284">
        <v>0</v>
      </c>
      <c r="E284">
        <v>0</v>
      </c>
      <c r="F284">
        <v>2</v>
      </c>
      <c r="G284">
        <v>1</v>
      </c>
      <c r="H284">
        <v>6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f t="shared" si="12"/>
        <v>43</v>
      </c>
      <c r="R284">
        <v>33</v>
      </c>
      <c r="T284" s="53">
        <v>41371</v>
      </c>
      <c r="U284">
        <f t="shared" si="13"/>
        <v>48.148221191032064</v>
      </c>
      <c r="V284">
        <v>55</v>
      </c>
      <c r="W284">
        <f t="shared" si="14"/>
        <v>46.946872847022064</v>
      </c>
    </row>
    <row r="285" spans="1:23">
      <c r="A285" s="53">
        <v>41372</v>
      </c>
      <c r="B285">
        <v>41</v>
      </c>
      <c r="C285">
        <v>1</v>
      </c>
      <c r="D285">
        <v>0</v>
      </c>
      <c r="E285">
        <v>0</v>
      </c>
      <c r="F285">
        <v>0</v>
      </c>
      <c r="G285">
        <v>0</v>
      </c>
      <c r="H285">
        <v>1</v>
      </c>
      <c r="I285">
        <v>0</v>
      </c>
      <c r="J285">
        <v>1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f t="shared" si="12"/>
        <v>43</v>
      </c>
      <c r="R285">
        <v>33</v>
      </c>
      <c r="T285" s="53">
        <v>41372</v>
      </c>
      <c r="U285">
        <f t="shared" si="13"/>
        <v>42.390153678313382</v>
      </c>
      <c r="V285">
        <v>41</v>
      </c>
      <c r="W285">
        <f t="shared" si="14"/>
        <v>1.9325272493282262</v>
      </c>
    </row>
    <row r="286" spans="1:23">
      <c r="A286" s="53">
        <v>41373</v>
      </c>
      <c r="B286">
        <v>36</v>
      </c>
      <c r="C286">
        <v>1</v>
      </c>
      <c r="D286">
        <v>0</v>
      </c>
      <c r="E286">
        <v>0</v>
      </c>
      <c r="F286">
        <v>0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1</v>
      </c>
      <c r="Q286">
        <f t="shared" si="12"/>
        <v>42</v>
      </c>
      <c r="R286">
        <v>32</v>
      </c>
      <c r="T286" s="53">
        <v>41373</v>
      </c>
      <c r="U286">
        <f t="shared" si="13"/>
        <v>41.823622048852371</v>
      </c>
      <c r="V286">
        <v>36</v>
      </c>
      <c r="W286">
        <f t="shared" si="14"/>
        <v>33.914573767879489</v>
      </c>
    </row>
    <row r="287" spans="1:23">
      <c r="A287" s="53">
        <v>41374</v>
      </c>
      <c r="B287">
        <v>41</v>
      </c>
      <c r="C287">
        <v>1</v>
      </c>
      <c r="D287">
        <v>0</v>
      </c>
      <c r="E287">
        <v>0</v>
      </c>
      <c r="F287">
        <v>0</v>
      </c>
      <c r="G287">
        <v>0</v>
      </c>
      <c r="H287">
        <v>1</v>
      </c>
      <c r="I287">
        <v>0</v>
      </c>
      <c r="J287">
        <v>0</v>
      </c>
      <c r="K287">
        <v>0</v>
      </c>
      <c r="L287">
        <v>1</v>
      </c>
      <c r="M287">
        <v>0</v>
      </c>
      <c r="N287">
        <v>0</v>
      </c>
      <c r="O287">
        <v>0</v>
      </c>
      <c r="P287">
        <v>1</v>
      </c>
      <c r="Q287">
        <f t="shared" si="12"/>
        <v>30</v>
      </c>
      <c r="R287">
        <v>20</v>
      </c>
      <c r="T287" s="53">
        <v>41374</v>
      </c>
      <c r="U287">
        <f t="shared" si="13"/>
        <v>34.523206532931866</v>
      </c>
      <c r="V287">
        <v>41</v>
      </c>
      <c r="W287">
        <f t="shared" si="14"/>
        <v>41.948853615056464</v>
      </c>
    </row>
    <row r="288" spans="1:23">
      <c r="A288" s="53">
        <v>41375</v>
      </c>
      <c r="B288">
        <v>27</v>
      </c>
      <c r="C288">
        <v>1</v>
      </c>
      <c r="D288">
        <v>0</v>
      </c>
      <c r="E288">
        <v>0</v>
      </c>
      <c r="F288">
        <v>0</v>
      </c>
      <c r="G288">
        <v>0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1</v>
      </c>
      <c r="N288">
        <v>0</v>
      </c>
      <c r="O288">
        <v>0</v>
      </c>
      <c r="P288">
        <v>1</v>
      </c>
      <c r="Q288">
        <f t="shared" si="12"/>
        <v>35</v>
      </c>
      <c r="R288">
        <v>25</v>
      </c>
      <c r="T288" s="53">
        <v>41375</v>
      </c>
      <c r="U288">
        <f t="shared" si="13"/>
        <v>36.033329400757296</v>
      </c>
      <c r="V288">
        <v>27</v>
      </c>
      <c r="W288">
        <f t="shared" si="14"/>
        <v>81.601040062586165</v>
      </c>
    </row>
    <row r="289" spans="1:23">
      <c r="A289" s="53">
        <v>41376</v>
      </c>
      <c r="B289">
        <v>43</v>
      </c>
      <c r="C289">
        <v>1</v>
      </c>
      <c r="D289">
        <v>0</v>
      </c>
      <c r="E289">
        <v>0</v>
      </c>
      <c r="F289">
        <v>0</v>
      </c>
      <c r="G289">
        <v>0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f t="shared" si="12"/>
        <v>44</v>
      </c>
      <c r="R289">
        <v>34</v>
      </c>
      <c r="T289" s="53">
        <v>41376</v>
      </c>
      <c r="U289">
        <f t="shared" si="13"/>
        <v>42.63689321697656</v>
      </c>
      <c r="V289">
        <v>43</v>
      </c>
      <c r="W289">
        <f t="shared" si="14"/>
        <v>0.13184653587763154</v>
      </c>
    </row>
    <row r="290" spans="1:23">
      <c r="A290" s="53">
        <v>41377</v>
      </c>
      <c r="B290">
        <v>43</v>
      </c>
      <c r="C290">
        <v>1</v>
      </c>
      <c r="D290">
        <v>0</v>
      </c>
      <c r="E290">
        <v>0</v>
      </c>
      <c r="F290">
        <v>2</v>
      </c>
      <c r="G290">
        <v>2</v>
      </c>
      <c r="H290">
        <v>9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</v>
      </c>
      <c r="P290">
        <v>1</v>
      </c>
      <c r="Q290">
        <f t="shared" si="12"/>
        <v>53</v>
      </c>
      <c r="R290">
        <v>43</v>
      </c>
      <c r="T290" s="53">
        <v>41377</v>
      </c>
      <c r="U290">
        <f t="shared" si="13"/>
        <v>58.145699519918239</v>
      </c>
      <c r="V290">
        <v>43</v>
      </c>
      <c r="W290">
        <f t="shared" si="14"/>
        <v>229.39221394765156</v>
      </c>
    </row>
    <row r="291" spans="1:23">
      <c r="A291" s="53">
        <v>41378</v>
      </c>
      <c r="B291">
        <v>49</v>
      </c>
      <c r="C291">
        <v>1</v>
      </c>
      <c r="D291">
        <v>0</v>
      </c>
      <c r="E291">
        <v>0</v>
      </c>
      <c r="F291">
        <v>2</v>
      </c>
      <c r="G291">
        <v>1</v>
      </c>
      <c r="H291">
        <v>6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1</v>
      </c>
      <c r="Q291">
        <f t="shared" si="12"/>
        <v>50</v>
      </c>
      <c r="R291">
        <v>40</v>
      </c>
      <c r="T291" s="53">
        <v>41378</v>
      </c>
      <c r="U291">
        <f t="shared" si="13"/>
        <v>52.174101576437039</v>
      </c>
      <c r="V291">
        <v>49</v>
      </c>
      <c r="W291">
        <f t="shared" si="14"/>
        <v>10.074920817540095</v>
      </c>
    </row>
    <row r="292" spans="1:23">
      <c r="A292" s="53">
        <v>41379</v>
      </c>
      <c r="B292">
        <v>44</v>
      </c>
      <c r="C292">
        <v>1</v>
      </c>
      <c r="D292">
        <v>0</v>
      </c>
      <c r="E292">
        <v>0</v>
      </c>
      <c r="F292">
        <v>0</v>
      </c>
      <c r="G292">
        <v>0</v>
      </c>
      <c r="H292">
        <v>1</v>
      </c>
      <c r="I292">
        <v>0</v>
      </c>
      <c r="J292">
        <v>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1</v>
      </c>
      <c r="Q292">
        <f t="shared" si="12"/>
        <v>37</v>
      </c>
      <c r="R292">
        <v>27</v>
      </c>
      <c r="T292" s="53">
        <v>41379</v>
      </c>
      <c r="U292">
        <f t="shared" si="13"/>
        <v>38.939399062251979</v>
      </c>
      <c r="V292">
        <v>44</v>
      </c>
      <c r="W292">
        <f t="shared" si="14"/>
        <v>25.609681851136145</v>
      </c>
    </row>
    <row r="293" spans="1:23">
      <c r="A293" s="53">
        <v>41380</v>
      </c>
      <c r="B293">
        <v>29</v>
      </c>
      <c r="C293">
        <v>1</v>
      </c>
      <c r="D293">
        <v>0</v>
      </c>
      <c r="E293">
        <v>0</v>
      </c>
      <c r="F293">
        <v>0</v>
      </c>
      <c r="G293">
        <v>0</v>
      </c>
      <c r="H293">
        <v>1</v>
      </c>
      <c r="I293">
        <v>0</v>
      </c>
      <c r="J293">
        <v>0</v>
      </c>
      <c r="K293">
        <v>1</v>
      </c>
      <c r="L293">
        <v>0</v>
      </c>
      <c r="M293">
        <v>0</v>
      </c>
      <c r="N293">
        <v>0</v>
      </c>
      <c r="O293">
        <v>0</v>
      </c>
      <c r="P293">
        <v>1</v>
      </c>
      <c r="Q293">
        <f t="shared" si="12"/>
        <v>31</v>
      </c>
      <c r="R293">
        <v>21</v>
      </c>
      <c r="T293" s="53">
        <v>41380</v>
      </c>
      <c r="U293">
        <f t="shared" si="13"/>
        <v>35.497238586073131</v>
      </c>
      <c r="V293">
        <v>29</v>
      </c>
      <c r="W293">
        <f t="shared" si="14"/>
        <v>42.214109244357573</v>
      </c>
    </row>
    <row r="294" spans="1:23">
      <c r="A294" s="53">
        <v>41381</v>
      </c>
      <c r="B294">
        <v>7</v>
      </c>
      <c r="C294">
        <v>1</v>
      </c>
      <c r="D294">
        <v>0</v>
      </c>
      <c r="E294">
        <v>0</v>
      </c>
      <c r="F294">
        <v>0</v>
      </c>
      <c r="G294">
        <v>0</v>
      </c>
      <c r="H294">
        <v>1</v>
      </c>
      <c r="I294">
        <v>0</v>
      </c>
      <c r="J294">
        <v>0</v>
      </c>
      <c r="K294">
        <v>0</v>
      </c>
      <c r="L294">
        <v>1</v>
      </c>
      <c r="M294">
        <v>0</v>
      </c>
      <c r="N294">
        <v>0</v>
      </c>
      <c r="O294">
        <v>0</v>
      </c>
      <c r="P294">
        <v>1</v>
      </c>
      <c r="Q294">
        <f t="shared" si="12"/>
        <v>31</v>
      </c>
      <c r="R294">
        <v>21</v>
      </c>
      <c r="T294" s="53">
        <v>41381</v>
      </c>
      <c r="U294">
        <f t="shared" si="13"/>
        <v>35.098332302275431</v>
      </c>
      <c r="V294">
        <v>7</v>
      </c>
      <c r="W294">
        <f t="shared" si="14"/>
        <v>789.5162781690949</v>
      </c>
    </row>
    <row r="295" spans="1:23">
      <c r="A295" s="53">
        <v>41382</v>
      </c>
      <c r="B295">
        <v>29</v>
      </c>
      <c r="C295">
        <v>1</v>
      </c>
      <c r="D295">
        <v>0</v>
      </c>
      <c r="E295">
        <v>0</v>
      </c>
      <c r="F295">
        <v>0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1</v>
      </c>
      <c r="N295">
        <v>0</v>
      </c>
      <c r="O295">
        <v>0</v>
      </c>
      <c r="P295">
        <v>1</v>
      </c>
      <c r="Q295">
        <f t="shared" si="12"/>
        <v>31</v>
      </c>
      <c r="R295">
        <v>21</v>
      </c>
      <c r="T295" s="53">
        <v>41382</v>
      </c>
      <c r="U295">
        <f t="shared" si="13"/>
        <v>33.732826323383023</v>
      </c>
      <c r="V295">
        <v>29</v>
      </c>
      <c r="W295">
        <f t="shared" si="14"/>
        <v>22.39964500730726</v>
      </c>
    </row>
    <row r="296" spans="1:23">
      <c r="A296" s="53">
        <v>41383</v>
      </c>
      <c r="B296">
        <v>36</v>
      </c>
      <c r="C296">
        <v>1</v>
      </c>
      <c r="D296">
        <v>0</v>
      </c>
      <c r="E296">
        <v>0</v>
      </c>
      <c r="F296">
        <v>0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1</v>
      </c>
      <c r="Q296">
        <f t="shared" si="12"/>
        <v>35</v>
      </c>
      <c r="R296">
        <v>25</v>
      </c>
      <c r="T296" s="53">
        <v>41383</v>
      </c>
      <c r="U296">
        <f t="shared" si="13"/>
        <v>37.460761292884456</v>
      </c>
      <c r="V296">
        <v>36</v>
      </c>
      <c r="W296">
        <f t="shared" si="14"/>
        <v>2.1338235547894673</v>
      </c>
    </row>
    <row r="297" spans="1:23">
      <c r="A297" s="53">
        <v>41384</v>
      </c>
      <c r="B297">
        <v>46</v>
      </c>
      <c r="C297">
        <v>1</v>
      </c>
      <c r="D297">
        <v>0</v>
      </c>
      <c r="E297">
        <v>0</v>
      </c>
      <c r="F297">
        <v>2</v>
      </c>
      <c r="G297">
        <v>1</v>
      </c>
      <c r="H297">
        <v>6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</v>
      </c>
      <c r="P297">
        <v>1</v>
      </c>
      <c r="Q297">
        <f t="shared" si="12"/>
        <v>39</v>
      </c>
      <c r="R297">
        <v>29</v>
      </c>
      <c r="T297" s="53">
        <v>41384</v>
      </c>
      <c r="U297">
        <f t="shared" si="13"/>
        <v>48.548644374740107</v>
      </c>
      <c r="V297">
        <v>46</v>
      </c>
      <c r="W297">
        <f t="shared" si="14"/>
        <v>6.4955881488943898</v>
      </c>
    </row>
    <row r="298" spans="1:23">
      <c r="A298" s="53">
        <v>41385</v>
      </c>
      <c r="B298">
        <v>44</v>
      </c>
      <c r="C298">
        <v>1</v>
      </c>
      <c r="D298">
        <v>0</v>
      </c>
      <c r="E298">
        <v>0</v>
      </c>
      <c r="F298">
        <v>1</v>
      </c>
      <c r="G298">
        <v>0</v>
      </c>
      <c r="H298">
        <v>2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1</v>
      </c>
      <c r="Q298">
        <f t="shared" si="12"/>
        <v>38</v>
      </c>
      <c r="R298">
        <v>28</v>
      </c>
      <c r="T298" s="53">
        <v>41385</v>
      </c>
      <c r="U298">
        <f t="shared" si="13"/>
        <v>39.163435495906462</v>
      </c>
      <c r="V298">
        <v>44</v>
      </c>
      <c r="W298">
        <f t="shared" si="14"/>
        <v>23.392356202257567</v>
      </c>
    </row>
    <row r="299" spans="1:23">
      <c r="A299" s="53">
        <v>41386</v>
      </c>
      <c r="B299">
        <v>33</v>
      </c>
      <c r="C299">
        <v>1</v>
      </c>
      <c r="D299">
        <v>0</v>
      </c>
      <c r="E299">
        <v>0</v>
      </c>
      <c r="F299">
        <v>0</v>
      </c>
      <c r="G299">
        <v>0</v>
      </c>
      <c r="H299">
        <v>1</v>
      </c>
      <c r="I299">
        <v>0</v>
      </c>
      <c r="J299">
        <v>1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1</v>
      </c>
      <c r="Q299">
        <f t="shared" si="12"/>
        <v>42</v>
      </c>
      <c r="R299">
        <v>32</v>
      </c>
      <c r="T299" s="53">
        <v>41386</v>
      </c>
      <c r="U299">
        <f t="shared" si="13"/>
        <v>41.81502790896981</v>
      </c>
      <c r="V299">
        <v>33</v>
      </c>
      <c r="W299">
        <f t="shared" si="14"/>
        <v>77.704717035916659</v>
      </c>
    </row>
    <row r="300" spans="1:23">
      <c r="A300" s="53">
        <v>41387</v>
      </c>
      <c r="B300">
        <v>36</v>
      </c>
      <c r="C300">
        <v>1</v>
      </c>
      <c r="D300">
        <v>0</v>
      </c>
      <c r="E300">
        <v>0</v>
      </c>
      <c r="F300">
        <v>0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1</v>
      </c>
      <c r="Q300">
        <f t="shared" si="12"/>
        <v>37</v>
      </c>
      <c r="R300">
        <v>27</v>
      </c>
      <c r="T300" s="53">
        <v>41387</v>
      </c>
      <c r="U300">
        <f t="shared" si="13"/>
        <v>38.947993202134533</v>
      </c>
      <c r="V300">
        <v>36</v>
      </c>
      <c r="W300">
        <f t="shared" si="14"/>
        <v>8.6906639198314206</v>
      </c>
    </row>
    <row r="301" spans="1:23">
      <c r="A301" s="53">
        <v>41388</v>
      </c>
      <c r="B301">
        <v>37</v>
      </c>
      <c r="C301">
        <v>1</v>
      </c>
      <c r="D301">
        <v>0</v>
      </c>
      <c r="E301">
        <v>0</v>
      </c>
      <c r="F301">
        <v>0</v>
      </c>
      <c r="G301">
        <v>0</v>
      </c>
      <c r="H301">
        <v>1</v>
      </c>
      <c r="I301">
        <v>0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1</v>
      </c>
      <c r="Q301">
        <f t="shared" si="12"/>
        <v>45</v>
      </c>
      <c r="R301">
        <v>35</v>
      </c>
      <c r="T301" s="53">
        <v>41388</v>
      </c>
      <c r="U301">
        <f t="shared" si="13"/>
        <v>43.150093073085372</v>
      </c>
      <c r="V301">
        <v>37</v>
      </c>
      <c r="W301">
        <f t="shared" si="14"/>
        <v>37.823644807612681</v>
      </c>
    </row>
    <row r="302" spans="1:23">
      <c r="A302" s="53">
        <v>41389</v>
      </c>
      <c r="B302">
        <v>47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1</v>
      </c>
      <c r="I302">
        <v>0</v>
      </c>
      <c r="J302">
        <v>0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1</v>
      </c>
      <c r="Q302">
        <f t="shared" si="12"/>
        <v>39</v>
      </c>
      <c r="R302">
        <v>29</v>
      </c>
      <c r="T302" s="53">
        <v>41389</v>
      </c>
      <c r="U302">
        <f t="shared" si="13"/>
        <v>38.333832478131555</v>
      </c>
      <c r="V302">
        <v>47</v>
      </c>
      <c r="W302">
        <f t="shared" si="14"/>
        <v>75.102459517087468</v>
      </c>
    </row>
    <row r="303" spans="1:23">
      <c r="A303" s="53">
        <v>41390</v>
      </c>
      <c r="B303">
        <v>42</v>
      </c>
      <c r="C303">
        <v>1</v>
      </c>
      <c r="D303">
        <v>0</v>
      </c>
      <c r="E303">
        <v>0</v>
      </c>
      <c r="F303">
        <v>1</v>
      </c>
      <c r="G303">
        <v>1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1</v>
      </c>
      <c r="O303">
        <v>0</v>
      </c>
      <c r="P303">
        <v>1</v>
      </c>
      <c r="Q303">
        <f t="shared" si="12"/>
        <v>42</v>
      </c>
      <c r="R303">
        <v>32</v>
      </c>
      <c r="T303" s="53">
        <v>41390</v>
      </c>
      <c r="U303">
        <f t="shared" si="13"/>
        <v>48.349843429357023</v>
      </c>
      <c r="V303">
        <v>42</v>
      </c>
      <c r="W303">
        <f t="shared" si="14"/>
        <v>40.320511577348555</v>
      </c>
    </row>
    <row r="304" spans="1:23">
      <c r="A304" s="53">
        <v>41391</v>
      </c>
      <c r="B304">
        <v>52</v>
      </c>
      <c r="C304">
        <v>1</v>
      </c>
      <c r="D304">
        <v>0</v>
      </c>
      <c r="E304">
        <v>0</v>
      </c>
      <c r="F304">
        <v>2</v>
      </c>
      <c r="G304">
        <v>2</v>
      </c>
      <c r="H304">
        <v>9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1</v>
      </c>
      <c r="Q304">
        <f t="shared" si="12"/>
        <v>53</v>
      </c>
      <c r="R304">
        <v>43</v>
      </c>
      <c r="T304" s="53">
        <v>41391</v>
      </c>
      <c r="U304">
        <f t="shared" si="13"/>
        <v>58.145699519918239</v>
      </c>
      <c r="V304">
        <v>52</v>
      </c>
      <c r="W304">
        <f t="shared" si="14"/>
        <v>37.769622589123273</v>
      </c>
    </row>
    <row r="305" spans="1:23">
      <c r="A305" s="53">
        <v>41392</v>
      </c>
      <c r="B305">
        <v>66</v>
      </c>
      <c r="C305">
        <v>1</v>
      </c>
      <c r="D305">
        <v>0</v>
      </c>
      <c r="E305">
        <v>0</v>
      </c>
      <c r="F305">
        <v>2</v>
      </c>
      <c r="G305">
        <v>1</v>
      </c>
      <c r="H305">
        <v>6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1</v>
      </c>
      <c r="Q305">
        <f t="shared" si="12"/>
        <v>64</v>
      </c>
      <c r="R305">
        <v>54</v>
      </c>
      <c r="T305" s="53">
        <v>41392</v>
      </c>
      <c r="U305">
        <f t="shared" si="13"/>
        <v>60.225862347246974</v>
      </c>
      <c r="V305">
        <v>66</v>
      </c>
      <c r="W305">
        <f t="shared" si="14"/>
        <v>33.34066563294023</v>
      </c>
    </row>
    <row r="306" spans="1:23">
      <c r="A306" s="53">
        <v>41393</v>
      </c>
      <c r="B306">
        <v>59</v>
      </c>
      <c r="C306">
        <v>1</v>
      </c>
      <c r="D306">
        <v>0</v>
      </c>
      <c r="E306">
        <v>0</v>
      </c>
      <c r="F306">
        <v>1</v>
      </c>
      <c r="G306">
        <v>0</v>
      </c>
      <c r="H306">
        <v>2</v>
      </c>
      <c r="I306">
        <v>1</v>
      </c>
      <c r="J306">
        <v>1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1</v>
      </c>
      <c r="Q306">
        <f t="shared" si="12"/>
        <v>49</v>
      </c>
      <c r="R306">
        <v>39</v>
      </c>
      <c r="T306" s="53">
        <v>41393</v>
      </c>
      <c r="U306">
        <f t="shared" si="13"/>
        <v>49.438640118760716</v>
      </c>
      <c r="V306">
        <v>59</v>
      </c>
      <c r="W306">
        <f t="shared" si="14"/>
        <v>91.419602778572084</v>
      </c>
    </row>
    <row r="307" spans="1:23">
      <c r="A307" s="53">
        <v>41394</v>
      </c>
      <c r="B307">
        <v>56</v>
      </c>
      <c r="C307">
        <v>1</v>
      </c>
      <c r="D307">
        <v>0</v>
      </c>
      <c r="E307">
        <v>0</v>
      </c>
      <c r="F307">
        <v>2</v>
      </c>
      <c r="G307">
        <v>1</v>
      </c>
      <c r="H307">
        <v>6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1</v>
      </c>
      <c r="Q307">
        <f t="shared" si="12"/>
        <v>41</v>
      </c>
      <c r="R307">
        <v>31</v>
      </c>
      <c r="T307" s="53">
        <v>41394</v>
      </c>
      <c r="U307">
        <f t="shared" si="13"/>
        <v>51.921515601956159</v>
      </c>
      <c r="V307">
        <v>56</v>
      </c>
      <c r="W307">
        <f t="shared" si="14"/>
        <v>16.63403498508703</v>
      </c>
    </row>
    <row r="308" spans="1:23">
      <c r="A308" s="53">
        <v>41395</v>
      </c>
      <c r="B308">
        <v>47</v>
      </c>
      <c r="C308">
        <v>1</v>
      </c>
      <c r="D308">
        <v>0</v>
      </c>
      <c r="E308">
        <v>0</v>
      </c>
      <c r="F308">
        <v>0</v>
      </c>
      <c r="G308">
        <v>0</v>
      </c>
      <c r="H308">
        <v>1</v>
      </c>
      <c r="I308">
        <v>0</v>
      </c>
      <c r="J308">
        <v>0</v>
      </c>
      <c r="K308">
        <v>0</v>
      </c>
      <c r="L308">
        <v>1</v>
      </c>
      <c r="M308">
        <v>0</v>
      </c>
      <c r="N308">
        <v>0</v>
      </c>
      <c r="O308">
        <v>0</v>
      </c>
      <c r="P308">
        <v>0</v>
      </c>
      <c r="Q308">
        <f t="shared" si="12"/>
        <v>40</v>
      </c>
      <c r="R308">
        <v>30</v>
      </c>
      <c r="T308" s="53">
        <v>41395</v>
      </c>
      <c r="U308">
        <f t="shared" si="13"/>
        <v>32.141246125662285</v>
      </c>
      <c r="V308">
        <v>47</v>
      </c>
      <c r="W308">
        <f t="shared" si="14"/>
        <v>220.78256669814607</v>
      </c>
    </row>
    <row r="309" spans="1:23">
      <c r="A309" s="53">
        <v>41396</v>
      </c>
      <c r="B309">
        <v>27</v>
      </c>
      <c r="C309">
        <v>1</v>
      </c>
      <c r="D309">
        <v>0</v>
      </c>
      <c r="E309">
        <v>0</v>
      </c>
      <c r="F309">
        <v>0</v>
      </c>
      <c r="G309">
        <v>0</v>
      </c>
      <c r="H309">
        <v>1</v>
      </c>
      <c r="I309">
        <v>0</v>
      </c>
      <c r="J309">
        <v>0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f t="shared" si="12"/>
        <v>37</v>
      </c>
      <c r="R309">
        <v>27</v>
      </c>
      <c r="T309" s="53">
        <v>41396</v>
      </c>
      <c r="U309">
        <f t="shared" si="13"/>
        <v>29.050362838739176</v>
      </c>
      <c r="V309">
        <v>27</v>
      </c>
      <c r="W309">
        <f t="shared" si="14"/>
        <v>4.2039877704825708</v>
      </c>
    </row>
    <row r="310" spans="1:23">
      <c r="A310" s="53">
        <v>41397</v>
      </c>
      <c r="B310">
        <v>46</v>
      </c>
      <c r="C310">
        <v>1</v>
      </c>
      <c r="D310">
        <v>0</v>
      </c>
      <c r="E310">
        <v>0</v>
      </c>
      <c r="F310">
        <v>1</v>
      </c>
      <c r="G310">
        <v>1</v>
      </c>
      <c r="H310">
        <v>4</v>
      </c>
      <c r="I310">
        <v>1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f t="shared" si="12"/>
        <v>37</v>
      </c>
      <c r="R310">
        <v>27</v>
      </c>
      <c r="T310" s="53">
        <v>41397</v>
      </c>
      <c r="U310">
        <f t="shared" si="13"/>
        <v>36.3748658322803</v>
      </c>
      <c r="V310">
        <v>46</v>
      </c>
      <c r="W310">
        <f t="shared" si="14"/>
        <v>92.643207746605214</v>
      </c>
    </row>
    <row r="311" spans="1:23">
      <c r="A311" s="53">
        <v>41398</v>
      </c>
      <c r="B311">
        <v>27</v>
      </c>
      <c r="C311">
        <v>1</v>
      </c>
      <c r="D311">
        <v>0</v>
      </c>
      <c r="E311">
        <v>0</v>
      </c>
      <c r="F311">
        <v>2</v>
      </c>
      <c r="G311">
        <v>1</v>
      </c>
      <c r="H311">
        <v>6</v>
      </c>
      <c r="I311">
        <v>1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0</v>
      </c>
      <c r="Q311">
        <f t="shared" si="12"/>
        <v>26</v>
      </c>
      <c r="R311">
        <v>16</v>
      </c>
      <c r="T311" s="53">
        <v>41398</v>
      </c>
      <c r="U311">
        <f t="shared" si="13"/>
        <v>31.972660622914844</v>
      </c>
      <c r="V311">
        <v>27</v>
      </c>
      <c r="W311">
        <f t="shared" si="14"/>
        <v>24.727353670687847</v>
      </c>
    </row>
    <row r="312" spans="1:23">
      <c r="A312" s="53">
        <v>41399</v>
      </c>
      <c r="B312">
        <v>17</v>
      </c>
      <c r="C312">
        <v>1</v>
      </c>
      <c r="D312">
        <v>0</v>
      </c>
      <c r="E312">
        <v>0</v>
      </c>
      <c r="F312">
        <v>1</v>
      </c>
      <c r="G312">
        <v>0</v>
      </c>
      <c r="H312">
        <v>2</v>
      </c>
      <c r="I312">
        <v>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f t="shared" si="12"/>
        <v>22</v>
      </c>
      <c r="R312">
        <v>12</v>
      </c>
      <c r="T312" s="53">
        <v>41399</v>
      </c>
      <c r="U312">
        <f t="shared" si="13"/>
        <v>20.862074436050499</v>
      </c>
      <c r="V312">
        <v>17</v>
      </c>
      <c r="W312">
        <f t="shared" si="14"/>
        <v>14.915618949594776</v>
      </c>
    </row>
    <row r="313" spans="1:23">
      <c r="A313" s="53">
        <v>41400</v>
      </c>
      <c r="B313">
        <v>24</v>
      </c>
      <c r="C313">
        <v>1</v>
      </c>
      <c r="D313">
        <v>0</v>
      </c>
      <c r="E313">
        <v>0</v>
      </c>
      <c r="F313">
        <v>0</v>
      </c>
      <c r="G313">
        <v>0</v>
      </c>
      <c r="H313">
        <v>1</v>
      </c>
      <c r="I313">
        <v>1</v>
      </c>
      <c r="J313">
        <v>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f t="shared" si="12"/>
        <v>31</v>
      </c>
      <c r="R313">
        <v>21</v>
      </c>
      <c r="T313" s="53">
        <v>41400</v>
      </c>
      <c r="U313">
        <f t="shared" si="13"/>
        <v>26.389295695831684</v>
      </c>
      <c r="V313">
        <v>24</v>
      </c>
      <c r="W313">
        <f t="shared" si="14"/>
        <v>5.708733922119813</v>
      </c>
    </row>
    <row r="314" spans="1:23">
      <c r="A314" s="53">
        <v>41401</v>
      </c>
      <c r="B314">
        <v>30</v>
      </c>
      <c r="C314">
        <v>1</v>
      </c>
      <c r="D314">
        <v>0</v>
      </c>
      <c r="E314">
        <v>0</v>
      </c>
      <c r="F314">
        <v>0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f t="shared" si="12"/>
        <v>32</v>
      </c>
      <c r="R314">
        <v>22</v>
      </c>
      <c r="T314" s="53">
        <v>41401</v>
      </c>
      <c r="U314">
        <f t="shared" si="13"/>
        <v>27.939146254711449</v>
      </c>
      <c r="V314">
        <v>30</v>
      </c>
      <c r="W314">
        <f t="shared" si="14"/>
        <v>4.2471181594698466</v>
      </c>
    </row>
    <row r="315" spans="1:23">
      <c r="A315" s="53">
        <v>41402</v>
      </c>
      <c r="B315">
        <v>24</v>
      </c>
      <c r="C315">
        <v>1</v>
      </c>
      <c r="D315">
        <v>0</v>
      </c>
      <c r="E315">
        <v>0</v>
      </c>
      <c r="F315">
        <v>0</v>
      </c>
      <c r="G315">
        <v>0</v>
      </c>
      <c r="H315">
        <v>1</v>
      </c>
      <c r="I315">
        <v>0</v>
      </c>
      <c r="J315">
        <v>0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f t="shared" si="12"/>
        <v>29</v>
      </c>
      <c r="R315">
        <v>19</v>
      </c>
      <c r="T315" s="53">
        <v>41402</v>
      </c>
      <c r="U315">
        <f t="shared" si="13"/>
        <v>25.814862662883048</v>
      </c>
      <c r="V315">
        <v>24</v>
      </c>
      <c r="W315">
        <f t="shared" si="14"/>
        <v>3.293726485126947</v>
      </c>
    </row>
    <row r="316" spans="1:23">
      <c r="A316" s="53">
        <v>41403</v>
      </c>
      <c r="B316">
        <v>17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1</v>
      </c>
      <c r="I316">
        <v>0</v>
      </c>
      <c r="J316">
        <v>0</v>
      </c>
      <c r="K316">
        <v>0</v>
      </c>
      <c r="L316">
        <v>0</v>
      </c>
      <c r="M316">
        <v>1</v>
      </c>
      <c r="N316">
        <v>0</v>
      </c>
      <c r="O316">
        <v>0</v>
      </c>
      <c r="P316">
        <v>0</v>
      </c>
      <c r="Q316">
        <f t="shared" si="12"/>
        <v>26</v>
      </c>
      <c r="R316">
        <v>16</v>
      </c>
      <c r="T316" s="53">
        <v>41403</v>
      </c>
      <c r="U316">
        <f t="shared" si="13"/>
        <v>22.723979375959939</v>
      </c>
      <c r="V316">
        <v>17</v>
      </c>
      <c r="W316">
        <f t="shared" si="14"/>
        <v>32.763939896414726</v>
      </c>
    </row>
    <row r="317" spans="1:23">
      <c r="A317" s="53">
        <v>41404</v>
      </c>
      <c r="B317">
        <v>26</v>
      </c>
      <c r="C317">
        <v>1</v>
      </c>
      <c r="D317">
        <v>0</v>
      </c>
      <c r="E317">
        <v>0</v>
      </c>
      <c r="F317">
        <v>0</v>
      </c>
      <c r="G317">
        <v>0</v>
      </c>
      <c r="H317">
        <v>1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f t="shared" si="12"/>
        <v>29</v>
      </c>
      <c r="R317">
        <v>19</v>
      </c>
      <c r="T317" s="53">
        <v>41404</v>
      </c>
      <c r="U317">
        <f t="shared" si="13"/>
        <v>25.876788576117807</v>
      </c>
      <c r="V317">
        <v>26</v>
      </c>
      <c r="W317">
        <f t="shared" si="14"/>
        <v>1.5181054975077405E-2</v>
      </c>
    </row>
    <row r="318" spans="1:23">
      <c r="A318" s="53">
        <v>41405</v>
      </c>
      <c r="B318">
        <v>44</v>
      </c>
      <c r="C318">
        <v>1</v>
      </c>
      <c r="D318">
        <v>0</v>
      </c>
      <c r="E318">
        <v>0</v>
      </c>
      <c r="F318">
        <v>1</v>
      </c>
      <c r="G318">
        <v>1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1</v>
      </c>
      <c r="P318">
        <v>0</v>
      </c>
      <c r="Q318">
        <f t="shared" si="12"/>
        <v>42</v>
      </c>
      <c r="R318">
        <v>32</v>
      </c>
      <c r="T318" s="53">
        <v>41405</v>
      </c>
      <c r="U318">
        <f t="shared" si="13"/>
        <v>38.330986010685805</v>
      </c>
      <c r="V318">
        <v>44</v>
      </c>
      <c r="W318">
        <f t="shared" si="14"/>
        <v>32.13771961104004</v>
      </c>
    </row>
    <row r="319" spans="1:23">
      <c r="A319" s="53">
        <v>41406</v>
      </c>
      <c r="B319">
        <v>38</v>
      </c>
      <c r="C319">
        <v>1</v>
      </c>
      <c r="D319">
        <v>0</v>
      </c>
      <c r="E319">
        <v>0</v>
      </c>
      <c r="F319">
        <v>0</v>
      </c>
      <c r="G319">
        <v>0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f t="shared" si="12"/>
        <v>36</v>
      </c>
      <c r="R319">
        <v>26</v>
      </c>
      <c r="T319" s="53">
        <v>41406</v>
      </c>
      <c r="U319">
        <f t="shared" si="13"/>
        <v>25.316103382474498</v>
      </c>
      <c r="V319">
        <v>38</v>
      </c>
      <c r="W319">
        <f t="shared" si="14"/>
        <v>160.88123340407486</v>
      </c>
    </row>
    <row r="320" spans="1:23">
      <c r="A320" s="53">
        <v>41407</v>
      </c>
      <c r="B320">
        <v>32</v>
      </c>
      <c r="C320">
        <v>1</v>
      </c>
      <c r="D320">
        <v>0</v>
      </c>
      <c r="E320">
        <v>0</v>
      </c>
      <c r="F320">
        <v>0</v>
      </c>
      <c r="G320">
        <v>0</v>
      </c>
      <c r="H320">
        <v>1</v>
      </c>
      <c r="I320">
        <v>0</v>
      </c>
      <c r="J320">
        <v>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f t="shared" si="12"/>
        <v>32</v>
      </c>
      <c r="R320">
        <v>22</v>
      </c>
      <c r="T320" s="53">
        <v>41407</v>
      </c>
      <c r="U320">
        <f t="shared" si="13"/>
        <v>27.930552114828895</v>
      </c>
      <c r="V320">
        <v>32</v>
      </c>
      <c r="W320">
        <f t="shared" si="14"/>
        <v>16.560406090123575</v>
      </c>
    </row>
    <row r="321" spans="1:23">
      <c r="A321" s="53">
        <v>41408</v>
      </c>
      <c r="B321">
        <v>22</v>
      </c>
      <c r="C321">
        <v>1</v>
      </c>
      <c r="D321">
        <v>0</v>
      </c>
      <c r="E321">
        <v>0</v>
      </c>
      <c r="F321">
        <v>0</v>
      </c>
      <c r="G321">
        <v>0</v>
      </c>
      <c r="H321">
        <v>1</v>
      </c>
      <c r="I321">
        <v>0</v>
      </c>
      <c r="J321">
        <v>0</v>
      </c>
      <c r="K321">
        <v>1</v>
      </c>
      <c r="L321">
        <v>0</v>
      </c>
      <c r="M321">
        <v>0</v>
      </c>
      <c r="N321">
        <v>0</v>
      </c>
      <c r="O321">
        <v>0</v>
      </c>
      <c r="P321">
        <v>0</v>
      </c>
      <c r="Q321">
        <f t="shared" si="12"/>
        <v>31</v>
      </c>
      <c r="R321">
        <v>21</v>
      </c>
      <c r="T321" s="53">
        <v>41408</v>
      </c>
      <c r="U321">
        <f t="shared" si="13"/>
        <v>27.364020485367881</v>
      </c>
      <c r="V321">
        <v>22</v>
      </c>
      <c r="W321">
        <f t="shared" si="14"/>
        <v>28.772715767446279</v>
      </c>
    </row>
    <row r="322" spans="1:23">
      <c r="A322" s="53">
        <v>41409</v>
      </c>
      <c r="B322">
        <v>24</v>
      </c>
      <c r="C322">
        <v>1</v>
      </c>
      <c r="D322">
        <v>0</v>
      </c>
      <c r="E322">
        <v>0</v>
      </c>
      <c r="F322">
        <v>0</v>
      </c>
      <c r="G322">
        <v>0</v>
      </c>
      <c r="H322">
        <v>1</v>
      </c>
      <c r="I322">
        <v>0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f t="shared" si="12"/>
        <v>21</v>
      </c>
      <c r="R322">
        <v>11</v>
      </c>
      <c r="T322" s="53">
        <v>41409</v>
      </c>
      <c r="U322">
        <f t="shared" si="13"/>
        <v>21.213856508134512</v>
      </c>
      <c r="V322">
        <v>24</v>
      </c>
      <c r="W322">
        <f t="shared" si="14"/>
        <v>7.7625955572644143</v>
      </c>
    </row>
    <row r="323" spans="1:23">
      <c r="A323" s="53">
        <v>41410</v>
      </c>
      <c r="B323">
        <v>29</v>
      </c>
      <c r="C323">
        <v>1</v>
      </c>
      <c r="D323">
        <v>0</v>
      </c>
      <c r="E323">
        <v>0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1</v>
      </c>
      <c r="N323">
        <v>0</v>
      </c>
      <c r="O323">
        <v>0</v>
      </c>
      <c r="P323">
        <v>0</v>
      </c>
      <c r="Q323">
        <f t="shared" si="12"/>
        <v>24</v>
      </c>
      <c r="R323">
        <v>14</v>
      </c>
      <c r="T323" s="53">
        <v>41410</v>
      </c>
      <c r="U323">
        <f t="shared" si="13"/>
        <v>21.573727837272806</v>
      </c>
      <c r="V323">
        <v>29</v>
      </c>
      <c r="W323">
        <f t="shared" si="14"/>
        <v>55.149518234896838</v>
      </c>
    </row>
    <row r="324" spans="1:23">
      <c r="A324" s="53">
        <v>41411</v>
      </c>
      <c r="B324">
        <v>38</v>
      </c>
      <c r="C324">
        <v>1</v>
      </c>
      <c r="D324">
        <v>0</v>
      </c>
      <c r="E324">
        <v>0</v>
      </c>
      <c r="F324">
        <v>1</v>
      </c>
      <c r="G324">
        <v>0</v>
      </c>
      <c r="H324">
        <v>2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1</v>
      </c>
      <c r="O324">
        <v>0</v>
      </c>
      <c r="P324">
        <v>0</v>
      </c>
      <c r="Q324">
        <f t="shared" ref="Q324:Q369" si="15">R324+10</f>
        <v>29</v>
      </c>
      <c r="R324">
        <v>19</v>
      </c>
      <c r="T324" s="53">
        <v>41411</v>
      </c>
      <c r="U324">
        <f t="shared" ref="U324:U369" si="16">SUMPRODUCT($C$2:$Q$2,C324:Q324)</f>
        <v>30.440651050157385</v>
      </c>
      <c r="V324">
        <v>38</v>
      </c>
      <c r="W324">
        <f t="shared" ref="W324:W369" si="17">(V324-U324)^2</f>
        <v>57.143756545486646</v>
      </c>
    </row>
    <row r="325" spans="1:23">
      <c r="A325" s="53">
        <v>41412</v>
      </c>
      <c r="B325">
        <v>47</v>
      </c>
      <c r="C325">
        <v>1</v>
      </c>
      <c r="D325">
        <v>0</v>
      </c>
      <c r="E325">
        <v>0</v>
      </c>
      <c r="F325">
        <v>1</v>
      </c>
      <c r="G325">
        <v>1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1</v>
      </c>
      <c r="P325">
        <v>0</v>
      </c>
      <c r="Q325">
        <f t="shared" si="15"/>
        <v>43</v>
      </c>
      <c r="R325">
        <v>33</v>
      </c>
      <c r="T325" s="53">
        <v>41412</v>
      </c>
      <c r="U325">
        <f t="shared" si="16"/>
        <v>38.906111780029377</v>
      </c>
      <c r="V325">
        <v>47</v>
      </c>
      <c r="W325">
        <f t="shared" si="17"/>
        <v>65.511026517379221</v>
      </c>
    </row>
    <row r="326" spans="1:23">
      <c r="A326" s="53">
        <v>41413</v>
      </c>
      <c r="B326">
        <v>52</v>
      </c>
      <c r="C326">
        <v>1</v>
      </c>
      <c r="D326">
        <v>0</v>
      </c>
      <c r="E326">
        <v>0</v>
      </c>
      <c r="F326">
        <v>1</v>
      </c>
      <c r="G326">
        <v>0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f t="shared" si="15"/>
        <v>35</v>
      </c>
      <c r="R326">
        <v>25</v>
      </c>
      <c r="T326" s="53">
        <v>41413</v>
      </c>
      <c r="U326">
        <f t="shared" si="16"/>
        <v>29.304840087170511</v>
      </c>
      <c r="V326">
        <v>52</v>
      </c>
      <c r="W326">
        <f t="shared" si="17"/>
        <v>515.07028346890263</v>
      </c>
    </row>
    <row r="327" spans="1:23">
      <c r="A327" s="53">
        <v>41414</v>
      </c>
      <c r="B327">
        <v>37</v>
      </c>
      <c r="C327">
        <v>1</v>
      </c>
      <c r="D327">
        <v>0</v>
      </c>
      <c r="E327">
        <v>0</v>
      </c>
      <c r="F327">
        <v>0</v>
      </c>
      <c r="G327">
        <v>0</v>
      </c>
      <c r="H327">
        <v>1</v>
      </c>
      <c r="I327">
        <v>0</v>
      </c>
      <c r="J327">
        <v>1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f t="shared" si="15"/>
        <v>25</v>
      </c>
      <c r="R327">
        <v>15</v>
      </c>
      <c r="T327" s="53">
        <v>41414</v>
      </c>
      <c r="U327">
        <f t="shared" si="16"/>
        <v>23.904671729423924</v>
      </c>
      <c r="V327">
        <v>37</v>
      </c>
      <c r="W327">
        <f t="shared" si="17"/>
        <v>171.487622514149</v>
      </c>
    </row>
    <row r="328" spans="1:23">
      <c r="A328" s="53">
        <v>41415</v>
      </c>
      <c r="B328">
        <v>23</v>
      </c>
      <c r="C328">
        <v>1</v>
      </c>
      <c r="D328">
        <v>0</v>
      </c>
      <c r="E328">
        <v>0</v>
      </c>
      <c r="F328">
        <v>0</v>
      </c>
      <c r="G328">
        <v>0</v>
      </c>
      <c r="H328">
        <v>1</v>
      </c>
      <c r="I328">
        <v>0</v>
      </c>
      <c r="J328">
        <v>0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f t="shared" si="15"/>
        <v>31</v>
      </c>
      <c r="R328">
        <v>21</v>
      </c>
      <c r="T328" s="53">
        <v>41415</v>
      </c>
      <c r="U328">
        <f t="shared" si="16"/>
        <v>27.364020485367881</v>
      </c>
      <c r="V328">
        <v>23</v>
      </c>
      <c r="W328">
        <f t="shared" si="17"/>
        <v>19.044674796710517</v>
      </c>
    </row>
    <row r="329" spans="1:23">
      <c r="A329" s="53">
        <v>41416</v>
      </c>
      <c r="B329">
        <v>22</v>
      </c>
      <c r="C329">
        <v>1</v>
      </c>
      <c r="D329">
        <v>0</v>
      </c>
      <c r="E329">
        <v>0</v>
      </c>
      <c r="F329">
        <v>0</v>
      </c>
      <c r="G329">
        <v>0</v>
      </c>
      <c r="H329">
        <v>1</v>
      </c>
      <c r="I329">
        <v>0</v>
      </c>
      <c r="J329">
        <v>0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f t="shared" si="15"/>
        <v>29</v>
      </c>
      <c r="R329">
        <v>19</v>
      </c>
      <c r="T329" s="53">
        <v>41416</v>
      </c>
      <c r="U329">
        <f t="shared" si="16"/>
        <v>25.814862662883048</v>
      </c>
      <c r="V329">
        <v>22</v>
      </c>
      <c r="W329">
        <f t="shared" si="17"/>
        <v>14.553177136659139</v>
      </c>
    </row>
    <row r="330" spans="1:23">
      <c r="A330" s="53">
        <v>41417</v>
      </c>
      <c r="B330">
        <v>26</v>
      </c>
      <c r="C330">
        <v>1</v>
      </c>
      <c r="D330">
        <v>0</v>
      </c>
      <c r="E330">
        <v>0</v>
      </c>
      <c r="F330">
        <v>0</v>
      </c>
      <c r="G330">
        <v>0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f t="shared" si="15"/>
        <v>33</v>
      </c>
      <c r="R330">
        <v>23</v>
      </c>
      <c r="T330" s="53">
        <v>41417</v>
      </c>
      <c r="U330">
        <f t="shared" si="16"/>
        <v>26.74985976136491</v>
      </c>
      <c r="V330">
        <v>26</v>
      </c>
      <c r="W330">
        <f t="shared" si="17"/>
        <v>0.56228966171423922</v>
      </c>
    </row>
    <row r="331" spans="1:23">
      <c r="A331" s="53">
        <v>41418</v>
      </c>
      <c r="B331">
        <v>30</v>
      </c>
      <c r="C331">
        <v>1</v>
      </c>
      <c r="D331">
        <v>0</v>
      </c>
      <c r="E331">
        <v>0</v>
      </c>
      <c r="F331">
        <v>1</v>
      </c>
      <c r="G331">
        <v>1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f t="shared" si="15"/>
        <v>42</v>
      </c>
      <c r="R331">
        <v>32</v>
      </c>
      <c r="T331" s="53">
        <v>41418</v>
      </c>
      <c r="U331">
        <f t="shared" si="16"/>
        <v>40.216625328651773</v>
      </c>
      <c r="V331">
        <v>30</v>
      </c>
      <c r="W331">
        <f t="shared" si="17"/>
        <v>104.37943310604895</v>
      </c>
    </row>
    <row r="332" spans="1:23">
      <c r="A332" s="53">
        <v>41419</v>
      </c>
      <c r="B332">
        <v>52</v>
      </c>
      <c r="C332">
        <v>1</v>
      </c>
      <c r="D332">
        <v>0</v>
      </c>
      <c r="E332">
        <v>0</v>
      </c>
      <c r="F332">
        <v>2</v>
      </c>
      <c r="G332">
        <v>1</v>
      </c>
      <c r="H332">
        <v>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f t="shared" si="15"/>
        <v>49</v>
      </c>
      <c r="R332">
        <v>39</v>
      </c>
      <c r="T332" s="53">
        <v>41419</v>
      </c>
      <c r="U332">
        <f t="shared" si="16"/>
        <v>46.166683967470533</v>
      </c>
      <c r="V332">
        <v>52</v>
      </c>
      <c r="W332">
        <f t="shared" si="17"/>
        <v>34.02757593536532</v>
      </c>
    </row>
    <row r="333" spans="1:23">
      <c r="A333" s="53">
        <v>41420</v>
      </c>
      <c r="B333">
        <v>42</v>
      </c>
      <c r="C333">
        <v>1</v>
      </c>
      <c r="D333">
        <v>0</v>
      </c>
      <c r="E333">
        <v>0</v>
      </c>
      <c r="F333">
        <v>1</v>
      </c>
      <c r="G333">
        <v>1</v>
      </c>
      <c r="H333">
        <v>4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f t="shared" si="15"/>
        <v>42</v>
      </c>
      <c r="R333">
        <v>32</v>
      </c>
      <c r="T333" s="53">
        <v>41420</v>
      </c>
      <c r="U333">
        <f t="shared" si="16"/>
        <v>35.630059749603504</v>
      </c>
      <c r="V333">
        <v>42</v>
      </c>
      <c r="W333">
        <f t="shared" si="17"/>
        <v>40.576138793621375</v>
      </c>
    </row>
    <row r="334" spans="1:23">
      <c r="A334" s="53">
        <v>41421</v>
      </c>
      <c r="B334">
        <v>47</v>
      </c>
      <c r="C334">
        <v>1</v>
      </c>
      <c r="D334">
        <v>0</v>
      </c>
      <c r="E334">
        <v>0</v>
      </c>
      <c r="F334">
        <v>0</v>
      </c>
      <c r="G334">
        <v>0</v>
      </c>
      <c r="H334">
        <v>1</v>
      </c>
      <c r="I334">
        <v>0</v>
      </c>
      <c r="J334">
        <v>1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f t="shared" si="15"/>
        <v>40</v>
      </c>
      <c r="R334">
        <v>30</v>
      </c>
      <c r="T334" s="53">
        <v>41421</v>
      </c>
      <c r="U334">
        <f t="shared" si="16"/>
        <v>32.531558269577431</v>
      </c>
      <c r="V334">
        <v>47</v>
      </c>
      <c r="W334">
        <f t="shared" si="17"/>
        <v>209.33580610663321</v>
      </c>
    </row>
    <row r="335" spans="1:23">
      <c r="A335" s="53">
        <v>41422</v>
      </c>
      <c r="B335">
        <v>32</v>
      </c>
      <c r="C335">
        <v>1</v>
      </c>
      <c r="D335">
        <v>0</v>
      </c>
      <c r="E335">
        <v>0</v>
      </c>
      <c r="F335">
        <v>0</v>
      </c>
      <c r="G335">
        <v>0</v>
      </c>
      <c r="H335">
        <v>1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  <c r="O335">
        <v>0</v>
      </c>
      <c r="P335">
        <v>0</v>
      </c>
      <c r="Q335">
        <f t="shared" si="15"/>
        <v>43</v>
      </c>
      <c r="R335">
        <v>33</v>
      </c>
      <c r="T335" s="53">
        <v>41422</v>
      </c>
      <c r="U335">
        <f t="shared" si="16"/>
        <v>34.265529717490686</v>
      </c>
      <c r="V335">
        <v>32</v>
      </c>
      <c r="W335">
        <f t="shared" si="17"/>
        <v>5.132624900833429</v>
      </c>
    </row>
    <row r="336" spans="1:23">
      <c r="A336" s="53">
        <v>41423</v>
      </c>
      <c r="B336">
        <v>40</v>
      </c>
      <c r="C336">
        <v>1</v>
      </c>
      <c r="D336">
        <v>0</v>
      </c>
      <c r="E336">
        <v>0</v>
      </c>
      <c r="F336">
        <v>1</v>
      </c>
      <c r="G336">
        <v>1</v>
      </c>
      <c r="H336">
        <v>4</v>
      </c>
      <c r="I336">
        <v>0</v>
      </c>
      <c r="J336">
        <v>0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f t="shared" si="15"/>
        <v>37</v>
      </c>
      <c r="R336">
        <v>27</v>
      </c>
      <c r="T336" s="53">
        <v>41423</v>
      </c>
      <c r="U336">
        <f t="shared" si="16"/>
        <v>37.279070568699183</v>
      </c>
      <c r="V336">
        <v>40</v>
      </c>
      <c r="W336">
        <f t="shared" si="17"/>
        <v>7.403456970118989</v>
      </c>
    </row>
    <row r="337" spans="1:23">
      <c r="A337" s="53">
        <v>41424</v>
      </c>
      <c r="B337">
        <v>42</v>
      </c>
      <c r="C337">
        <v>1</v>
      </c>
      <c r="D337">
        <v>0</v>
      </c>
      <c r="E337">
        <v>0</v>
      </c>
      <c r="F337">
        <v>1</v>
      </c>
      <c r="G337">
        <v>0</v>
      </c>
      <c r="H337">
        <v>2</v>
      </c>
      <c r="I337">
        <v>0</v>
      </c>
      <c r="J337">
        <v>0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f t="shared" si="15"/>
        <v>45</v>
      </c>
      <c r="R337">
        <v>35</v>
      </c>
      <c r="T337" s="53">
        <v>41424</v>
      </c>
      <c r="U337">
        <f t="shared" si="16"/>
        <v>38.215231467527289</v>
      </c>
      <c r="V337">
        <v>42</v>
      </c>
      <c r="W337">
        <f t="shared" si="17"/>
        <v>14.324472844395638</v>
      </c>
    </row>
    <row r="338" spans="1:23">
      <c r="A338" s="53">
        <v>41425</v>
      </c>
      <c r="B338">
        <v>54</v>
      </c>
      <c r="C338">
        <v>1</v>
      </c>
      <c r="D338">
        <v>0</v>
      </c>
      <c r="E338">
        <v>0</v>
      </c>
      <c r="F338">
        <v>1</v>
      </c>
      <c r="G338">
        <v>1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f t="shared" si="15"/>
        <v>40</v>
      </c>
      <c r="R338">
        <v>30</v>
      </c>
      <c r="T338" s="53">
        <v>41425</v>
      </c>
      <c r="U338">
        <f t="shared" si="16"/>
        <v>39.066373789964643</v>
      </c>
      <c r="V338">
        <v>54</v>
      </c>
      <c r="W338">
        <f t="shared" si="17"/>
        <v>223.01319178105496</v>
      </c>
    </row>
    <row r="339" spans="1:23">
      <c r="A339" s="53">
        <v>41426</v>
      </c>
      <c r="B339">
        <v>57</v>
      </c>
      <c r="C339">
        <v>1</v>
      </c>
      <c r="D339">
        <v>0</v>
      </c>
      <c r="E339">
        <v>0</v>
      </c>
      <c r="F339">
        <v>2</v>
      </c>
      <c r="G339">
        <v>1</v>
      </c>
      <c r="H339">
        <v>6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</v>
      </c>
      <c r="P339">
        <v>0</v>
      </c>
      <c r="Q339">
        <f t="shared" si="15"/>
        <v>46</v>
      </c>
      <c r="R339">
        <v>36</v>
      </c>
      <c r="T339" s="53">
        <v>41426</v>
      </c>
      <c r="U339">
        <f t="shared" si="16"/>
        <v>44.441306659439832</v>
      </c>
      <c r="V339">
        <v>57</v>
      </c>
      <c r="W339">
        <f t="shared" si="17"/>
        <v>157.72077842223032</v>
      </c>
    </row>
    <row r="340" spans="1:23">
      <c r="A340" s="53">
        <v>41427</v>
      </c>
      <c r="B340">
        <v>42</v>
      </c>
      <c r="C340">
        <v>1</v>
      </c>
      <c r="D340">
        <v>0</v>
      </c>
      <c r="E340">
        <v>0</v>
      </c>
      <c r="F340">
        <v>1</v>
      </c>
      <c r="G340">
        <v>1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f t="shared" si="15"/>
        <v>38</v>
      </c>
      <c r="R340">
        <v>28</v>
      </c>
      <c r="T340" s="53">
        <v>41427</v>
      </c>
      <c r="U340">
        <f t="shared" si="16"/>
        <v>33.329556672229231</v>
      </c>
      <c r="V340">
        <v>42</v>
      </c>
      <c r="W340">
        <f t="shared" si="17"/>
        <v>75.176587500084651</v>
      </c>
    </row>
    <row r="341" spans="1:23">
      <c r="A341" s="53">
        <v>41428</v>
      </c>
      <c r="B341">
        <v>31</v>
      </c>
      <c r="C341">
        <v>1</v>
      </c>
      <c r="D341">
        <v>0</v>
      </c>
      <c r="E341">
        <v>0</v>
      </c>
      <c r="F341">
        <v>0</v>
      </c>
      <c r="G341">
        <v>0</v>
      </c>
      <c r="H341">
        <v>1</v>
      </c>
      <c r="I341">
        <v>0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f t="shared" si="15"/>
        <v>32</v>
      </c>
      <c r="R341">
        <v>22</v>
      </c>
      <c r="T341" s="53">
        <v>41428</v>
      </c>
      <c r="U341">
        <f t="shared" si="16"/>
        <v>27.930552114828895</v>
      </c>
      <c r="V341">
        <v>31</v>
      </c>
      <c r="W341">
        <f t="shared" si="17"/>
        <v>9.4215103197813672</v>
      </c>
    </row>
    <row r="342" spans="1:23">
      <c r="A342" s="53">
        <v>41429</v>
      </c>
      <c r="B342">
        <v>18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1</v>
      </c>
      <c r="I342">
        <v>0</v>
      </c>
      <c r="J342">
        <v>0</v>
      </c>
      <c r="K342">
        <v>1</v>
      </c>
      <c r="L342">
        <v>0</v>
      </c>
      <c r="M342">
        <v>0</v>
      </c>
      <c r="N342">
        <v>0</v>
      </c>
      <c r="O342">
        <v>0</v>
      </c>
      <c r="P342">
        <v>0</v>
      </c>
      <c r="Q342">
        <f t="shared" si="15"/>
        <v>33</v>
      </c>
      <c r="R342">
        <v>23</v>
      </c>
      <c r="T342" s="53">
        <v>41429</v>
      </c>
      <c r="U342">
        <f t="shared" si="16"/>
        <v>28.514272024055018</v>
      </c>
      <c r="V342">
        <v>18</v>
      </c>
      <c r="W342">
        <f t="shared" si="17"/>
        <v>110.549916195826</v>
      </c>
    </row>
    <row r="343" spans="1:23">
      <c r="A343" s="53">
        <v>41430</v>
      </c>
      <c r="B343">
        <v>18</v>
      </c>
      <c r="C343">
        <v>1</v>
      </c>
      <c r="D343">
        <v>0</v>
      </c>
      <c r="E343">
        <v>0</v>
      </c>
      <c r="F343">
        <v>0</v>
      </c>
      <c r="G343">
        <v>0</v>
      </c>
      <c r="H343">
        <v>1</v>
      </c>
      <c r="I343">
        <v>0</v>
      </c>
      <c r="J343">
        <v>0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f t="shared" si="15"/>
        <v>23</v>
      </c>
      <c r="R343">
        <v>13</v>
      </c>
      <c r="T343" s="53">
        <v>41430</v>
      </c>
      <c r="U343">
        <f t="shared" si="16"/>
        <v>22.364108046821649</v>
      </c>
      <c r="V343">
        <v>18</v>
      </c>
      <c r="W343">
        <f t="shared" si="17"/>
        <v>19.045439044333467</v>
      </c>
    </row>
    <row r="344" spans="1:23">
      <c r="A344" s="53">
        <v>41431</v>
      </c>
      <c r="B344">
        <v>29</v>
      </c>
      <c r="C344">
        <v>1</v>
      </c>
      <c r="D344">
        <v>0</v>
      </c>
      <c r="E344">
        <v>0</v>
      </c>
      <c r="F344">
        <v>0</v>
      </c>
      <c r="G344">
        <v>0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1</v>
      </c>
      <c r="N344">
        <v>0</v>
      </c>
      <c r="O344">
        <v>0</v>
      </c>
      <c r="P344">
        <v>0</v>
      </c>
      <c r="Q344">
        <f t="shared" si="15"/>
        <v>23</v>
      </c>
      <c r="R344">
        <v>13</v>
      </c>
      <c r="T344" s="53">
        <v>41431</v>
      </c>
      <c r="U344">
        <f t="shared" si="16"/>
        <v>20.998602067929241</v>
      </c>
      <c r="V344">
        <v>29</v>
      </c>
      <c r="W344">
        <f t="shared" si="17"/>
        <v>64.022368867346216</v>
      </c>
    </row>
    <row r="345" spans="1:23">
      <c r="A345" s="53">
        <v>41432</v>
      </c>
      <c r="B345">
        <v>21</v>
      </c>
      <c r="C345">
        <v>1</v>
      </c>
      <c r="D345">
        <v>0</v>
      </c>
      <c r="E345">
        <v>0</v>
      </c>
      <c r="F345">
        <v>0</v>
      </c>
      <c r="G345">
        <v>0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f t="shared" si="15"/>
        <v>22</v>
      </c>
      <c r="R345">
        <v>12</v>
      </c>
      <c r="T345" s="53">
        <v>41432</v>
      </c>
      <c r="U345">
        <f t="shared" si="16"/>
        <v>21.85090819071284</v>
      </c>
      <c r="V345">
        <v>21</v>
      </c>
      <c r="W345">
        <f t="shared" si="17"/>
        <v>0.7240447490221984</v>
      </c>
    </row>
    <row r="346" spans="1:23">
      <c r="A346" s="53">
        <v>41433</v>
      </c>
      <c r="B346">
        <v>40</v>
      </c>
      <c r="C346">
        <v>1</v>
      </c>
      <c r="D346">
        <v>0</v>
      </c>
      <c r="E346">
        <v>0</v>
      </c>
      <c r="F346">
        <v>1</v>
      </c>
      <c r="G346">
        <v>0</v>
      </c>
      <c r="H346">
        <v>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1</v>
      </c>
      <c r="P346">
        <v>0</v>
      </c>
      <c r="Q346">
        <f t="shared" si="15"/>
        <v>48</v>
      </c>
      <c r="R346">
        <v>38</v>
      </c>
      <c r="T346" s="53">
        <v>41433</v>
      </c>
      <c r="U346">
        <f t="shared" si="16"/>
        <v>39.48240134971919</v>
      </c>
      <c r="V346">
        <v>40</v>
      </c>
      <c r="W346">
        <f t="shared" si="17"/>
        <v>0.26790836277251634</v>
      </c>
    </row>
    <row r="347" spans="1:23">
      <c r="A347" s="53">
        <v>41434</v>
      </c>
      <c r="B347">
        <v>32</v>
      </c>
      <c r="C347">
        <v>1</v>
      </c>
      <c r="D347">
        <v>0</v>
      </c>
      <c r="E347">
        <v>0</v>
      </c>
      <c r="F347">
        <v>0</v>
      </c>
      <c r="G347">
        <v>0</v>
      </c>
      <c r="H347">
        <v>1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f t="shared" si="15"/>
        <v>27</v>
      </c>
      <c r="R347">
        <v>17</v>
      </c>
      <c r="T347" s="53">
        <v>41434</v>
      </c>
      <c r="U347">
        <f t="shared" si="16"/>
        <v>20.139971458382398</v>
      </c>
      <c r="V347">
        <v>32</v>
      </c>
      <c r="W347">
        <f t="shared" si="17"/>
        <v>140.66027700798415</v>
      </c>
    </row>
    <row r="348" spans="1:23">
      <c r="A348" s="53">
        <v>41435</v>
      </c>
      <c r="B348">
        <v>28</v>
      </c>
      <c r="C348">
        <v>1</v>
      </c>
      <c r="D348">
        <v>0</v>
      </c>
      <c r="E348">
        <v>0</v>
      </c>
      <c r="F348">
        <v>0</v>
      </c>
      <c r="G348">
        <v>0</v>
      </c>
      <c r="H348">
        <v>1</v>
      </c>
      <c r="I348">
        <v>0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f t="shared" si="15"/>
        <v>32</v>
      </c>
      <c r="R348">
        <v>22</v>
      </c>
      <c r="T348" s="53">
        <v>41435</v>
      </c>
      <c r="U348">
        <f t="shared" si="16"/>
        <v>27.930552114828895</v>
      </c>
      <c r="V348">
        <v>28</v>
      </c>
      <c r="W348">
        <f t="shared" si="17"/>
        <v>4.8230087547389399E-3</v>
      </c>
    </row>
    <row r="349" spans="1:23">
      <c r="A349" s="53">
        <v>41436</v>
      </c>
      <c r="B349">
        <v>16</v>
      </c>
      <c r="C349">
        <v>1</v>
      </c>
      <c r="D349">
        <v>0</v>
      </c>
      <c r="E349">
        <v>0</v>
      </c>
      <c r="F349">
        <v>0</v>
      </c>
      <c r="G349">
        <v>0</v>
      </c>
      <c r="H349">
        <v>1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f t="shared" si="15"/>
        <v>22</v>
      </c>
      <c r="R349">
        <v>12</v>
      </c>
      <c r="T349" s="53">
        <v>41436</v>
      </c>
      <c r="U349">
        <f t="shared" si="16"/>
        <v>22.187888561275781</v>
      </c>
      <c r="V349">
        <v>16</v>
      </c>
      <c r="W349">
        <f t="shared" si="17"/>
        <v>38.289964846767653</v>
      </c>
    </row>
    <row r="350" spans="1:23">
      <c r="A350" s="53">
        <v>41437</v>
      </c>
      <c r="B350">
        <v>20</v>
      </c>
      <c r="C350">
        <v>1</v>
      </c>
      <c r="D350">
        <v>0</v>
      </c>
      <c r="E350">
        <v>0</v>
      </c>
      <c r="F350">
        <v>0</v>
      </c>
      <c r="G350">
        <v>0</v>
      </c>
      <c r="H350">
        <v>1</v>
      </c>
      <c r="I350">
        <v>0</v>
      </c>
      <c r="J350">
        <v>0</v>
      </c>
      <c r="K350">
        <v>0</v>
      </c>
      <c r="L350">
        <v>1</v>
      </c>
      <c r="M350">
        <v>0</v>
      </c>
      <c r="N350">
        <v>0</v>
      </c>
      <c r="O350">
        <v>0</v>
      </c>
      <c r="P350">
        <v>0</v>
      </c>
      <c r="Q350">
        <f t="shared" si="15"/>
        <v>32</v>
      </c>
      <c r="R350">
        <v>22</v>
      </c>
      <c r="T350" s="53">
        <v>41437</v>
      </c>
      <c r="U350">
        <f t="shared" si="16"/>
        <v>27.540239970913749</v>
      </c>
      <c r="V350">
        <v>20</v>
      </c>
      <c r="W350">
        <f t="shared" si="17"/>
        <v>56.855218818965376</v>
      </c>
    </row>
    <row r="351" spans="1:23">
      <c r="A351" s="53">
        <v>41438</v>
      </c>
      <c r="B351">
        <v>29</v>
      </c>
      <c r="C351">
        <v>1</v>
      </c>
      <c r="D351">
        <v>0</v>
      </c>
      <c r="E351">
        <v>0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1</v>
      </c>
      <c r="N351">
        <v>0</v>
      </c>
      <c r="O351">
        <v>0</v>
      </c>
      <c r="P351">
        <v>0</v>
      </c>
      <c r="Q351">
        <f t="shared" si="15"/>
        <v>30</v>
      </c>
      <c r="R351">
        <v>20</v>
      </c>
      <c r="T351" s="53">
        <v>41438</v>
      </c>
      <c r="U351">
        <f t="shared" si="16"/>
        <v>25.024482453334208</v>
      </c>
      <c r="V351">
        <v>29</v>
      </c>
      <c r="W351">
        <f t="shared" si="17"/>
        <v>15.804739763847595</v>
      </c>
    </row>
    <row r="352" spans="1:23">
      <c r="A352" s="53">
        <v>41439</v>
      </c>
      <c r="B352">
        <v>28</v>
      </c>
      <c r="C352">
        <v>1</v>
      </c>
      <c r="D352">
        <v>0</v>
      </c>
      <c r="E352">
        <v>0</v>
      </c>
      <c r="F352">
        <v>0</v>
      </c>
      <c r="G352">
        <v>0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1</v>
      </c>
      <c r="O352">
        <v>0</v>
      </c>
      <c r="P352">
        <v>0</v>
      </c>
      <c r="Q352">
        <f t="shared" si="15"/>
        <v>30</v>
      </c>
      <c r="R352">
        <v>20</v>
      </c>
      <c r="T352" s="53">
        <v>41439</v>
      </c>
      <c r="U352">
        <f t="shared" si="16"/>
        <v>26.451914345461375</v>
      </c>
      <c r="V352">
        <v>28</v>
      </c>
      <c r="W352">
        <f t="shared" si="17"/>
        <v>2.3965691937882818</v>
      </c>
    </row>
    <row r="353" spans="1:23">
      <c r="A353" s="53">
        <v>41440</v>
      </c>
      <c r="B353">
        <v>53</v>
      </c>
      <c r="C353">
        <v>1</v>
      </c>
      <c r="D353">
        <v>0</v>
      </c>
      <c r="E353">
        <v>0</v>
      </c>
      <c r="F353">
        <v>1</v>
      </c>
      <c r="G353">
        <v>1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f t="shared" si="15"/>
        <v>52</v>
      </c>
      <c r="R353">
        <v>42</v>
      </c>
      <c r="T353" s="53">
        <v>41440</v>
      </c>
      <c r="U353">
        <f t="shared" si="16"/>
        <v>44.082243704121474</v>
      </c>
      <c r="V353">
        <v>53</v>
      </c>
      <c r="W353">
        <f t="shared" si="17"/>
        <v>79.526377352681081</v>
      </c>
    </row>
    <row r="354" spans="1:23">
      <c r="A354" s="53">
        <v>41441</v>
      </c>
      <c r="B354">
        <v>43</v>
      </c>
      <c r="C354">
        <v>1</v>
      </c>
      <c r="D354">
        <v>0</v>
      </c>
      <c r="E354">
        <v>0</v>
      </c>
      <c r="F354">
        <v>0</v>
      </c>
      <c r="G354">
        <v>0</v>
      </c>
      <c r="H354">
        <v>1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f t="shared" si="15"/>
        <v>32</v>
      </c>
      <c r="R354">
        <v>22</v>
      </c>
      <c r="T354" s="53">
        <v>41441</v>
      </c>
      <c r="U354">
        <f t="shared" si="16"/>
        <v>23.015600305100232</v>
      </c>
      <c r="V354">
        <v>43</v>
      </c>
      <c r="W354">
        <f t="shared" si="17"/>
        <v>399.37623116550992</v>
      </c>
    </row>
    <row r="355" spans="1:23">
      <c r="A355" s="53">
        <v>41442</v>
      </c>
      <c r="B355">
        <v>36</v>
      </c>
      <c r="C355">
        <v>1</v>
      </c>
      <c r="D355">
        <v>0</v>
      </c>
      <c r="E355">
        <v>0</v>
      </c>
      <c r="F355">
        <v>0</v>
      </c>
      <c r="G355">
        <v>0</v>
      </c>
      <c r="H355">
        <v>1</v>
      </c>
      <c r="I355">
        <v>0</v>
      </c>
      <c r="J355">
        <v>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f t="shared" si="15"/>
        <v>33</v>
      </c>
      <c r="R355">
        <v>23</v>
      </c>
      <c r="T355" s="53">
        <v>41442</v>
      </c>
      <c r="U355">
        <f t="shared" si="16"/>
        <v>28.505677884172464</v>
      </c>
      <c r="V355">
        <v>36</v>
      </c>
      <c r="W355">
        <f t="shared" si="17"/>
        <v>56.164863975781721</v>
      </c>
    </row>
    <row r="356" spans="1:23">
      <c r="A356" s="53">
        <v>41443</v>
      </c>
      <c r="B356">
        <v>24</v>
      </c>
      <c r="C356">
        <v>1</v>
      </c>
      <c r="D356">
        <v>0</v>
      </c>
      <c r="E356">
        <v>0</v>
      </c>
      <c r="F356">
        <v>0</v>
      </c>
      <c r="G356">
        <v>0</v>
      </c>
      <c r="H356">
        <v>1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  <c r="O356">
        <v>0</v>
      </c>
      <c r="P356">
        <v>0</v>
      </c>
      <c r="Q356">
        <f t="shared" si="15"/>
        <v>29</v>
      </c>
      <c r="R356">
        <v>19</v>
      </c>
      <c r="T356" s="53">
        <v>41443</v>
      </c>
      <c r="U356">
        <f t="shared" si="16"/>
        <v>26.213768946680748</v>
      </c>
      <c r="V356">
        <v>24</v>
      </c>
      <c r="W356">
        <f t="shared" si="17"/>
        <v>4.9007729492879886</v>
      </c>
    </row>
    <row r="357" spans="1:23">
      <c r="A357" s="53">
        <v>41444</v>
      </c>
      <c r="B357">
        <v>20</v>
      </c>
      <c r="C357">
        <v>1</v>
      </c>
      <c r="D357">
        <v>0</v>
      </c>
      <c r="E357">
        <v>0</v>
      </c>
      <c r="F357">
        <v>0</v>
      </c>
      <c r="G357">
        <v>0</v>
      </c>
      <c r="H357">
        <v>1</v>
      </c>
      <c r="I357">
        <v>0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f t="shared" si="15"/>
        <v>31</v>
      </c>
      <c r="R357">
        <v>21</v>
      </c>
      <c r="T357" s="53">
        <v>41444</v>
      </c>
      <c r="U357">
        <f t="shared" si="16"/>
        <v>26.965114201570181</v>
      </c>
      <c r="V357">
        <v>20</v>
      </c>
      <c r="W357">
        <f t="shared" si="17"/>
        <v>48.51281584091462</v>
      </c>
    </row>
    <row r="358" spans="1:23">
      <c r="A358" s="53">
        <v>41445</v>
      </c>
      <c r="B358">
        <v>29</v>
      </c>
      <c r="C358">
        <v>1</v>
      </c>
      <c r="D358">
        <v>0</v>
      </c>
      <c r="E358">
        <v>0</v>
      </c>
      <c r="F358">
        <v>0</v>
      </c>
      <c r="G358">
        <v>0</v>
      </c>
      <c r="H358">
        <v>1</v>
      </c>
      <c r="I358">
        <v>0</v>
      </c>
      <c r="J358">
        <v>0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0</v>
      </c>
      <c r="Q358">
        <f t="shared" si="15"/>
        <v>30</v>
      </c>
      <c r="R358">
        <v>20</v>
      </c>
      <c r="T358" s="53">
        <v>41445</v>
      </c>
      <c r="U358">
        <f t="shared" si="16"/>
        <v>25.024482453334208</v>
      </c>
      <c r="V358">
        <v>29</v>
      </c>
      <c r="W358">
        <f t="shared" si="17"/>
        <v>15.804739763847595</v>
      </c>
    </row>
    <row r="359" spans="1:23">
      <c r="A359" s="53">
        <v>41446</v>
      </c>
      <c r="B359">
        <v>35</v>
      </c>
      <c r="C359">
        <v>1</v>
      </c>
      <c r="D359">
        <v>0</v>
      </c>
      <c r="E359">
        <v>0</v>
      </c>
      <c r="F359">
        <v>1</v>
      </c>
      <c r="G359">
        <v>1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f t="shared" si="15"/>
        <v>42</v>
      </c>
      <c r="R359">
        <v>32</v>
      </c>
      <c r="T359" s="53">
        <v>41446</v>
      </c>
      <c r="U359">
        <f t="shared" si="16"/>
        <v>40.216625328651773</v>
      </c>
      <c r="V359">
        <v>35</v>
      </c>
      <c r="W359">
        <f t="shared" si="17"/>
        <v>27.21317981953122</v>
      </c>
    </row>
    <row r="360" spans="1:23">
      <c r="A360" s="53">
        <v>41447</v>
      </c>
      <c r="B360">
        <v>55</v>
      </c>
      <c r="C360">
        <v>1</v>
      </c>
      <c r="D360">
        <v>0</v>
      </c>
      <c r="E360">
        <v>0</v>
      </c>
      <c r="F360">
        <v>1</v>
      </c>
      <c r="G360">
        <v>1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</v>
      </c>
      <c r="P360">
        <v>0</v>
      </c>
      <c r="Q360">
        <f t="shared" si="15"/>
        <v>48</v>
      </c>
      <c r="R360">
        <v>38</v>
      </c>
      <c r="T360" s="53">
        <v>41447</v>
      </c>
      <c r="U360">
        <f t="shared" si="16"/>
        <v>41.781740626747208</v>
      </c>
      <c r="V360">
        <v>55</v>
      </c>
      <c r="W360">
        <f t="shared" si="17"/>
        <v>174.7223808585853</v>
      </c>
    </row>
    <row r="361" spans="1:23">
      <c r="A361" s="53">
        <v>41448</v>
      </c>
      <c r="B361">
        <v>56</v>
      </c>
      <c r="C361">
        <v>1</v>
      </c>
      <c r="D361">
        <v>0</v>
      </c>
      <c r="E361">
        <v>0</v>
      </c>
      <c r="F361">
        <v>1</v>
      </c>
      <c r="G361">
        <v>1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f t="shared" si="15"/>
        <v>44</v>
      </c>
      <c r="R361">
        <v>34</v>
      </c>
      <c r="T361" s="53">
        <v>41448</v>
      </c>
      <c r="U361">
        <f t="shared" si="16"/>
        <v>36.780311288290633</v>
      </c>
      <c r="V361">
        <v>56</v>
      </c>
      <c r="W361">
        <f t="shared" si="17"/>
        <v>369.39643417500844</v>
      </c>
    </row>
    <row r="362" spans="1:23">
      <c r="A362" s="53">
        <v>41449</v>
      </c>
      <c r="B362">
        <v>44</v>
      </c>
      <c r="C362">
        <v>1</v>
      </c>
      <c r="D362">
        <v>0</v>
      </c>
      <c r="E362">
        <v>0</v>
      </c>
      <c r="F362">
        <v>0</v>
      </c>
      <c r="G362">
        <v>0</v>
      </c>
      <c r="H362">
        <v>1</v>
      </c>
      <c r="I362">
        <v>0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f t="shared" si="15"/>
        <v>41</v>
      </c>
      <c r="R362">
        <v>31</v>
      </c>
      <c r="T362" s="53">
        <v>41449</v>
      </c>
      <c r="U362">
        <f t="shared" si="16"/>
        <v>33.106684038921003</v>
      </c>
      <c r="V362">
        <v>44</v>
      </c>
      <c r="W362">
        <f t="shared" si="17"/>
        <v>118.66433262789843</v>
      </c>
    </row>
    <row r="363" spans="1:23">
      <c r="A363" s="53">
        <v>41450</v>
      </c>
      <c r="B363">
        <v>48</v>
      </c>
      <c r="C363">
        <v>1</v>
      </c>
      <c r="D363">
        <v>0</v>
      </c>
      <c r="E363">
        <v>0</v>
      </c>
      <c r="F363">
        <v>0</v>
      </c>
      <c r="G363">
        <v>0</v>
      </c>
      <c r="H363">
        <v>1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f t="shared" si="15"/>
        <v>43</v>
      </c>
      <c r="R363">
        <v>33</v>
      </c>
      <c r="T363" s="53">
        <v>41450</v>
      </c>
      <c r="U363">
        <f t="shared" si="16"/>
        <v>34.265529717490686</v>
      </c>
      <c r="V363">
        <v>48</v>
      </c>
      <c r="W363">
        <f t="shared" si="17"/>
        <v>188.63567394113147</v>
      </c>
    </row>
    <row r="364" spans="1:23">
      <c r="A364" s="53">
        <v>41451</v>
      </c>
      <c r="B364">
        <v>40</v>
      </c>
      <c r="C364">
        <v>1</v>
      </c>
      <c r="D364">
        <v>0</v>
      </c>
      <c r="E364">
        <v>0</v>
      </c>
      <c r="F364">
        <v>0</v>
      </c>
      <c r="G364">
        <v>0</v>
      </c>
      <c r="H364">
        <v>1</v>
      </c>
      <c r="I364">
        <v>0</v>
      </c>
      <c r="J364">
        <v>0</v>
      </c>
      <c r="K364">
        <v>0</v>
      </c>
      <c r="L364">
        <v>1</v>
      </c>
      <c r="M364">
        <v>0</v>
      </c>
      <c r="N364">
        <v>0</v>
      </c>
      <c r="O364">
        <v>0</v>
      </c>
      <c r="P364">
        <v>0</v>
      </c>
      <c r="Q364">
        <f t="shared" si="15"/>
        <v>41</v>
      </c>
      <c r="R364">
        <v>31</v>
      </c>
      <c r="T364" s="53">
        <v>41451</v>
      </c>
      <c r="U364">
        <f t="shared" si="16"/>
        <v>32.71637189500585</v>
      </c>
      <c r="V364">
        <v>40</v>
      </c>
      <c r="W364">
        <f t="shared" si="17"/>
        <v>53.051238371860677</v>
      </c>
    </row>
    <row r="365" spans="1:23">
      <c r="A365" s="53">
        <v>41452</v>
      </c>
      <c r="B365">
        <v>53</v>
      </c>
      <c r="C365">
        <v>1</v>
      </c>
      <c r="D365">
        <v>0</v>
      </c>
      <c r="E365">
        <v>0</v>
      </c>
      <c r="F365">
        <v>1</v>
      </c>
      <c r="G365">
        <v>1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0</v>
      </c>
      <c r="Q365">
        <f t="shared" si="15"/>
        <v>52</v>
      </c>
      <c r="R365">
        <v>42</v>
      </c>
      <c r="T365" s="53">
        <v>41452</v>
      </c>
      <c r="U365">
        <f t="shared" si="16"/>
        <v>44.540451129960275</v>
      </c>
      <c r="V365">
        <v>53</v>
      </c>
      <c r="W365">
        <f t="shared" si="17"/>
        <v>71.563967084590402</v>
      </c>
    </row>
    <row r="366" spans="1:23">
      <c r="A366" s="53">
        <v>41453</v>
      </c>
      <c r="B366">
        <v>61</v>
      </c>
      <c r="C366">
        <v>1</v>
      </c>
      <c r="D366">
        <v>0</v>
      </c>
      <c r="E366">
        <v>0</v>
      </c>
      <c r="F366">
        <v>1</v>
      </c>
      <c r="G366">
        <v>1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</v>
      </c>
      <c r="O366">
        <v>0</v>
      </c>
      <c r="P366">
        <v>0</v>
      </c>
      <c r="Q366">
        <f t="shared" si="15"/>
        <v>62</v>
      </c>
      <c r="R366">
        <v>52</v>
      </c>
      <c r="T366" s="53">
        <v>41453</v>
      </c>
      <c r="U366">
        <f t="shared" si="16"/>
        <v>51.71914071552311</v>
      </c>
      <c r="V366">
        <v>61</v>
      </c>
      <c r="W366">
        <f t="shared" si="17"/>
        <v>86.134349058260881</v>
      </c>
    </row>
    <row r="367" spans="1:23">
      <c r="A367" s="53">
        <v>41454</v>
      </c>
      <c r="B367">
        <v>84</v>
      </c>
      <c r="C367">
        <v>1</v>
      </c>
      <c r="D367">
        <v>0</v>
      </c>
      <c r="E367">
        <v>0</v>
      </c>
      <c r="F367">
        <v>2</v>
      </c>
      <c r="G367">
        <v>2</v>
      </c>
      <c r="H367">
        <v>9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</v>
      </c>
      <c r="P367">
        <v>0</v>
      </c>
      <c r="Q367">
        <f t="shared" si="15"/>
        <v>65</v>
      </c>
      <c r="R367">
        <v>55</v>
      </c>
      <c r="T367" s="53">
        <v>41454</v>
      </c>
      <c r="U367">
        <f t="shared" si="16"/>
        <v>56.913990651335794</v>
      </c>
      <c r="V367">
        <v>84</v>
      </c>
      <c r="W367">
        <f t="shared" si="17"/>
        <v>733.65190243592474</v>
      </c>
    </row>
    <row r="368" spans="1:23">
      <c r="A368" s="53">
        <v>41455</v>
      </c>
      <c r="B368">
        <v>77</v>
      </c>
      <c r="C368">
        <v>1</v>
      </c>
      <c r="D368">
        <v>0</v>
      </c>
      <c r="E368">
        <v>0</v>
      </c>
      <c r="F368">
        <v>1</v>
      </c>
      <c r="G368">
        <v>1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f t="shared" si="15"/>
        <v>55</v>
      </c>
      <c r="R368">
        <v>45</v>
      </c>
      <c r="T368" s="53">
        <v>41455</v>
      </c>
      <c r="U368">
        <f t="shared" si="16"/>
        <v>43.106694751069867</v>
      </c>
      <c r="V368">
        <v>77</v>
      </c>
      <c r="W368">
        <f t="shared" si="17"/>
        <v>1148.7561406971549</v>
      </c>
    </row>
    <row r="369" spans="1:23">
      <c r="A369" s="53">
        <v>41456</v>
      </c>
      <c r="B369">
        <v>37</v>
      </c>
      <c r="C369">
        <v>1</v>
      </c>
      <c r="D369">
        <v>0</v>
      </c>
      <c r="E369">
        <v>0</v>
      </c>
      <c r="F369">
        <v>1</v>
      </c>
      <c r="G369">
        <v>1</v>
      </c>
      <c r="H369">
        <v>4</v>
      </c>
      <c r="I369">
        <v>0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f t="shared" si="15"/>
        <v>41</v>
      </c>
      <c r="R369">
        <v>31</v>
      </c>
      <c r="T369" s="53">
        <v>41456</v>
      </c>
      <c r="U369">
        <f t="shared" si="16"/>
        <v>39.969885789988595</v>
      </c>
      <c r="V369">
        <v>37</v>
      </c>
      <c r="W369">
        <f t="shared" si="17"/>
        <v>8.8202216055761813</v>
      </c>
    </row>
  </sheetData>
  <phoneticPr fontId="2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59F13-8416-3D48-B16E-D5735B3308C3}">
  <dimension ref="C6:J30"/>
  <sheetViews>
    <sheetView topLeftCell="A3" workbookViewId="0">
      <selection activeCell="I9" sqref="I9"/>
    </sheetView>
  </sheetViews>
  <sheetFormatPr baseColWidth="10" defaultRowHeight="20"/>
  <sheetData>
    <row r="6" spans="3:10" ht="21" thickBot="1"/>
    <row r="7" spans="3:10" ht="25" thickBot="1">
      <c r="C7" s="18" t="s">
        <v>7</v>
      </c>
      <c r="D7" s="19" t="s">
        <v>8</v>
      </c>
      <c r="E7" s="51" t="s">
        <v>37</v>
      </c>
      <c r="F7" s="52" t="s">
        <v>38</v>
      </c>
      <c r="G7" s="52" t="s">
        <v>39</v>
      </c>
      <c r="H7" s="52" t="s">
        <v>40</v>
      </c>
      <c r="I7" s="52" t="s">
        <v>41</v>
      </c>
    </row>
    <row r="8" spans="3:10">
      <c r="C8" s="20">
        <v>31</v>
      </c>
      <c r="D8" s="21">
        <v>84</v>
      </c>
      <c r="E8">
        <f>C8-D8</f>
        <v>-53</v>
      </c>
      <c r="F8">
        <f>E8*E8</f>
        <v>2809</v>
      </c>
      <c r="G8">
        <f>SUM(F8:F30)</f>
        <v>50876</v>
      </c>
      <c r="H8">
        <f>COUNTA(F8:F30)</f>
        <v>23</v>
      </c>
      <c r="I8">
        <f>SQRT(G8/H8)</f>
        <v>47.031904065219386</v>
      </c>
    </row>
    <row r="9" spans="3:10">
      <c r="C9" s="20">
        <v>18</v>
      </c>
      <c r="D9" s="21">
        <v>59</v>
      </c>
      <c r="E9">
        <f t="shared" ref="E9:E30" si="0">C9-D9</f>
        <v>-41</v>
      </c>
      <c r="F9">
        <f t="shared" ref="F9:F30" si="1">E9*E9</f>
        <v>1681</v>
      </c>
    </row>
    <row r="10" spans="3:10">
      <c r="C10" s="20">
        <v>30</v>
      </c>
      <c r="D10" s="21">
        <v>39</v>
      </c>
      <c r="E10">
        <f t="shared" si="0"/>
        <v>-9</v>
      </c>
      <c r="F10">
        <f t="shared" si="1"/>
        <v>81</v>
      </c>
    </row>
    <row r="11" spans="3:10">
      <c r="C11" s="20">
        <v>13</v>
      </c>
      <c r="D11" s="21">
        <v>65</v>
      </c>
      <c r="E11">
        <f t="shared" si="0"/>
        <v>-52</v>
      </c>
      <c r="F11">
        <f t="shared" si="1"/>
        <v>2704</v>
      </c>
    </row>
    <row r="12" spans="3:10">
      <c r="C12" s="20">
        <v>84</v>
      </c>
      <c r="D12" s="21">
        <v>41</v>
      </c>
      <c r="E12">
        <f t="shared" si="0"/>
        <v>43</v>
      </c>
      <c r="F12">
        <f t="shared" si="1"/>
        <v>1849</v>
      </c>
    </row>
    <row r="13" spans="3:10">
      <c r="C13" s="20">
        <v>28</v>
      </c>
      <c r="D13" s="21">
        <v>71</v>
      </c>
      <c r="E13">
        <f t="shared" si="0"/>
        <v>-43</v>
      </c>
      <c r="F13">
        <f t="shared" si="1"/>
        <v>1849</v>
      </c>
    </row>
    <row r="14" spans="3:10">
      <c r="C14" s="20">
        <v>53</v>
      </c>
      <c r="D14" s="21">
        <v>45</v>
      </c>
      <c r="E14">
        <f t="shared" si="0"/>
        <v>8</v>
      </c>
      <c r="F14">
        <f t="shared" si="1"/>
        <v>64</v>
      </c>
    </row>
    <row r="15" spans="3:10">
      <c r="C15" s="20">
        <v>32</v>
      </c>
      <c r="D15" s="21">
        <v>87</v>
      </c>
      <c r="E15">
        <f t="shared" si="0"/>
        <v>-55</v>
      </c>
      <c r="F15">
        <f t="shared" si="1"/>
        <v>3025</v>
      </c>
      <c r="J15" t="s">
        <v>9</v>
      </c>
    </row>
    <row r="16" spans="3:10">
      <c r="C16" s="20">
        <v>12</v>
      </c>
      <c r="D16" s="21">
        <v>75</v>
      </c>
      <c r="E16">
        <f t="shared" si="0"/>
        <v>-63</v>
      </c>
      <c r="F16">
        <f t="shared" si="1"/>
        <v>3969</v>
      </c>
    </row>
    <row r="17" spans="3:6">
      <c r="C17" s="20">
        <v>90</v>
      </c>
      <c r="D17" s="21">
        <v>76</v>
      </c>
      <c r="E17">
        <f t="shared" si="0"/>
        <v>14</v>
      </c>
      <c r="F17">
        <f t="shared" si="1"/>
        <v>196</v>
      </c>
    </row>
    <row r="18" spans="3:6">
      <c r="C18" s="20">
        <v>48</v>
      </c>
      <c r="D18" s="21">
        <v>15</v>
      </c>
      <c r="E18">
        <f t="shared" si="0"/>
        <v>33</v>
      </c>
      <c r="F18">
        <f t="shared" si="1"/>
        <v>1089</v>
      </c>
    </row>
    <row r="19" spans="3:6">
      <c r="C19" s="20">
        <v>57</v>
      </c>
      <c r="D19" s="21">
        <v>80</v>
      </c>
      <c r="E19">
        <f t="shared" si="0"/>
        <v>-23</v>
      </c>
      <c r="F19">
        <f t="shared" si="1"/>
        <v>529</v>
      </c>
    </row>
    <row r="20" spans="3:6">
      <c r="C20" s="20">
        <v>52</v>
      </c>
      <c r="D20" s="21">
        <v>38</v>
      </c>
      <c r="E20">
        <f t="shared" si="0"/>
        <v>14</v>
      </c>
      <c r="F20">
        <f t="shared" si="1"/>
        <v>196</v>
      </c>
    </row>
    <row r="21" spans="3:6">
      <c r="C21" s="20">
        <v>57</v>
      </c>
      <c r="D21" s="21">
        <v>15</v>
      </c>
      <c r="E21">
        <f t="shared" si="0"/>
        <v>42</v>
      </c>
      <c r="F21">
        <f t="shared" si="1"/>
        <v>1764</v>
      </c>
    </row>
    <row r="22" spans="3:6">
      <c r="C22" s="20">
        <v>5</v>
      </c>
      <c r="D22" s="21">
        <v>70</v>
      </c>
      <c r="E22">
        <f t="shared" si="0"/>
        <v>-65</v>
      </c>
      <c r="F22">
        <f t="shared" si="1"/>
        <v>4225</v>
      </c>
    </row>
    <row r="23" spans="3:6">
      <c r="C23" s="20">
        <v>73</v>
      </c>
      <c r="D23" s="21">
        <v>40</v>
      </c>
      <c r="E23">
        <f t="shared" si="0"/>
        <v>33</v>
      </c>
      <c r="F23">
        <f t="shared" si="1"/>
        <v>1089</v>
      </c>
    </row>
    <row r="24" spans="3:6">
      <c r="C24" s="20">
        <v>78</v>
      </c>
      <c r="D24" s="21">
        <v>85</v>
      </c>
      <c r="E24">
        <f t="shared" si="0"/>
        <v>-7</v>
      </c>
      <c r="F24">
        <f t="shared" si="1"/>
        <v>49</v>
      </c>
    </row>
    <row r="25" spans="3:6">
      <c r="C25" s="20">
        <v>97</v>
      </c>
      <c r="D25" s="21">
        <v>23</v>
      </c>
      <c r="E25">
        <f t="shared" si="0"/>
        <v>74</v>
      </c>
      <c r="F25">
        <f t="shared" si="1"/>
        <v>5476</v>
      </c>
    </row>
    <row r="26" spans="3:6">
      <c r="C26" s="20">
        <v>3</v>
      </c>
      <c r="D26" s="21">
        <v>91</v>
      </c>
      <c r="E26">
        <f t="shared" si="0"/>
        <v>-88</v>
      </c>
      <c r="F26">
        <f t="shared" si="1"/>
        <v>7744</v>
      </c>
    </row>
    <row r="27" spans="3:6">
      <c r="C27" s="20">
        <v>99</v>
      </c>
      <c r="D27" s="21">
        <v>61</v>
      </c>
      <c r="E27">
        <f t="shared" si="0"/>
        <v>38</v>
      </c>
      <c r="F27">
        <f t="shared" si="1"/>
        <v>1444</v>
      </c>
    </row>
    <row r="28" spans="3:6">
      <c r="C28" s="20">
        <v>90</v>
      </c>
      <c r="D28" s="21">
        <v>12</v>
      </c>
      <c r="E28">
        <f t="shared" si="0"/>
        <v>78</v>
      </c>
      <c r="F28">
        <f t="shared" si="1"/>
        <v>6084</v>
      </c>
    </row>
    <row r="29" spans="3:6">
      <c r="C29" s="20">
        <v>72</v>
      </c>
      <c r="D29" s="21">
        <v>28</v>
      </c>
      <c r="E29">
        <f t="shared" si="0"/>
        <v>44</v>
      </c>
      <c r="F29">
        <f t="shared" si="1"/>
        <v>1936</v>
      </c>
    </row>
    <row r="30" spans="3:6" ht="21" thickBot="1">
      <c r="C30" s="22">
        <v>82</v>
      </c>
      <c r="D30" s="23">
        <v>50</v>
      </c>
      <c r="E30">
        <f t="shared" si="0"/>
        <v>32</v>
      </c>
      <c r="F30">
        <f t="shared" si="1"/>
        <v>1024</v>
      </c>
    </row>
  </sheetData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復讐問題１</vt:lpstr>
      <vt:lpstr>訓練データ</vt:lpstr>
      <vt:lpstr>評価データ</vt:lpstr>
      <vt:lpstr>練習（モデル作成）</vt:lpstr>
      <vt:lpstr>練習（モデル作成）（参考）</vt:lpstr>
      <vt:lpstr>練習（予測）</vt:lpstr>
      <vt:lpstr>練習（予測） 参考</vt:lpstr>
      <vt:lpstr>RMSE</vt:lpstr>
      <vt:lpstr>分析（例）</vt:lpstr>
      <vt:lpstr>分析（例の回答）</vt:lpstr>
      <vt:lpstr>分析（例の回答） (2)</vt:lpstr>
      <vt:lpstr>予測（例の回答）</vt:lpstr>
      <vt:lpstr>予測（例の回答） (2)</vt:lpstr>
      <vt:lpstr>結果（例）</vt:lpstr>
      <vt:lpstr>RMSE（参考）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凌 岡崎</cp:lastModifiedBy>
  <dcterms:created xsi:type="dcterms:W3CDTF">2020-11-16T08:33:41Z</dcterms:created>
  <dcterms:modified xsi:type="dcterms:W3CDTF">2020-12-11T11:01:13Z</dcterms:modified>
</cp:coreProperties>
</file>